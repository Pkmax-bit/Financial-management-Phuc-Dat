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Dao\OneDrive\Desktop\"/>
    </mc:Choice>
  </mc:AlternateContent>
  <xr:revisionPtr revIDLastSave="0" documentId="13_ncr:1_{DCA2418D-EEEB-487B-957C-38B0A41E2125}" xr6:coauthVersionLast="47" xr6:coauthVersionMax="47" xr10:uidLastSave="{00000000-0000-0000-0000-000000000000}"/>
  <bookViews>
    <workbookView xWindow="-108" yWindow="-108" windowWidth="23256" windowHeight="12456" firstSheet="9" activeTab="12" xr2:uid="{00000000-000D-0000-FFFF-FFFF00000000}"/>
  </bookViews>
  <sheets>
    <sheet name="CỬA ĐI 4 CÁNH 55" sheetId="10" r:id="rId1"/>
    <sheet name="CỬA ĐI 1 CÁNH 55" sheetId="8" r:id="rId2"/>
    <sheet name="CỬA ĐI 2 CÁNH 55" sheetId="20" r:id="rId3"/>
    <sheet name="CỬA SỔ 1 CÁNH 55" sheetId="13" r:id="rId4"/>
    <sheet name="CỬA SỔ 2 CÁNH 55" sheetId="14" r:id="rId5"/>
    <sheet name="CỬA SỔ 3 CÁNH 55 - Đố tĩnh" sheetId="33" r:id="rId6"/>
    <sheet name="CỬA SỔ 4 CÁNH 55 - đố động" sheetId="22" r:id="rId7"/>
    <sheet name="CỬA SỔ 4 CÁNH 55 - đố tĩnh" sheetId="23" r:id="rId8"/>
    <sheet name="CỬA LÙA SỔ 2 CÁNH 55" sheetId="17" r:id="rId9"/>
    <sheet name="CỬA LÙA SỔ 4 CÁNH 55" sheetId="18" r:id="rId10"/>
    <sheet name="CỬA LÙA 2 CÁNH 93" sheetId="24" r:id="rId11"/>
    <sheet name="CỬA LÙA 3 CÁNH 93" sheetId="29" r:id="rId12"/>
    <sheet name="CỬA LÙA 4 CÁNH 93" sheetId="28" r:id="rId13"/>
    <sheet name="XẾP TRƯỢT 63 4 CÁNH" sheetId="35" r:id="rId14"/>
    <sheet name="FIX 55 " sheetId="40" r:id="rId15"/>
    <sheet name="KHUNG LÁ SÁCH" sheetId="41" r:id="rId16"/>
    <sheet name="THUỶ LỰC 1 - 2 CÁNH" sheetId="43" r:id="rId17"/>
    <sheet name="CỬA ĐI 1 CÁNH 56" sheetId="44" r:id="rId18"/>
    <sheet name="CỬA ĐI 2 CÁNH 56" sheetId="45" r:id="rId19"/>
    <sheet name="CỬA ĐI 4 CÁNH 56" sheetId="46" r:id="rId20"/>
    <sheet name="CỬA SỔ 1 CÁNH 56" sheetId="47" r:id="rId21"/>
    <sheet name="CỬA SỔ 2 CÁNH 56" sheetId="48" r:id="rId22"/>
    <sheet name="CỬA SỔ 3 CÁNH 56 - ĐỐ TĨNH" sheetId="49" r:id="rId23"/>
    <sheet name="CỬA SỔ 4 CÁNH 56" sheetId="50" r:id="rId24"/>
    <sheet name="FIX 56" sheetId="55" r:id="rId25"/>
    <sheet name="CỬA LÙA 100F 2 CÁNH" sheetId="51" r:id="rId26"/>
    <sheet name="CỬA LÙA 100F 3 CÁNH" sheetId="53" r:id="rId27"/>
    <sheet name="CỬA LÙA 100F 4 CÁNH" sheetId="52" r:id="rId28"/>
  </sheets>
  <externalReferences>
    <externalReference r:id="rId29"/>
  </externalReferences>
  <definedNames>
    <definedName name="_xlnm.Print_Area" localSheetId="1">'CỬA ĐI 1 CÁNH 55'!$A$2:$Q$20</definedName>
    <definedName name="_xlnm.Print_Area" localSheetId="0">'CỬA ĐI 4 CÁNH 55'!$A$1:$L$11</definedName>
    <definedName name="_xlnm.Print_Area" localSheetId="10">'CỬA LÙA 2 CÁNH 93'!$C$1:$M$12</definedName>
    <definedName name="_xlnm.Print_Area" localSheetId="11">'CỬA LÙA 3 CÁNH 93'!$H$1:$L$12</definedName>
    <definedName name="_xlnm.Print_Area" localSheetId="3">'CỬA SỔ 1 CÁNH 55'!$B$1:$L$10</definedName>
    <definedName name="_xlnm.Print_Area" localSheetId="4">'CỬA SỔ 2 CÁNH 55'!$A$1:$L$10</definedName>
    <definedName name="_xlnm.Print_Area" localSheetId="13">'XẾP TRƯỢT 63 4 CÁNH'!$A$1:$M$17</definedName>
  </definedNames>
  <calcPr calcId="19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3" i="28" l="1"/>
  <c r="V22" i="28"/>
  <c r="V21" i="28" l="1"/>
  <c r="V20" i="28"/>
  <c r="J19" i="20"/>
  <c r="J20" i="20" s="1"/>
  <c r="L18" i="20"/>
  <c r="L16" i="20"/>
  <c r="L14" i="20"/>
  <c r="L15" i="20"/>
  <c r="J14" i="51"/>
  <c r="J18" i="51"/>
  <c r="L19" i="51"/>
  <c r="L18" i="51"/>
  <c r="L12" i="51" l="1"/>
  <c r="L11" i="51"/>
  <c r="J13" i="51"/>
  <c r="F6" i="51"/>
  <c r="L15" i="17"/>
  <c r="L13" i="17"/>
  <c r="L14" i="8"/>
  <c r="L11" i="13"/>
  <c r="F6" i="13"/>
  <c r="L12" i="13" s="1"/>
  <c r="L12" i="40"/>
  <c r="K8" i="40"/>
  <c r="J8" i="40"/>
  <c r="L10" i="40"/>
  <c r="L9" i="40"/>
  <c r="L8" i="40"/>
  <c r="L18" i="10"/>
  <c r="L17" i="10"/>
  <c r="L15" i="10"/>
  <c r="L14" i="10"/>
  <c r="L11" i="10"/>
  <c r="K8" i="53" l="1"/>
  <c r="J10" i="53" s="1"/>
  <c r="K8" i="52"/>
  <c r="J11" i="52" s="1"/>
  <c r="K7" i="52"/>
  <c r="K11" i="52" s="1"/>
  <c r="K7" i="53"/>
  <c r="K10" i="53" s="1"/>
  <c r="K8" i="51"/>
  <c r="J10" i="51" s="1"/>
  <c r="K7" i="51" l="1"/>
  <c r="K10" i="51" s="1"/>
  <c r="L16" i="51" s="1"/>
  <c r="K6" i="46" l="1"/>
  <c r="J11" i="46" s="1"/>
  <c r="K6" i="45"/>
  <c r="J11" i="45" s="1"/>
  <c r="K6" i="49"/>
  <c r="K6" i="44"/>
  <c r="J10" i="44" s="1"/>
  <c r="J10" i="49"/>
  <c r="K7" i="50"/>
  <c r="J11" i="50" s="1"/>
  <c r="K6" i="48"/>
  <c r="J10" i="48" s="1"/>
  <c r="K8" i="50"/>
  <c r="K11" i="50" s="1"/>
  <c r="K7" i="49"/>
  <c r="K10" i="49" s="1"/>
  <c r="K7" i="48"/>
  <c r="K10" i="48" s="1"/>
  <c r="T17" i="53"/>
  <c r="V17" i="53" s="1"/>
  <c r="V16" i="51"/>
  <c r="T17" i="51"/>
  <c r="V17" i="51" s="1"/>
  <c r="R11" i="51"/>
  <c r="R7" i="51"/>
  <c r="R6" i="51"/>
  <c r="X25" i="55"/>
  <c r="X24" i="55"/>
  <c r="P20" i="55"/>
  <c r="P21" i="55" s="1"/>
  <c r="P22" i="55" s="1"/>
  <c r="P23" i="55" s="1"/>
  <c r="P24" i="55" s="1"/>
  <c r="P25" i="55" s="1"/>
  <c r="P26" i="55" s="1"/>
  <c r="P27" i="55" s="1"/>
  <c r="T19" i="55"/>
  <c r="V19" i="55" s="1"/>
  <c r="V18" i="55"/>
  <c r="X18" i="55" s="1"/>
  <c r="X13" i="55"/>
  <c r="X12" i="55"/>
  <c r="X8" i="55"/>
  <c r="X7" i="55"/>
  <c r="K6" i="55"/>
  <c r="F6" i="55"/>
  <c r="P5" i="55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K5" i="55"/>
  <c r="K8" i="55" s="1"/>
  <c r="T4" i="55"/>
  <c r="V4" i="55" s="1"/>
  <c r="X4" i="55" s="1"/>
  <c r="P4" i="55"/>
  <c r="K4" i="55"/>
  <c r="T3" i="55" s="1"/>
  <c r="R8" i="51" l="1"/>
  <c r="T23" i="55"/>
  <c r="X23" i="55" s="1"/>
  <c r="X26" i="55" s="1"/>
  <c r="K9" i="50"/>
  <c r="V3" i="55"/>
  <c r="T5" i="55"/>
  <c r="V5" i="55" s="1"/>
  <c r="X5" i="55" s="1"/>
  <c r="T11" i="55"/>
  <c r="X11" i="55" s="1"/>
  <c r="X14" i="55" s="1"/>
  <c r="X19" i="55"/>
  <c r="X20" i="55" s="1"/>
  <c r="J8" i="55"/>
  <c r="V71" i="43"/>
  <c r="X71" i="43" s="1"/>
  <c r="X72" i="43" s="1"/>
  <c r="X76" i="43"/>
  <c r="P76" i="43"/>
  <c r="P77" i="43" s="1"/>
  <c r="P78" i="43" s="1"/>
  <c r="X75" i="43"/>
  <c r="X77" i="43"/>
  <c r="X64" i="43"/>
  <c r="P64" i="43"/>
  <c r="P65" i="43" s="1"/>
  <c r="P66" i="43" s="1"/>
  <c r="X63" i="43"/>
  <c r="X59" i="43"/>
  <c r="K57" i="43"/>
  <c r="T56" i="43" s="1"/>
  <c r="V56" i="43" s="1"/>
  <c r="X56" i="43" s="1"/>
  <c r="K56" i="43"/>
  <c r="T55" i="43" s="1"/>
  <c r="F56" i="43"/>
  <c r="K55" i="43"/>
  <c r="T53" i="43" s="1"/>
  <c r="V53" i="43" s="1"/>
  <c r="P54" i="43"/>
  <c r="P55" i="43" s="1"/>
  <c r="P56" i="43" s="1"/>
  <c r="P57" i="43" s="1"/>
  <c r="P58" i="43" s="1"/>
  <c r="P59" i="43" s="1"/>
  <c r="P60" i="43" s="1"/>
  <c r="L54" i="43"/>
  <c r="K54" i="43"/>
  <c r="X48" i="43"/>
  <c r="P48" i="43"/>
  <c r="P49" i="43" s="1"/>
  <c r="P50" i="43" s="1"/>
  <c r="X47" i="43"/>
  <c r="X43" i="43"/>
  <c r="K41" i="43"/>
  <c r="T40" i="43" s="1"/>
  <c r="V40" i="43" s="1"/>
  <c r="X40" i="43" s="1"/>
  <c r="K40" i="43"/>
  <c r="T39" i="43" s="1"/>
  <c r="F40" i="43"/>
  <c r="K39" i="43"/>
  <c r="T37" i="43" s="1"/>
  <c r="V37" i="43" s="1"/>
  <c r="P38" i="43"/>
  <c r="P39" i="43" s="1"/>
  <c r="P40" i="43" s="1"/>
  <c r="P41" i="43" s="1"/>
  <c r="P42" i="43" s="1"/>
  <c r="P43" i="43" s="1"/>
  <c r="P44" i="43" s="1"/>
  <c r="L38" i="43"/>
  <c r="K38" i="43"/>
  <c r="T38" i="43" s="1"/>
  <c r="V38" i="43" s="1"/>
  <c r="X38" i="43" s="1"/>
  <c r="K23" i="43"/>
  <c r="J25" i="43" s="1"/>
  <c r="K4" i="43"/>
  <c r="X21" i="55" l="1"/>
  <c r="X27" i="55" s="1"/>
  <c r="X3" i="55"/>
  <c r="X6" i="55" s="1"/>
  <c r="G6" i="55"/>
  <c r="J59" i="43"/>
  <c r="T22" i="43"/>
  <c r="K59" i="43"/>
  <c r="J43" i="43"/>
  <c r="T54" i="43"/>
  <c r="V54" i="43" s="1"/>
  <c r="X54" i="43" s="1"/>
  <c r="K43" i="43"/>
  <c r="X73" i="43"/>
  <c r="X78" i="43" s="1"/>
  <c r="X53" i="43"/>
  <c r="V55" i="43"/>
  <c r="X55" i="43" s="1"/>
  <c r="T62" i="43"/>
  <c r="X62" i="43" s="1"/>
  <c r="X65" i="43" s="1"/>
  <c r="T57" i="43"/>
  <c r="V57" i="43" s="1"/>
  <c r="X57" i="43" s="1"/>
  <c r="V39" i="43"/>
  <c r="X39" i="43" s="1"/>
  <c r="T46" i="43"/>
  <c r="X46" i="43" s="1"/>
  <c r="X49" i="43" s="1"/>
  <c r="T41" i="43"/>
  <c r="V41" i="43" s="1"/>
  <c r="X41" i="43" s="1"/>
  <c r="X37" i="43"/>
  <c r="X30" i="43"/>
  <c r="P30" i="43"/>
  <c r="P31" i="43" s="1"/>
  <c r="P32" i="43" s="1"/>
  <c r="X29" i="43"/>
  <c r="X25" i="43"/>
  <c r="V22" i="43"/>
  <c r="X22" i="43" s="1"/>
  <c r="K22" i="43"/>
  <c r="F22" i="43"/>
  <c r="K21" i="43"/>
  <c r="P20" i="43"/>
  <c r="P21" i="43" s="1"/>
  <c r="P22" i="43" s="1"/>
  <c r="P23" i="43" s="1"/>
  <c r="P24" i="43" s="1"/>
  <c r="P25" i="43" s="1"/>
  <c r="P26" i="43" s="1"/>
  <c r="L20" i="43"/>
  <c r="K20" i="43"/>
  <c r="X58" i="43" l="1"/>
  <c r="X42" i="43"/>
  <c r="X9" i="55"/>
  <c r="X15" i="55" s="1"/>
  <c r="K25" i="43"/>
  <c r="T21" i="43"/>
  <c r="T23" i="43" s="1"/>
  <c r="V23" i="43" s="1"/>
  <c r="X23" i="43" s="1"/>
  <c r="T19" i="43"/>
  <c r="V19" i="43" s="1"/>
  <c r="X19" i="43" s="1"/>
  <c r="T20" i="43"/>
  <c r="V20" i="43" s="1"/>
  <c r="X20" i="43" s="1"/>
  <c r="X44" i="43"/>
  <c r="X50" i="43" s="1"/>
  <c r="G56" i="43"/>
  <c r="G40" i="43"/>
  <c r="X60" i="43"/>
  <c r="X66" i="43" s="1"/>
  <c r="V21" i="43" l="1"/>
  <c r="X21" i="43" s="1"/>
  <c r="X24" i="43" s="1"/>
  <c r="X26" i="43" s="1"/>
  <c r="X32" i="43" s="1"/>
  <c r="T28" i="43"/>
  <c r="X28" i="43" s="1"/>
  <c r="X31" i="43" s="1"/>
  <c r="G22" i="43"/>
  <c r="R19" i="40" l="1"/>
  <c r="T19" i="40" s="1"/>
  <c r="V19" i="40" s="1"/>
  <c r="V25" i="40"/>
  <c r="V24" i="40"/>
  <c r="N20" i="40"/>
  <c r="N21" i="40" s="1"/>
  <c r="N22" i="40" s="1"/>
  <c r="N23" i="40" s="1"/>
  <c r="N24" i="40" s="1"/>
  <c r="N25" i="40" s="1"/>
  <c r="N26" i="40" s="1"/>
  <c r="N27" i="40" s="1"/>
  <c r="R23" i="40" l="1"/>
  <c r="V23" i="40" s="1"/>
  <c r="V26" i="40" s="1"/>
  <c r="T18" i="40"/>
  <c r="V18" i="40" s="1"/>
  <c r="V20" i="40" s="1"/>
  <c r="V23" i="53"/>
  <c r="N23" i="53"/>
  <c r="N24" i="53" s="1"/>
  <c r="N25" i="53" s="1"/>
  <c r="V22" i="53"/>
  <c r="V16" i="53"/>
  <c r="V15" i="53"/>
  <c r="R15" i="53"/>
  <c r="R11" i="53"/>
  <c r="R20" i="53" s="1"/>
  <c r="V20" i="53" s="1"/>
  <c r="R7" i="53"/>
  <c r="T7" i="53" s="1"/>
  <c r="V7" i="53" s="1"/>
  <c r="R6" i="53"/>
  <c r="L6" i="53"/>
  <c r="K6" i="53"/>
  <c r="R13" i="53" s="1"/>
  <c r="T13" i="53" s="1"/>
  <c r="V13" i="53" s="1"/>
  <c r="F6" i="53"/>
  <c r="L5" i="53"/>
  <c r="K5" i="53"/>
  <c r="R9" i="53" s="1"/>
  <c r="T9" i="53" s="1"/>
  <c r="V9" i="53" s="1"/>
  <c r="N4" i="53"/>
  <c r="N5" i="53" s="1"/>
  <c r="N6" i="53" s="1"/>
  <c r="N7" i="53" s="1"/>
  <c r="N8" i="53" s="1"/>
  <c r="N9" i="53" s="1"/>
  <c r="N10" i="53" s="1"/>
  <c r="N11" i="53" s="1"/>
  <c r="N12" i="53" s="1"/>
  <c r="N13" i="53" s="1"/>
  <c r="N15" i="53" s="1"/>
  <c r="N16" i="53" s="1"/>
  <c r="N17" i="53" s="1"/>
  <c r="N18" i="53" s="1"/>
  <c r="L4" i="53"/>
  <c r="K4" i="53"/>
  <c r="K9" i="52"/>
  <c r="R7" i="52" s="1"/>
  <c r="T7" i="52" s="1"/>
  <c r="V7" i="52" s="1"/>
  <c r="V23" i="52"/>
  <c r="N23" i="52"/>
  <c r="N24" i="52" s="1"/>
  <c r="N25" i="52" s="1"/>
  <c r="V22" i="52"/>
  <c r="V17" i="52"/>
  <c r="V16" i="52"/>
  <c r="R16" i="52"/>
  <c r="R11" i="52"/>
  <c r="R20" i="52" s="1"/>
  <c r="V20" i="52" s="1"/>
  <c r="R6" i="52"/>
  <c r="R8" i="52" s="1"/>
  <c r="T8" i="52" s="1"/>
  <c r="V8" i="52" s="1"/>
  <c r="L6" i="52"/>
  <c r="K6" i="52"/>
  <c r="R13" i="52" s="1"/>
  <c r="T13" i="52" s="1"/>
  <c r="V13" i="52" s="1"/>
  <c r="F6" i="52"/>
  <c r="L5" i="52"/>
  <c r="K5" i="52"/>
  <c r="R9" i="52" s="1"/>
  <c r="T9" i="52" s="1"/>
  <c r="V9" i="52" s="1"/>
  <c r="N4" i="52"/>
  <c r="N5" i="52" s="1"/>
  <c r="N6" i="52" s="1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N18" i="52" s="1"/>
  <c r="L4" i="52"/>
  <c r="K4" i="52"/>
  <c r="R21" i="51"/>
  <c r="V21" i="51" s="1"/>
  <c r="R20" i="51"/>
  <c r="V15" i="51"/>
  <c r="T8" i="51"/>
  <c r="V8" i="51" s="1"/>
  <c r="T11" i="51"/>
  <c r="V11" i="51" s="1"/>
  <c r="K5" i="51"/>
  <c r="K6" i="51"/>
  <c r="K4" i="51"/>
  <c r="V23" i="51"/>
  <c r="N23" i="51"/>
  <c r="N24" i="51" s="1"/>
  <c r="N25" i="51" s="1"/>
  <c r="V22" i="51"/>
  <c r="L10" i="51"/>
  <c r="T7" i="51"/>
  <c r="V7" i="51" s="1"/>
  <c r="R15" i="51"/>
  <c r="L6" i="51"/>
  <c r="L5" i="51"/>
  <c r="N4" i="51"/>
  <c r="N5" i="51" s="1"/>
  <c r="N6" i="51" s="1"/>
  <c r="L4" i="51"/>
  <c r="T11" i="50"/>
  <c r="V11" i="50" s="1"/>
  <c r="V10" i="50"/>
  <c r="V9" i="50"/>
  <c r="V18" i="50"/>
  <c r="V17" i="50"/>
  <c r="V16" i="50"/>
  <c r="N16" i="50"/>
  <c r="N17" i="50" s="1"/>
  <c r="N18" i="50" s="1"/>
  <c r="N19" i="50" s="1"/>
  <c r="N20" i="50" s="1"/>
  <c r="N15" i="50"/>
  <c r="L11" i="50"/>
  <c r="L9" i="50"/>
  <c r="R6" i="50"/>
  <c r="T6" i="50" s="1"/>
  <c r="V6" i="50" s="1"/>
  <c r="L8" i="50"/>
  <c r="L7" i="50"/>
  <c r="R4" i="50" s="1"/>
  <c r="R15" i="50" s="1"/>
  <c r="V15" i="50" s="1"/>
  <c r="L6" i="50"/>
  <c r="R7" i="50"/>
  <c r="T7" i="50" s="1"/>
  <c r="V7" i="50" s="1"/>
  <c r="F6" i="50"/>
  <c r="N5" i="50"/>
  <c r="N6" i="50" s="1"/>
  <c r="N7" i="50" s="1"/>
  <c r="N8" i="50" s="1"/>
  <c r="N9" i="50" s="1"/>
  <c r="N10" i="50" s="1"/>
  <c r="N11" i="50" s="1"/>
  <c r="N12" i="50" s="1"/>
  <c r="L5" i="50"/>
  <c r="K5" i="50"/>
  <c r="K6" i="50" s="1"/>
  <c r="N4" i="50"/>
  <c r="L4" i="50"/>
  <c r="K4" i="50"/>
  <c r="R3" i="50" s="1"/>
  <c r="T3" i="50" s="1"/>
  <c r="V10" i="49"/>
  <c r="X10" i="49" s="1"/>
  <c r="X9" i="49"/>
  <c r="X8" i="49"/>
  <c r="R4" i="53" l="1"/>
  <c r="T4" i="53" s="1"/>
  <c r="V4" i="53" s="1"/>
  <c r="R4" i="51"/>
  <c r="R21" i="53"/>
  <c r="V21" i="53" s="1"/>
  <c r="R8" i="53"/>
  <c r="T8" i="53" s="1"/>
  <c r="V8" i="53" s="1"/>
  <c r="R14" i="52"/>
  <c r="T14" i="52" s="1"/>
  <c r="V14" i="52" s="1"/>
  <c r="R3" i="53"/>
  <c r="R10" i="53" s="1"/>
  <c r="T10" i="53" s="1"/>
  <c r="V10" i="53" s="1"/>
  <c r="R12" i="51"/>
  <c r="T12" i="51" s="1"/>
  <c r="V12" i="51" s="1"/>
  <c r="V14" i="51" s="1"/>
  <c r="R9" i="51"/>
  <c r="T9" i="51" s="1"/>
  <c r="V9" i="51" s="1"/>
  <c r="R5" i="51"/>
  <c r="R3" i="51"/>
  <c r="T3" i="51" s="1"/>
  <c r="V3" i="51" s="1"/>
  <c r="R13" i="51"/>
  <c r="T13" i="51" s="1"/>
  <c r="V13" i="51" s="1"/>
  <c r="V24" i="53"/>
  <c r="T3" i="53"/>
  <c r="T11" i="53"/>
  <c r="V11" i="53" s="1"/>
  <c r="R5" i="53"/>
  <c r="T5" i="53" s="1"/>
  <c r="V5" i="53" s="1"/>
  <c r="T6" i="53"/>
  <c r="V6" i="53" s="1"/>
  <c r="R12" i="53"/>
  <c r="T12" i="53" s="1"/>
  <c r="V12" i="53" s="1"/>
  <c r="R4" i="52"/>
  <c r="T4" i="52" s="1"/>
  <c r="V4" i="52" s="1"/>
  <c r="R3" i="52"/>
  <c r="T3" i="52" s="1"/>
  <c r="V3" i="52" s="1"/>
  <c r="R21" i="52"/>
  <c r="V21" i="52" s="1"/>
  <c r="V24" i="52" s="1"/>
  <c r="T11" i="52"/>
  <c r="V11" i="52" s="1"/>
  <c r="R5" i="52"/>
  <c r="T5" i="52" s="1"/>
  <c r="V5" i="52" s="1"/>
  <c r="T6" i="52"/>
  <c r="V6" i="52" s="1"/>
  <c r="R12" i="52"/>
  <c r="T12" i="52" s="1"/>
  <c r="V12" i="52" s="1"/>
  <c r="T5" i="51"/>
  <c r="V5" i="51" s="1"/>
  <c r="V20" i="51"/>
  <c r="V24" i="51" s="1"/>
  <c r="N7" i="51"/>
  <c r="N8" i="51" s="1"/>
  <c r="N9" i="51" s="1"/>
  <c r="N10" i="51" s="1"/>
  <c r="N11" i="51" s="1"/>
  <c r="N12" i="51" s="1"/>
  <c r="N13" i="51" s="1"/>
  <c r="N15" i="51" s="1"/>
  <c r="N16" i="51" s="1"/>
  <c r="N17" i="51" s="1"/>
  <c r="N18" i="51" s="1"/>
  <c r="T6" i="51"/>
  <c r="V6" i="51" s="1"/>
  <c r="V3" i="50"/>
  <c r="V8" i="50" s="1"/>
  <c r="T4" i="50"/>
  <c r="V4" i="50" s="1"/>
  <c r="R14" i="50"/>
  <c r="V14" i="50" s="1"/>
  <c r="V19" i="50" s="1"/>
  <c r="R5" i="50"/>
  <c r="T5" i="50" s="1"/>
  <c r="V5" i="50" s="1"/>
  <c r="X16" i="49"/>
  <c r="P16" i="49"/>
  <c r="P17" i="49" s="1"/>
  <c r="P18" i="49" s="1"/>
  <c r="X15" i="49"/>
  <c r="P14" i="49"/>
  <c r="L10" i="49"/>
  <c r="L8" i="49"/>
  <c r="L7" i="49"/>
  <c r="L6" i="49"/>
  <c r="F6" i="49"/>
  <c r="L5" i="49"/>
  <c r="K5" i="49"/>
  <c r="K8" i="49" s="1"/>
  <c r="T6" i="49" s="1"/>
  <c r="T4" i="49"/>
  <c r="T14" i="49" s="1"/>
  <c r="X14" i="49" s="1"/>
  <c r="P4" i="49"/>
  <c r="P5" i="49" s="1"/>
  <c r="P6" i="49" s="1"/>
  <c r="P7" i="49" s="1"/>
  <c r="P8" i="49" s="1"/>
  <c r="P9" i="49" s="1"/>
  <c r="P10" i="49" s="1"/>
  <c r="P11" i="49" s="1"/>
  <c r="L4" i="49"/>
  <c r="K4" i="49"/>
  <c r="T10" i="48"/>
  <c r="V10" i="48" s="1"/>
  <c r="H20" i="48"/>
  <c r="V17" i="48"/>
  <c r="V16" i="48"/>
  <c r="V15" i="48"/>
  <c r="N14" i="48"/>
  <c r="N15" i="48" s="1"/>
  <c r="N16" i="48" s="1"/>
  <c r="N17" i="48" s="1"/>
  <c r="N18" i="48" s="1"/>
  <c r="N19" i="48" s="1"/>
  <c r="L10" i="48"/>
  <c r="V9" i="48"/>
  <c r="V8" i="48"/>
  <c r="L8" i="48"/>
  <c r="L7" i="48"/>
  <c r="K8" i="48"/>
  <c r="R6" i="48" s="1"/>
  <c r="T6" i="48" s="1"/>
  <c r="V6" i="48" s="1"/>
  <c r="L6" i="48"/>
  <c r="F6" i="48"/>
  <c r="L5" i="48"/>
  <c r="K5" i="48"/>
  <c r="H5" i="48"/>
  <c r="H6" i="48" s="1"/>
  <c r="H7" i="48" s="1"/>
  <c r="H8" i="48" s="1"/>
  <c r="H9" i="48" s="1"/>
  <c r="H10" i="48" s="1"/>
  <c r="N4" i="48"/>
  <c r="N5" i="48" s="1"/>
  <c r="N6" i="48" s="1"/>
  <c r="N7" i="48" s="1"/>
  <c r="N8" i="48" s="1"/>
  <c r="N9" i="48" s="1"/>
  <c r="N10" i="48" s="1"/>
  <c r="N11" i="48" s="1"/>
  <c r="L4" i="48"/>
  <c r="R3" i="48" s="1"/>
  <c r="K4" i="48"/>
  <c r="V15" i="47"/>
  <c r="V14" i="47"/>
  <c r="N13" i="47"/>
  <c r="N14" i="47" s="1"/>
  <c r="N15" i="47" s="1"/>
  <c r="N16" i="47" s="1"/>
  <c r="N17" i="47" s="1"/>
  <c r="T9" i="47"/>
  <c r="V9" i="47" s="1"/>
  <c r="L9" i="47"/>
  <c r="V8" i="47"/>
  <c r="V7" i="47"/>
  <c r="L7" i="47"/>
  <c r="L6" i="47"/>
  <c r="F6" i="47"/>
  <c r="L5" i="47"/>
  <c r="K5" i="47"/>
  <c r="K7" i="47" s="1"/>
  <c r="K9" i="47" s="1"/>
  <c r="N4" i="47"/>
  <c r="N5" i="47" s="1"/>
  <c r="N6" i="47" s="1"/>
  <c r="N7" i="47" s="1"/>
  <c r="N8" i="47" s="1"/>
  <c r="N9" i="47" s="1"/>
  <c r="N10" i="47" s="1"/>
  <c r="L4" i="47"/>
  <c r="R3" i="47" s="1"/>
  <c r="T3" i="47" s="1"/>
  <c r="V3" i="47" s="1"/>
  <c r="K4" i="47"/>
  <c r="K6" i="47" s="1"/>
  <c r="J9" i="47" s="1"/>
  <c r="T11" i="46"/>
  <c r="V11" i="46" s="1"/>
  <c r="V10" i="46"/>
  <c r="V9" i="46"/>
  <c r="H21" i="46"/>
  <c r="V19" i="46"/>
  <c r="V18" i="46"/>
  <c r="V17" i="46"/>
  <c r="V16" i="46"/>
  <c r="N15" i="46"/>
  <c r="N16" i="46" s="1"/>
  <c r="N17" i="46" s="1"/>
  <c r="N18" i="46" s="1"/>
  <c r="N19" i="46" s="1"/>
  <c r="N20" i="46" s="1"/>
  <c r="N21" i="46" s="1"/>
  <c r="L9" i="46"/>
  <c r="L8" i="46"/>
  <c r="L7" i="46"/>
  <c r="K7" i="46"/>
  <c r="L6" i="46"/>
  <c r="F6" i="46"/>
  <c r="L5" i="46"/>
  <c r="K5" i="46"/>
  <c r="H5" i="46"/>
  <c r="H6" i="46" s="1"/>
  <c r="H7" i="46" s="1"/>
  <c r="H8" i="46" s="1"/>
  <c r="H9" i="46" s="1"/>
  <c r="H10" i="46" s="1"/>
  <c r="H11" i="46" s="1"/>
  <c r="N4" i="46"/>
  <c r="N5" i="46" s="1"/>
  <c r="N6" i="46" s="1"/>
  <c r="N7" i="46" s="1"/>
  <c r="N8" i="46" s="1"/>
  <c r="N9" i="46" s="1"/>
  <c r="N10" i="46" s="1"/>
  <c r="N11" i="46" s="1"/>
  <c r="N12" i="46" s="1"/>
  <c r="L4" i="46"/>
  <c r="K4" i="46"/>
  <c r="T11" i="45"/>
  <c r="V11" i="45" s="1"/>
  <c r="V10" i="45"/>
  <c r="V9" i="45"/>
  <c r="V19" i="45"/>
  <c r="V18" i="45"/>
  <c r="V17" i="45"/>
  <c r="V16" i="45"/>
  <c r="N15" i="45"/>
  <c r="N16" i="45" s="1"/>
  <c r="N17" i="45" s="1"/>
  <c r="N18" i="45" s="1"/>
  <c r="N19" i="45" s="1"/>
  <c r="N20" i="45" s="1"/>
  <c r="N21" i="45" s="1"/>
  <c r="L11" i="45"/>
  <c r="K7" i="45"/>
  <c r="F6" i="45"/>
  <c r="K5" i="45"/>
  <c r="H5" i="45"/>
  <c r="H6" i="45" s="1"/>
  <c r="H7" i="45" s="1"/>
  <c r="H8" i="45" s="1"/>
  <c r="H9" i="45" s="1"/>
  <c r="H10" i="45" s="1"/>
  <c r="H11" i="45" s="1"/>
  <c r="N4" i="45"/>
  <c r="N5" i="45" s="1"/>
  <c r="N6" i="45" s="1"/>
  <c r="N7" i="45" s="1"/>
  <c r="N8" i="45" s="1"/>
  <c r="N9" i="45" s="1"/>
  <c r="N10" i="45" s="1"/>
  <c r="N11" i="45" s="1"/>
  <c r="N12" i="45" s="1"/>
  <c r="K4" i="45"/>
  <c r="T10" i="44"/>
  <c r="V10" i="44" s="1"/>
  <c r="V17" i="44"/>
  <c r="V16" i="44"/>
  <c r="V15" i="44"/>
  <c r="N14" i="44"/>
  <c r="N15" i="44" s="1"/>
  <c r="N16" i="44" s="1"/>
  <c r="N17" i="44" s="1"/>
  <c r="N18" i="44" s="1"/>
  <c r="N19" i="44" s="1"/>
  <c r="V9" i="44"/>
  <c r="V8" i="44"/>
  <c r="F6" i="44"/>
  <c r="K5" i="44"/>
  <c r="K7" i="44" s="1"/>
  <c r="K10" i="44" s="1"/>
  <c r="N4" i="44"/>
  <c r="N5" i="44" s="1"/>
  <c r="N6" i="44" s="1"/>
  <c r="N7" i="44" s="1"/>
  <c r="N8" i="44" s="1"/>
  <c r="N9" i="44" s="1"/>
  <c r="N10" i="44" s="1"/>
  <c r="N11" i="44" s="1"/>
  <c r="K4" i="44"/>
  <c r="K6" i="43"/>
  <c r="K5" i="43"/>
  <c r="T3" i="43" s="1"/>
  <c r="V3" i="43" s="1"/>
  <c r="K7" i="43"/>
  <c r="X14" i="43"/>
  <c r="P14" i="43"/>
  <c r="P15" i="43" s="1"/>
  <c r="P16" i="43" s="1"/>
  <c r="X13" i="43"/>
  <c r="X9" i="43"/>
  <c r="F6" i="43"/>
  <c r="P4" i="43"/>
  <c r="P5" i="43" s="1"/>
  <c r="P6" i="43" s="1"/>
  <c r="P7" i="43" s="1"/>
  <c r="P8" i="43" s="1"/>
  <c r="P9" i="43" s="1"/>
  <c r="P10" i="43" s="1"/>
  <c r="L4" i="43"/>
  <c r="T4" i="43" s="1"/>
  <c r="V4" i="43" s="1"/>
  <c r="X4" i="43" s="1"/>
  <c r="R4" i="47" l="1"/>
  <c r="R5" i="47" s="1"/>
  <c r="T5" i="47" s="1"/>
  <c r="V5" i="47" s="1"/>
  <c r="R4" i="44"/>
  <c r="R5" i="44" s="1"/>
  <c r="R3" i="45"/>
  <c r="R3" i="46"/>
  <c r="T3" i="49"/>
  <c r="V3" i="49" s="1"/>
  <c r="R10" i="52"/>
  <c r="T10" i="52" s="1"/>
  <c r="V10" i="52" s="1"/>
  <c r="V15" i="52" s="1"/>
  <c r="V18" i="52" s="1"/>
  <c r="V25" i="52" s="1"/>
  <c r="K8" i="46"/>
  <c r="K11" i="46"/>
  <c r="R3" i="44"/>
  <c r="K8" i="45"/>
  <c r="R7" i="45" s="1"/>
  <c r="T7" i="45" s="1"/>
  <c r="V7" i="45" s="1"/>
  <c r="K11" i="45"/>
  <c r="R4" i="45"/>
  <c r="T4" i="45" s="1"/>
  <c r="V4" i="45" s="1"/>
  <c r="R14" i="44"/>
  <c r="R13" i="44"/>
  <c r="T13" i="49"/>
  <c r="X13" i="49" s="1"/>
  <c r="X17" i="49" s="1"/>
  <c r="R10" i="51"/>
  <c r="T10" i="51" s="1"/>
  <c r="V10" i="51" s="1"/>
  <c r="T5" i="43"/>
  <c r="V5" i="43" s="1"/>
  <c r="X5" i="43" s="1"/>
  <c r="K9" i="43"/>
  <c r="J9" i="43"/>
  <c r="T6" i="43"/>
  <c r="V3" i="53"/>
  <c r="G6" i="53"/>
  <c r="T4" i="51"/>
  <c r="G6" i="50"/>
  <c r="V12" i="50"/>
  <c r="V20" i="50" s="1"/>
  <c r="X3" i="49"/>
  <c r="T5" i="49"/>
  <c r="V5" i="49" s="1"/>
  <c r="X5" i="49" s="1"/>
  <c r="V6" i="49"/>
  <c r="X6" i="49" s="1"/>
  <c r="V4" i="49"/>
  <c r="X4" i="49" s="1"/>
  <c r="T3" i="48"/>
  <c r="R4" i="48"/>
  <c r="T4" i="47"/>
  <c r="R13" i="47"/>
  <c r="V13" i="47" s="1"/>
  <c r="T3" i="46"/>
  <c r="R4" i="46"/>
  <c r="K9" i="46"/>
  <c r="T3" i="45"/>
  <c r="K9" i="45"/>
  <c r="R6" i="45" s="1"/>
  <c r="T6" i="45" s="1"/>
  <c r="V6" i="45" s="1"/>
  <c r="K8" i="44"/>
  <c r="X3" i="43"/>
  <c r="T11" i="18"/>
  <c r="K7" i="17"/>
  <c r="K6" i="17"/>
  <c r="X7" i="49" l="1"/>
  <c r="G6" i="52"/>
  <c r="R12" i="47"/>
  <c r="V12" i="47" s="1"/>
  <c r="V16" i="47" s="1"/>
  <c r="V14" i="53"/>
  <c r="V18" i="53" s="1"/>
  <c r="V25" i="53" s="1"/>
  <c r="R5" i="45"/>
  <c r="T5" i="45" s="1"/>
  <c r="V5" i="45" s="1"/>
  <c r="R14" i="45"/>
  <c r="V14" i="45" s="1"/>
  <c r="R15" i="45"/>
  <c r="V15" i="45" s="1"/>
  <c r="R6" i="44"/>
  <c r="T6" i="44" s="1"/>
  <c r="V6" i="44" s="1"/>
  <c r="T12" i="43"/>
  <c r="X12" i="43" s="1"/>
  <c r="X15" i="43" s="1"/>
  <c r="V6" i="43"/>
  <c r="X6" i="43" s="1"/>
  <c r="X8" i="43" s="1"/>
  <c r="T7" i="43"/>
  <c r="V7" i="43" s="1"/>
  <c r="X7" i="43" s="1"/>
  <c r="V4" i="51"/>
  <c r="V18" i="51" s="1"/>
  <c r="V25" i="51" s="1"/>
  <c r="G6" i="51"/>
  <c r="X11" i="49"/>
  <c r="X18" i="49" s="1"/>
  <c r="G6" i="49"/>
  <c r="R14" i="48"/>
  <c r="V14" i="48" s="1"/>
  <c r="T4" i="48"/>
  <c r="V4" i="48" s="1"/>
  <c r="R5" i="48"/>
  <c r="T5" i="48" s="1"/>
  <c r="V5" i="48" s="1"/>
  <c r="R13" i="48"/>
  <c r="V13" i="48" s="1"/>
  <c r="V3" i="48"/>
  <c r="V7" i="48" s="1"/>
  <c r="V4" i="47"/>
  <c r="V6" i="47" s="1"/>
  <c r="G6" i="47"/>
  <c r="R7" i="46"/>
  <c r="R6" i="46"/>
  <c r="T6" i="46" s="1"/>
  <c r="V6" i="46" s="1"/>
  <c r="R15" i="46"/>
  <c r="V15" i="46" s="1"/>
  <c r="T4" i="46"/>
  <c r="V4" i="46" s="1"/>
  <c r="R5" i="46"/>
  <c r="T5" i="46" s="1"/>
  <c r="V5" i="46" s="1"/>
  <c r="V3" i="46"/>
  <c r="G6" i="45"/>
  <c r="V3" i="45"/>
  <c r="V8" i="45" s="1"/>
  <c r="T3" i="44"/>
  <c r="V13" i="44"/>
  <c r="V14" i="44"/>
  <c r="T4" i="44"/>
  <c r="V4" i="44" s="1"/>
  <c r="T5" i="44"/>
  <c r="V5" i="44" s="1"/>
  <c r="T10" i="17"/>
  <c r="V20" i="45" l="1"/>
  <c r="V18" i="48"/>
  <c r="G6" i="48"/>
  <c r="X10" i="43"/>
  <c r="X16" i="43" s="1"/>
  <c r="G6" i="43"/>
  <c r="V11" i="48"/>
  <c r="V19" i="48" s="1"/>
  <c r="V10" i="47"/>
  <c r="V17" i="47" s="1"/>
  <c r="T7" i="46"/>
  <c r="V7" i="46" s="1"/>
  <c r="R14" i="46"/>
  <c r="V14" i="46" s="1"/>
  <c r="V20" i="46" s="1"/>
  <c r="V12" i="45"/>
  <c r="V21" i="45" s="1"/>
  <c r="V18" i="44"/>
  <c r="G6" i="44"/>
  <c r="V3" i="44"/>
  <c r="V7" i="44" s="1"/>
  <c r="V8" i="46" l="1"/>
  <c r="V12" i="46" s="1"/>
  <c r="V21" i="46" s="1"/>
  <c r="G6" i="46"/>
  <c r="V11" i="44"/>
  <c r="V19" i="44" s="1"/>
  <c r="L6" i="41"/>
  <c r="K6" i="41"/>
  <c r="R5" i="41" s="1"/>
  <c r="T5" i="41" s="1"/>
  <c r="K5" i="41"/>
  <c r="R4" i="41" s="1"/>
  <c r="K4" i="41"/>
  <c r="R3" i="41" s="1"/>
  <c r="V10" i="41"/>
  <c r="V9" i="41"/>
  <c r="N10" i="41"/>
  <c r="N11" i="41" s="1"/>
  <c r="N12" i="41" s="1"/>
  <c r="F6" i="41"/>
  <c r="N4" i="41"/>
  <c r="N5" i="41" s="1"/>
  <c r="N6" i="41" s="1"/>
  <c r="N7" i="41" s="1"/>
  <c r="K6" i="40"/>
  <c r="V7" i="40"/>
  <c r="K5" i="40"/>
  <c r="K4" i="40"/>
  <c r="V13" i="40"/>
  <c r="V12" i="40"/>
  <c r="F6" i="40"/>
  <c r="N4" i="40"/>
  <c r="N5" i="40" s="1"/>
  <c r="N6" i="40" s="1"/>
  <c r="N7" i="40" s="1"/>
  <c r="N8" i="40" s="1"/>
  <c r="N9" i="40" s="1"/>
  <c r="N10" i="40" s="1"/>
  <c r="N11" i="40" s="1"/>
  <c r="N12" i="40" s="1"/>
  <c r="N13" i="40" s="1"/>
  <c r="N14" i="40" s="1"/>
  <c r="N15" i="40" s="1"/>
  <c r="F6" i="35"/>
  <c r="F6" i="28"/>
  <c r="F6" i="29"/>
  <c r="F6" i="24"/>
  <c r="F6" i="18"/>
  <c r="F6" i="17"/>
  <c r="F6" i="23"/>
  <c r="F6" i="22"/>
  <c r="F6" i="33"/>
  <c r="F6" i="14"/>
  <c r="F6" i="10"/>
  <c r="F6" i="20"/>
  <c r="F6" i="8"/>
  <c r="W21" i="8" l="1"/>
  <c r="L15" i="8"/>
  <c r="T3" i="41"/>
  <c r="V5" i="41"/>
  <c r="T4" i="41"/>
  <c r="V4" i="41" s="1"/>
  <c r="V3" i="41"/>
  <c r="V6" i="41" s="1"/>
  <c r="R3" i="40"/>
  <c r="R4" i="40"/>
  <c r="T4" i="40" s="1"/>
  <c r="V4" i="40" s="1"/>
  <c r="V8" i="40"/>
  <c r="G6" i="41" l="1"/>
  <c r="V11" i="41"/>
  <c r="R11" i="40"/>
  <c r="R5" i="40"/>
  <c r="T3" i="40"/>
  <c r="T5" i="40" l="1"/>
  <c r="G6" i="40" s="1"/>
  <c r="V11" i="40"/>
  <c r="V14" i="40" s="1"/>
  <c r="V3" i="40"/>
  <c r="K4" i="8"/>
  <c r="V7" i="41" l="1"/>
  <c r="V12" i="41" s="1"/>
  <c r="V5" i="40"/>
  <c r="V12" i="28"/>
  <c r="V6" i="40" l="1"/>
  <c r="V9" i="40" s="1"/>
  <c r="V15" i="40" s="1"/>
  <c r="L11" i="40" s="1"/>
  <c r="V21" i="40"/>
  <c r="V27" i="40" s="1"/>
  <c r="N16" i="35" l="1"/>
  <c r="N17" i="35" s="1"/>
  <c r="N18" i="35" s="1"/>
  <c r="N19" i="35" s="1"/>
  <c r="T11" i="35"/>
  <c r="T12" i="35" s="1"/>
  <c r="V16" i="29"/>
  <c r="N16" i="29"/>
  <c r="N17" i="29" s="1"/>
  <c r="N18" i="29" s="1"/>
  <c r="V15" i="29"/>
  <c r="V11" i="29"/>
  <c r="N4" i="29"/>
  <c r="N5" i="29" s="1"/>
  <c r="N6" i="29" s="1"/>
  <c r="V17" i="28"/>
  <c r="N17" i="28"/>
  <c r="N18" i="28" s="1"/>
  <c r="N19" i="28" s="1"/>
  <c r="V16" i="28"/>
  <c r="N4" i="28"/>
  <c r="N5" i="28" s="1"/>
  <c r="N6" i="28" s="1"/>
  <c r="V17" i="18"/>
  <c r="V16" i="18"/>
  <c r="V15" i="18"/>
  <c r="N15" i="18"/>
  <c r="N16" i="18" s="1"/>
  <c r="N17" i="18" s="1"/>
  <c r="N18" i="18" s="1"/>
  <c r="N19" i="18" s="1"/>
  <c r="V11" i="18"/>
  <c r="V10" i="18"/>
  <c r="N4" i="18"/>
  <c r="N5" i="18" s="1"/>
  <c r="N6" i="18" s="1"/>
  <c r="N7" i="18" s="1"/>
  <c r="N8" i="18" s="1"/>
  <c r="N9" i="18" s="1"/>
  <c r="N10" i="18" s="1"/>
  <c r="N11" i="18" s="1"/>
  <c r="N12" i="18" s="1"/>
  <c r="V17" i="10"/>
  <c r="N7" i="29" l="1"/>
  <c r="N8" i="29" s="1"/>
  <c r="N9" i="29" s="1"/>
  <c r="N10" i="29"/>
  <c r="N11" i="29" s="1"/>
  <c r="N12" i="29" s="1"/>
  <c r="N7" i="28"/>
  <c r="N8" i="28" s="1"/>
  <c r="N9" i="28" s="1"/>
  <c r="N10" i="28" s="1"/>
  <c r="N11" i="28" s="1"/>
  <c r="N12" i="28" s="1"/>
  <c r="N13" i="28" s="1"/>
  <c r="T10" i="23"/>
  <c r="T11" i="23" s="1"/>
  <c r="V11" i="23" s="1"/>
  <c r="V9" i="23"/>
  <c r="N15" i="23"/>
  <c r="N16" i="23" s="1"/>
  <c r="N17" i="23" s="1"/>
  <c r="N18" i="23" s="1"/>
  <c r="T10" i="8"/>
  <c r="T11" i="20"/>
  <c r="T11" i="10"/>
  <c r="T9" i="13"/>
  <c r="T10" i="14"/>
  <c r="T10" i="33"/>
  <c r="T9" i="22"/>
  <c r="T10" i="22" s="1"/>
  <c r="H5" i="14"/>
  <c r="H6" i="14" s="1"/>
  <c r="H7" i="14" s="1"/>
  <c r="H8" i="14" s="1"/>
  <c r="H9" i="14" s="1"/>
  <c r="H10" i="14" s="1"/>
  <c r="V10" i="23" l="1"/>
  <c r="K6" i="13"/>
  <c r="K7" i="13"/>
  <c r="H21" i="10"/>
  <c r="H5" i="10"/>
  <c r="H6" i="10" s="1"/>
  <c r="H7" i="10" s="1"/>
  <c r="H8" i="10" s="1"/>
  <c r="H9" i="10" s="1"/>
  <c r="H10" i="10" s="1"/>
  <c r="H11" i="10" s="1"/>
  <c r="V17" i="35" l="1"/>
  <c r="V16" i="35"/>
  <c r="V12" i="35"/>
  <c r="V11" i="35"/>
  <c r="V10" i="35"/>
  <c r="N4" i="35"/>
  <c r="N5" i="35" s="1"/>
  <c r="N6" i="35" s="1"/>
  <c r="N7" i="35" s="1"/>
  <c r="N8" i="35" s="1"/>
  <c r="N9" i="35" s="1"/>
  <c r="N10" i="35" s="1"/>
  <c r="N11" i="35" s="1"/>
  <c r="N12" i="35" s="1"/>
  <c r="N13" i="35" s="1"/>
  <c r="V16" i="24"/>
  <c r="V15" i="24"/>
  <c r="N16" i="24"/>
  <c r="N17" i="24" s="1"/>
  <c r="N18" i="24" s="1"/>
  <c r="V11" i="24"/>
  <c r="N4" i="24"/>
  <c r="N5" i="24" s="1"/>
  <c r="N6" i="24" s="1"/>
  <c r="V16" i="17"/>
  <c r="V15" i="17"/>
  <c r="V14" i="17"/>
  <c r="N14" i="17"/>
  <c r="N15" i="17" s="1"/>
  <c r="N16" i="17" s="1"/>
  <c r="N17" i="17" s="1"/>
  <c r="N18" i="17" s="1"/>
  <c r="V10" i="17"/>
  <c r="V9" i="17"/>
  <c r="N4" i="17"/>
  <c r="N5" i="17" s="1"/>
  <c r="N6" i="17" s="1"/>
  <c r="N7" i="17" s="1"/>
  <c r="N8" i="17" s="1"/>
  <c r="N9" i="17" s="1"/>
  <c r="N10" i="17" s="1"/>
  <c r="N11" i="17" s="1"/>
  <c r="V18" i="23"/>
  <c r="V17" i="23"/>
  <c r="V16" i="23"/>
  <c r="N19" i="23"/>
  <c r="N20" i="23" s="1"/>
  <c r="N4" i="23"/>
  <c r="N5" i="23" s="1"/>
  <c r="N6" i="23" s="1"/>
  <c r="N7" i="23" s="1"/>
  <c r="N8" i="23" s="1"/>
  <c r="N9" i="23" s="1"/>
  <c r="N10" i="23" s="1"/>
  <c r="N11" i="23" s="1"/>
  <c r="N12" i="23" s="1"/>
  <c r="V17" i="22"/>
  <c r="V16" i="22"/>
  <c r="V15" i="22"/>
  <c r="N14" i="22"/>
  <c r="N15" i="22" s="1"/>
  <c r="N16" i="22" s="1"/>
  <c r="N17" i="22" s="1"/>
  <c r="N18" i="22" s="1"/>
  <c r="N19" i="22" s="1"/>
  <c r="V10" i="22"/>
  <c r="V9" i="22"/>
  <c r="V8" i="22"/>
  <c r="N4" i="22"/>
  <c r="N5" i="22" s="1"/>
  <c r="N6" i="22" s="1"/>
  <c r="N7" i="22" s="1"/>
  <c r="N8" i="22" s="1"/>
  <c r="N9" i="22" s="1"/>
  <c r="N10" i="22" s="1"/>
  <c r="N11" i="22" s="1"/>
  <c r="V16" i="33"/>
  <c r="V15" i="33"/>
  <c r="N14" i="33"/>
  <c r="N16" i="33" s="1"/>
  <c r="N17" i="33" s="1"/>
  <c r="N18" i="33" s="1"/>
  <c r="V10" i="33"/>
  <c r="V9" i="33"/>
  <c r="V8" i="33"/>
  <c r="N4" i="33"/>
  <c r="N5" i="33" s="1"/>
  <c r="N6" i="33" s="1"/>
  <c r="N7" i="33" s="1"/>
  <c r="N8" i="33" s="1"/>
  <c r="N9" i="33" s="1"/>
  <c r="N10" i="33" s="1"/>
  <c r="N11" i="33" s="1"/>
  <c r="V17" i="14"/>
  <c r="V16" i="14"/>
  <c r="V15" i="14"/>
  <c r="N14" i="14"/>
  <c r="N15" i="14" s="1"/>
  <c r="N16" i="14" s="1"/>
  <c r="N17" i="14" s="1"/>
  <c r="N18" i="14" s="1"/>
  <c r="N19" i="14" s="1"/>
  <c r="V10" i="14"/>
  <c r="V9" i="14"/>
  <c r="V8" i="14"/>
  <c r="N4" i="14"/>
  <c r="N5" i="14" s="1"/>
  <c r="N6" i="14" s="1"/>
  <c r="N7" i="14" s="1"/>
  <c r="N8" i="14" s="1"/>
  <c r="N9" i="14" s="1"/>
  <c r="N10" i="14" s="1"/>
  <c r="N11" i="14" s="1"/>
  <c r="V15" i="13"/>
  <c r="V14" i="13"/>
  <c r="N13" i="13"/>
  <c r="N14" i="13" s="1"/>
  <c r="N15" i="13" s="1"/>
  <c r="N16" i="13" s="1"/>
  <c r="N17" i="13" s="1"/>
  <c r="V9" i="13"/>
  <c r="V8" i="13"/>
  <c r="V7" i="13"/>
  <c r="N4" i="13"/>
  <c r="N5" i="13" s="1"/>
  <c r="N6" i="13" s="1"/>
  <c r="N7" i="13" s="1"/>
  <c r="N8" i="13" s="1"/>
  <c r="N9" i="13" s="1"/>
  <c r="N10" i="13" s="1"/>
  <c r="N10" i="24" l="1"/>
  <c r="N11" i="24" s="1"/>
  <c r="N12" i="24" s="1"/>
  <c r="N7" i="24"/>
  <c r="N8" i="24" s="1"/>
  <c r="N9" i="24" s="1"/>
  <c r="V17" i="20" l="1"/>
  <c r="H5" i="20"/>
  <c r="H6" i="20" s="1"/>
  <c r="H7" i="20" s="1"/>
  <c r="H8" i="20" s="1"/>
  <c r="H9" i="20" s="1"/>
  <c r="H10" i="20" s="1"/>
  <c r="H11" i="20" s="1"/>
  <c r="V19" i="10"/>
  <c r="V18" i="10"/>
  <c r="V16" i="10"/>
  <c r="N15" i="10"/>
  <c r="N16" i="10" s="1"/>
  <c r="V11" i="10"/>
  <c r="V10" i="10"/>
  <c r="V9" i="10"/>
  <c r="N4" i="10"/>
  <c r="N5" i="10" s="1"/>
  <c r="N6" i="10" s="1"/>
  <c r="N7" i="10" s="1"/>
  <c r="N8" i="10" s="1"/>
  <c r="N9" i="10" s="1"/>
  <c r="N10" i="10" s="1"/>
  <c r="N11" i="10" s="1"/>
  <c r="N12" i="10" s="1"/>
  <c r="V19" i="20"/>
  <c r="V18" i="20"/>
  <c r="V16" i="20"/>
  <c r="N15" i="20"/>
  <c r="N16" i="20" s="1"/>
  <c r="N17" i="20" s="1"/>
  <c r="N18" i="20" s="1"/>
  <c r="N19" i="20" s="1"/>
  <c r="N20" i="20" s="1"/>
  <c r="N21" i="20" s="1"/>
  <c r="V11" i="20"/>
  <c r="V10" i="20"/>
  <c r="V9" i="20"/>
  <c r="N4" i="20"/>
  <c r="N5" i="20" s="1"/>
  <c r="N6" i="20" s="1"/>
  <c r="N7" i="20" s="1"/>
  <c r="N8" i="20" s="1"/>
  <c r="N9" i="20" s="1"/>
  <c r="N10" i="20" s="1"/>
  <c r="N11" i="20" s="1"/>
  <c r="N12" i="20" s="1"/>
  <c r="N17" i="10" l="1"/>
  <c r="N18" i="10" s="1"/>
  <c r="N19" i="10" s="1"/>
  <c r="N20" i="10" s="1"/>
  <c r="N21" i="10" s="1"/>
  <c r="V16" i="8" l="1"/>
  <c r="V17" i="8"/>
  <c r="V15" i="8"/>
  <c r="N14" i="8"/>
  <c r="N15" i="8" s="1"/>
  <c r="N16" i="8" s="1"/>
  <c r="N17" i="8" s="1"/>
  <c r="N18" i="8" s="1"/>
  <c r="N19" i="8" s="1"/>
  <c r="N4" i="8"/>
  <c r="N5" i="8" s="1"/>
  <c r="N6" i="8" s="1"/>
  <c r="N7" i="8" s="1"/>
  <c r="N8" i="8" s="1"/>
  <c r="N9" i="8" s="1"/>
  <c r="N10" i="8" s="1"/>
  <c r="N11" i="8" s="1"/>
  <c r="V8" i="8"/>
  <c r="V9" i="8"/>
  <c r="V10" i="8"/>
  <c r="K5" i="8" l="1"/>
  <c r="K7" i="8" s="1"/>
  <c r="R5" i="17" l="1"/>
  <c r="T5" i="17" s="1"/>
  <c r="V5" i="17" s="1"/>
  <c r="K8" i="28" l="1"/>
  <c r="K9" i="28"/>
  <c r="R10" i="28" s="1"/>
  <c r="T10" i="28" s="1"/>
  <c r="V10" i="28" s="1"/>
  <c r="K12" i="28" l="1"/>
  <c r="K7" i="28"/>
  <c r="K10" i="29"/>
  <c r="K9" i="29"/>
  <c r="K4" i="29"/>
  <c r="K5" i="29"/>
  <c r="K12" i="29" l="1"/>
  <c r="J8" i="24"/>
  <c r="K6" i="35" l="1"/>
  <c r="K8" i="35"/>
  <c r="J8" i="29"/>
  <c r="K7" i="29"/>
  <c r="K6" i="29"/>
  <c r="K7" i="35"/>
  <c r="L10" i="35"/>
  <c r="L8" i="35"/>
  <c r="J8" i="35"/>
  <c r="L7" i="35"/>
  <c r="J7" i="35"/>
  <c r="L6" i="35"/>
  <c r="J6" i="35"/>
  <c r="L5" i="35"/>
  <c r="K5" i="35"/>
  <c r="J5" i="35"/>
  <c r="L4" i="35"/>
  <c r="K4" i="35"/>
  <c r="J4" i="35"/>
  <c r="K10" i="28"/>
  <c r="K10" i="24"/>
  <c r="K9" i="24"/>
  <c r="K6" i="18"/>
  <c r="L9" i="20"/>
  <c r="J10" i="35" l="1"/>
  <c r="R6" i="35"/>
  <c r="R4" i="35"/>
  <c r="K10" i="35"/>
  <c r="R8" i="35"/>
  <c r="T8" i="35" s="1"/>
  <c r="V8" i="35" s="1"/>
  <c r="R3" i="35"/>
  <c r="T3" i="35" s="1"/>
  <c r="K12" i="24"/>
  <c r="K7" i="23"/>
  <c r="K6" i="22"/>
  <c r="K8" i="23"/>
  <c r="K9" i="23" s="1"/>
  <c r="K6" i="23"/>
  <c r="K6" i="20"/>
  <c r="K5" i="20"/>
  <c r="K7" i="20" s="1"/>
  <c r="K8" i="20" s="1"/>
  <c r="L8" i="20"/>
  <c r="L12" i="29"/>
  <c r="K6" i="14"/>
  <c r="L6" i="14"/>
  <c r="J7" i="13"/>
  <c r="J6" i="13"/>
  <c r="L10" i="33"/>
  <c r="L7" i="33"/>
  <c r="L6" i="33"/>
  <c r="L8" i="33"/>
  <c r="K6" i="33"/>
  <c r="K8" i="33"/>
  <c r="J8" i="33"/>
  <c r="K7" i="33"/>
  <c r="J7" i="33"/>
  <c r="J6" i="33"/>
  <c r="L5" i="33"/>
  <c r="K5" i="33"/>
  <c r="J5" i="33"/>
  <c r="L4" i="33"/>
  <c r="K4" i="33"/>
  <c r="J4" i="33"/>
  <c r="J8" i="22"/>
  <c r="L10" i="29"/>
  <c r="R6" i="29" s="1"/>
  <c r="L8" i="29"/>
  <c r="L7" i="29"/>
  <c r="R8" i="29" s="1"/>
  <c r="T8" i="29" s="1"/>
  <c r="V8" i="29" s="1"/>
  <c r="L12" i="28"/>
  <c r="J12" i="28"/>
  <c r="K8" i="29"/>
  <c r="J10" i="29"/>
  <c r="L9" i="29"/>
  <c r="R7" i="29" s="1"/>
  <c r="T7" i="29" s="1"/>
  <c r="V7" i="29" s="1"/>
  <c r="J9" i="29"/>
  <c r="J7" i="29"/>
  <c r="L6" i="29"/>
  <c r="R3" i="29" s="1"/>
  <c r="T3" i="29" s="1"/>
  <c r="J6" i="29"/>
  <c r="L5" i="29"/>
  <c r="J5" i="29"/>
  <c r="L4" i="29"/>
  <c r="R4" i="29" s="1"/>
  <c r="J4" i="29"/>
  <c r="L8" i="28"/>
  <c r="R9" i="28" s="1"/>
  <c r="T9" i="28" s="1"/>
  <c r="V9" i="28" s="1"/>
  <c r="L7" i="28"/>
  <c r="R8" i="28" s="1"/>
  <c r="T8" i="28" s="1"/>
  <c r="V8" i="28" s="1"/>
  <c r="J5" i="28"/>
  <c r="L10" i="28"/>
  <c r="R7" i="28" s="1"/>
  <c r="T7" i="28" s="1"/>
  <c r="V7" i="28" s="1"/>
  <c r="L9" i="28"/>
  <c r="R6" i="28" s="1"/>
  <c r="J10" i="28"/>
  <c r="J9" i="28"/>
  <c r="J8" i="28"/>
  <c r="J7" i="28"/>
  <c r="L6" i="28"/>
  <c r="K6" i="28"/>
  <c r="J6" i="28"/>
  <c r="L5" i="28"/>
  <c r="K5" i="28"/>
  <c r="L4" i="28"/>
  <c r="K4" i="28"/>
  <c r="R4" i="28" s="1"/>
  <c r="J4" i="28"/>
  <c r="K7" i="14"/>
  <c r="L8" i="14"/>
  <c r="L11" i="20"/>
  <c r="L4" i="14"/>
  <c r="K5" i="14"/>
  <c r="J8" i="8"/>
  <c r="L8" i="8"/>
  <c r="J9" i="10"/>
  <c r="K8" i="24"/>
  <c r="K7" i="24"/>
  <c r="J12" i="24"/>
  <c r="J10" i="24"/>
  <c r="J9" i="24"/>
  <c r="J7" i="24"/>
  <c r="J6" i="24"/>
  <c r="J5" i="24"/>
  <c r="J4" i="24"/>
  <c r="L8" i="24"/>
  <c r="L10" i="24"/>
  <c r="L9" i="24"/>
  <c r="R7" i="24" s="1"/>
  <c r="K5" i="24"/>
  <c r="L7" i="24"/>
  <c r="L5" i="24"/>
  <c r="L4" i="24"/>
  <c r="K4" i="24"/>
  <c r="L12" i="24"/>
  <c r="L6" i="24"/>
  <c r="K6" i="24"/>
  <c r="L10" i="18"/>
  <c r="L7" i="18"/>
  <c r="L6" i="18"/>
  <c r="R4" i="18" s="1"/>
  <c r="L8" i="18"/>
  <c r="L6" i="23"/>
  <c r="J6" i="23"/>
  <c r="L9" i="23"/>
  <c r="L11" i="23"/>
  <c r="J9" i="23"/>
  <c r="L8" i="23"/>
  <c r="J8" i="23"/>
  <c r="L7" i="23"/>
  <c r="J7" i="23"/>
  <c r="L5" i="23"/>
  <c r="K5" i="23"/>
  <c r="J5" i="23"/>
  <c r="L4" i="23"/>
  <c r="K4" i="23"/>
  <c r="J4" i="23"/>
  <c r="L10" i="22"/>
  <c r="K6" i="10"/>
  <c r="L8" i="22"/>
  <c r="L7" i="22"/>
  <c r="L6" i="22"/>
  <c r="K7" i="22"/>
  <c r="J7" i="22"/>
  <c r="J6" i="22"/>
  <c r="L5" i="22"/>
  <c r="K5" i="22"/>
  <c r="J5" i="22"/>
  <c r="L4" i="22"/>
  <c r="K4" i="22"/>
  <c r="J4" i="22"/>
  <c r="K4" i="10"/>
  <c r="K5" i="10"/>
  <c r="J4" i="8"/>
  <c r="J5" i="8"/>
  <c r="L7" i="14"/>
  <c r="L7" i="17"/>
  <c r="L6" i="17"/>
  <c r="L9" i="17"/>
  <c r="L10" i="14"/>
  <c r="J8" i="10"/>
  <c r="L7" i="20"/>
  <c r="L6" i="20"/>
  <c r="L5" i="20"/>
  <c r="L4" i="20"/>
  <c r="K4" i="20"/>
  <c r="J8" i="18"/>
  <c r="K7" i="18"/>
  <c r="R5" i="18" s="1"/>
  <c r="T5" i="18" s="1"/>
  <c r="V5" i="18" s="1"/>
  <c r="J7" i="18"/>
  <c r="J10" i="18"/>
  <c r="J6" i="18"/>
  <c r="L5" i="18"/>
  <c r="K5" i="18"/>
  <c r="J5" i="18"/>
  <c r="L4" i="18"/>
  <c r="K4" i="18"/>
  <c r="J4" i="18"/>
  <c r="K9" i="17"/>
  <c r="J7" i="17"/>
  <c r="J6" i="17"/>
  <c r="L5" i="17"/>
  <c r="K5" i="17"/>
  <c r="J5" i="17"/>
  <c r="L4" i="17"/>
  <c r="K4" i="17"/>
  <c r="J4" i="17"/>
  <c r="J8" i="14"/>
  <c r="J7" i="14"/>
  <c r="J6" i="14"/>
  <c r="L5" i="14"/>
  <c r="J5" i="14"/>
  <c r="K4" i="14"/>
  <c r="J4" i="14"/>
  <c r="L9" i="13"/>
  <c r="L7" i="13"/>
  <c r="L6" i="13"/>
  <c r="R4" i="13" s="1"/>
  <c r="J9" i="13"/>
  <c r="L5" i="13"/>
  <c r="K5" i="13"/>
  <c r="J5" i="13"/>
  <c r="L4" i="13"/>
  <c r="K4" i="13"/>
  <c r="J4" i="13"/>
  <c r="J7" i="10"/>
  <c r="J6" i="10"/>
  <c r="J5" i="10"/>
  <c r="J4" i="10"/>
  <c r="L7" i="8"/>
  <c r="J7" i="8"/>
  <c r="L6" i="8"/>
  <c r="J6" i="8"/>
  <c r="L5" i="8"/>
  <c r="L4" i="8"/>
  <c r="T4" i="18" l="1"/>
  <c r="V4" i="18" s="1"/>
  <c r="R14" i="18"/>
  <c r="V14" i="18" s="1"/>
  <c r="V18" i="18" s="1"/>
  <c r="R6" i="18"/>
  <c r="T6" i="18" s="1"/>
  <c r="V6" i="18" s="1"/>
  <c r="R3" i="18"/>
  <c r="T3" i="18" s="1"/>
  <c r="R7" i="18"/>
  <c r="T7" i="18" s="1"/>
  <c r="V7" i="18" s="1"/>
  <c r="R7" i="17"/>
  <c r="T7" i="17" s="1"/>
  <c r="V7" i="17" s="1"/>
  <c r="R6" i="17"/>
  <c r="T6" i="17" s="1"/>
  <c r="V6" i="17" s="1"/>
  <c r="R3" i="8"/>
  <c r="T3" i="8" s="1"/>
  <c r="V3" i="29"/>
  <c r="T4" i="28"/>
  <c r="V4" i="28" s="1"/>
  <c r="R5" i="28"/>
  <c r="T5" i="28" s="1"/>
  <c r="V5" i="28" s="1"/>
  <c r="R4" i="24"/>
  <c r="R5" i="24" s="1"/>
  <c r="R3" i="28"/>
  <c r="T3" i="28" s="1"/>
  <c r="T4" i="29"/>
  <c r="R5" i="29"/>
  <c r="T5" i="29" s="1"/>
  <c r="V5" i="29" s="1"/>
  <c r="K8" i="18"/>
  <c r="J12" i="29"/>
  <c r="R9" i="29"/>
  <c r="T9" i="29" s="1"/>
  <c r="V9" i="29" s="1"/>
  <c r="T6" i="28"/>
  <c r="V6" i="28" s="1"/>
  <c r="R15" i="28"/>
  <c r="V15" i="28" s="1"/>
  <c r="V18" i="28" s="1"/>
  <c r="T6" i="29"/>
  <c r="V6" i="29" s="1"/>
  <c r="R6" i="33"/>
  <c r="T6" i="33" s="1"/>
  <c r="V3" i="35"/>
  <c r="V9" i="35" s="1"/>
  <c r="T4" i="35"/>
  <c r="V4" i="35" s="1"/>
  <c r="R5" i="35"/>
  <c r="T5" i="35" s="1"/>
  <c r="V5" i="35" s="1"/>
  <c r="R15" i="35"/>
  <c r="V15" i="35" s="1"/>
  <c r="V18" i="35" s="1"/>
  <c r="R7" i="35"/>
  <c r="T7" i="35" s="1"/>
  <c r="V7" i="35" s="1"/>
  <c r="T6" i="35"/>
  <c r="V6" i="35" s="1"/>
  <c r="R3" i="24"/>
  <c r="R8" i="24"/>
  <c r="T8" i="24" s="1"/>
  <c r="V8" i="24" s="1"/>
  <c r="R9" i="24"/>
  <c r="T9" i="24" s="1"/>
  <c r="V9" i="24" s="1"/>
  <c r="T7" i="24"/>
  <c r="V7" i="24" s="1"/>
  <c r="R6" i="24"/>
  <c r="R4" i="17"/>
  <c r="R13" i="17" s="1"/>
  <c r="R3" i="17"/>
  <c r="T3" i="17" s="1"/>
  <c r="R7" i="20"/>
  <c r="T7" i="20" s="1"/>
  <c r="R3" i="20"/>
  <c r="R3" i="23"/>
  <c r="T3" i="23" s="1"/>
  <c r="R7" i="23"/>
  <c r="T7" i="23" s="1"/>
  <c r="V7" i="23" s="1"/>
  <c r="R6" i="23"/>
  <c r="T6" i="23" s="1"/>
  <c r="R4" i="23"/>
  <c r="T4" i="23" s="1"/>
  <c r="J11" i="23"/>
  <c r="R3" i="22"/>
  <c r="T3" i="22" s="1"/>
  <c r="V3" i="22" s="1"/>
  <c r="J10" i="22"/>
  <c r="R4" i="22"/>
  <c r="K8" i="22"/>
  <c r="R6" i="22" s="1"/>
  <c r="T6" i="22" s="1"/>
  <c r="R3" i="33"/>
  <c r="T3" i="33" s="1"/>
  <c r="J10" i="33"/>
  <c r="R4" i="33"/>
  <c r="T4" i="33" s="1"/>
  <c r="K10" i="33"/>
  <c r="J10" i="14"/>
  <c r="R4" i="14"/>
  <c r="T4" i="14" s="1"/>
  <c r="R3" i="14"/>
  <c r="T3" i="14" s="1"/>
  <c r="K8" i="14"/>
  <c r="R6" i="14" s="1"/>
  <c r="R3" i="13"/>
  <c r="R12" i="13" s="1"/>
  <c r="V12" i="13" s="1"/>
  <c r="K7" i="10"/>
  <c r="K8" i="10" s="1"/>
  <c r="R3" i="10"/>
  <c r="T3" i="10" s="1"/>
  <c r="V3" i="10" s="1"/>
  <c r="K6" i="8"/>
  <c r="J10" i="8" s="1"/>
  <c r="J11" i="10"/>
  <c r="J9" i="17"/>
  <c r="L11" i="17" s="1"/>
  <c r="L12" i="17" s="1"/>
  <c r="K10" i="8"/>
  <c r="K11" i="23"/>
  <c r="K10" i="22"/>
  <c r="K9" i="13"/>
  <c r="L10" i="13" s="1"/>
  <c r="J11" i="20"/>
  <c r="K9" i="20"/>
  <c r="R6" i="20" s="1"/>
  <c r="K9" i="10"/>
  <c r="K10" i="18"/>
  <c r="K10" i="14"/>
  <c r="L12" i="8" l="1"/>
  <c r="L13" i="8" s="1"/>
  <c r="G6" i="35"/>
  <c r="G6" i="28"/>
  <c r="R8" i="18"/>
  <c r="T8" i="18" s="1"/>
  <c r="V8" i="18" s="1"/>
  <c r="R14" i="22"/>
  <c r="V14" i="22" s="1"/>
  <c r="T4" i="22"/>
  <c r="V4" i="22" s="1"/>
  <c r="T6" i="20"/>
  <c r="V6" i="20" s="1"/>
  <c r="T3" i="20"/>
  <c r="V3" i="20" s="1"/>
  <c r="R4" i="10"/>
  <c r="T4" i="10" s="1"/>
  <c r="V4" i="10" s="1"/>
  <c r="R14" i="29"/>
  <c r="V14" i="29" s="1"/>
  <c r="V17" i="29" s="1"/>
  <c r="V4" i="29"/>
  <c r="V10" i="29" s="1"/>
  <c r="V12" i="29" s="1"/>
  <c r="V18" i="29" s="1"/>
  <c r="G6" i="29"/>
  <c r="V13" i="35"/>
  <c r="V19" i="35" s="1"/>
  <c r="V3" i="18"/>
  <c r="V13" i="17"/>
  <c r="V17" i="17" s="1"/>
  <c r="T4" i="17"/>
  <c r="V6" i="23"/>
  <c r="V6" i="22"/>
  <c r="V6" i="33"/>
  <c r="V7" i="20"/>
  <c r="V3" i="8"/>
  <c r="V3" i="17"/>
  <c r="T6" i="14"/>
  <c r="V3" i="28"/>
  <c r="V11" i="28" s="1"/>
  <c r="T6" i="24"/>
  <c r="V6" i="24" s="1"/>
  <c r="R14" i="24"/>
  <c r="V14" i="24" s="1"/>
  <c r="V17" i="24" s="1"/>
  <c r="T5" i="24"/>
  <c r="V5" i="24" s="1"/>
  <c r="T4" i="24"/>
  <c r="V4" i="24" s="1"/>
  <c r="T3" i="24"/>
  <c r="R5" i="23"/>
  <c r="R15" i="23"/>
  <c r="V15" i="23" s="1"/>
  <c r="R14" i="23"/>
  <c r="V14" i="23" s="1"/>
  <c r="V3" i="23"/>
  <c r="R13" i="22"/>
  <c r="V13" i="22" s="1"/>
  <c r="R13" i="33"/>
  <c r="V13" i="33" s="1"/>
  <c r="R13" i="14"/>
  <c r="V13" i="14" s="1"/>
  <c r="K11" i="20"/>
  <c r="R4" i="20"/>
  <c r="R15" i="20" s="1"/>
  <c r="V15" i="20" s="1"/>
  <c r="V4" i="23"/>
  <c r="R5" i="22"/>
  <c r="R14" i="33"/>
  <c r="V14" i="33" s="1"/>
  <c r="R5" i="33"/>
  <c r="V4" i="33"/>
  <c r="V3" i="33"/>
  <c r="R14" i="14"/>
  <c r="V14" i="14" s="1"/>
  <c r="R5" i="14"/>
  <c r="V4" i="14"/>
  <c r="V3" i="14"/>
  <c r="R13" i="13"/>
  <c r="V13" i="13" s="1"/>
  <c r="V16" i="13" s="1"/>
  <c r="T4" i="13"/>
  <c r="V4" i="13" s="1"/>
  <c r="R5" i="13"/>
  <c r="T5" i="13" s="1"/>
  <c r="V5" i="13" s="1"/>
  <c r="T3" i="13"/>
  <c r="K11" i="10"/>
  <c r="R4" i="8"/>
  <c r="R13" i="8" s="1"/>
  <c r="V13" i="8" s="1"/>
  <c r="K8" i="8"/>
  <c r="R6" i="8" s="1"/>
  <c r="R15" i="10" l="1"/>
  <c r="V15" i="10" s="1"/>
  <c r="V9" i="18"/>
  <c r="V12" i="18" s="1"/>
  <c r="V19" i="18" s="1"/>
  <c r="V18" i="22"/>
  <c r="V7" i="14"/>
  <c r="V19" i="23"/>
  <c r="V3" i="24"/>
  <c r="V10" i="24" s="1"/>
  <c r="G6" i="24"/>
  <c r="G6" i="18"/>
  <c r="T5" i="14"/>
  <c r="V5" i="14" s="1"/>
  <c r="V18" i="14"/>
  <c r="V17" i="33"/>
  <c r="T5" i="22"/>
  <c r="V5" i="22" s="1"/>
  <c r="V7" i="22" s="1"/>
  <c r="V11" i="22" s="1"/>
  <c r="V19" i="22" s="1"/>
  <c r="G6" i="22"/>
  <c r="T5" i="23"/>
  <c r="G6" i="23" s="1"/>
  <c r="R5" i="10"/>
  <c r="T5" i="10" s="1"/>
  <c r="V5" i="10" s="1"/>
  <c r="T6" i="8"/>
  <c r="V6" i="8" s="1"/>
  <c r="T4" i="20"/>
  <c r="T5" i="33"/>
  <c r="V13" i="28"/>
  <c r="V19" i="28" s="1"/>
  <c r="V12" i="24"/>
  <c r="V18" i="24" s="1"/>
  <c r="G6" i="17"/>
  <c r="V4" i="17"/>
  <c r="V6" i="14"/>
  <c r="V3" i="13"/>
  <c r="V6" i="13" s="1"/>
  <c r="G6" i="13"/>
  <c r="R6" i="10"/>
  <c r="T6" i="10" s="1"/>
  <c r="R7" i="10"/>
  <c r="T7" i="10" s="1"/>
  <c r="V7" i="10" s="1"/>
  <c r="R5" i="20"/>
  <c r="R14" i="20"/>
  <c r="V14" i="20" s="1"/>
  <c r="V20" i="20" s="1"/>
  <c r="T4" i="8"/>
  <c r="R14" i="8"/>
  <c r="V14" i="8" s="1"/>
  <c r="V18" i="8" s="1"/>
  <c r="R5" i="8"/>
  <c r="T5" i="8" s="1"/>
  <c r="V5" i="8" s="1"/>
  <c r="G6" i="14" l="1"/>
  <c r="V8" i="17"/>
  <c r="V11" i="17" s="1"/>
  <c r="V18" i="17" s="1"/>
  <c r="V11" i="14"/>
  <c r="V19" i="14" s="1"/>
  <c r="V5" i="23"/>
  <c r="V6" i="10"/>
  <c r="G6" i="10"/>
  <c r="T5" i="20"/>
  <c r="V5" i="20" s="1"/>
  <c r="V4" i="20"/>
  <c r="V8" i="20" s="1"/>
  <c r="G6" i="33"/>
  <c r="V5" i="33"/>
  <c r="V10" i="13"/>
  <c r="V17" i="13" s="1"/>
  <c r="L14" i="13" s="1"/>
  <c r="G6" i="8"/>
  <c r="V4" i="8"/>
  <c r="V7" i="8" s="1"/>
  <c r="V11" i="8" s="1"/>
  <c r="V19" i="8" s="1"/>
  <c r="R14" i="10"/>
  <c r="V14" i="10" s="1"/>
  <c r="V20" i="10" s="1"/>
  <c r="W22" i="8" l="1"/>
  <c r="W23" i="8" s="1"/>
  <c r="L16" i="8"/>
  <c r="V8" i="23"/>
  <c r="V12" i="23"/>
  <c r="V20" i="23" s="1"/>
  <c r="V7" i="33"/>
  <c r="V11" i="33" s="1"/>
  <c r="V18" i="33" s="1"/>
  <c r="V8" i="10"/>
  <c r="V12" i="10" s="1"/>
  <c r="V21" i="10" s="1"/>
  <c r="G6" i="20"/>
  <c r="V12" i="20"/>
  <c r="V21" i="20" s="1"/>
  <c r="L19" i="20" s="1"/>
</calcChain>
</file>

<file path=xl/sharedStrings.xml><?xml version="1.0" encoding="utf-8"?>
<sst xmlns="http://schemas.openxmlformats.org/spreadsheetml/2006/main" count="2008" uniqueCount="184">
  <si>
    <t>W</t>
  </si>
  <si>
    <t>H</t>
  </si>
  <si>
    <t>Số lượng</t>
  </si>
  <si>
    <t>Mã</t>
  </si>
  <si>
    <t>Tên</t>
  </si>
  <si>
    <t>Kích thước</t>
  </si>
  <si>
    <t>Ngang</t>
  </si>
  <si>
    <t>Cao</t>
  </si>
  <si>
    <t>THÔNG TIN CÔNG TRÌNH</t>
  </si>
  <si>
    <t>KÍCH THƯỚC SẢN XUẤT</t>
  </si>
  <si>
    <t>Ngang K.B</t>
  </si>
  <si>
    <t>Đứng K.B</t>
  </si>
  <si>
    <t>N. Cánh</t>
  </si>
  <si>
    <t>Đ. Cánh</t>
  </si>
  <si>
    <t>STT</t>
  </si>
  <si>
    <t>Kính</t>
  </si>
  <si>
    <t>Đố động</t>
  </si>
  <si>
    <t>N/Cánh</t>
  </si>
  <si>
    <t>Đ/Cánh</t>
  </si>
  <si>
    <t>01</t>
  </si>
  <si>
    <t>02</t>
  </si>
  <si>
    <t>03</t>
  </si>
  <si>
    <t>04</t>
  </si>
  <si>
    <t xml:space="preserve">Tên </t>
  </si>
  <si>
    <t>05</t>
  </si>
  <si>
    <t>06</t>
  </si>
  <si>
    <t>Trung gian</t>
  </si>
  <si>
    <t>Đố tĩnh</t>
  </si>
  <si>
    <t>07</t>
  </si>
  <si>
    <t>N/trên K.B</t>
  </si>
  <si>
    <t>N/dướiK.B</t>
  </si>
  <si>
    <t>N.cánh dưới</t>
  </si>
  <si>
    <t>Đ.cánh trơn</t>
  </si>
  <si>
    <t>Đ.cánh móc</t>
  </si>
  <si>
    <t>N.cánh trên</t>
  </si>
  <si>
    <t>Nẹp dưới</t>
  </si>
  <si>
    <t>AH</t>
  </si>
  <si>
    <t xml:space="preserve">N.cánh </t>
  </si>
  <si>
    <t>Đ.cánh</t>
  </si>
  <si>
    <t>GHI CHÚ</t>
  </si>
  <si>
    <t xml:space="preserve"> </t>
  </si>
  <si>
    <t>ĐỨNG K.B</t>
  </si>
  <si>
    <t xml:space="preserve">GHI CHÚ </t>
  </si>
  <si>
    <t>HỞ NỀN</t>
  </si>
  <si>
    <t>X</t>
  </si>
  <si>
    <t xml:space="preserve">ĐƠN GIÁ </t>
  </si>
  <si>
    <t>THÀNH TIỀN</t>
  </si>
  <si>
    <t>DIỆN TÍCH</t>
  </si>
  <si>
    <t>RON KÍNH</t>
  </si>
  <si>
    <t>CỬA ĐI 1 CÁNH MỞ QUAY</t>
  </si>
  <si>
    <t>ÂM NỀN</t>
  </si>
  <si>
    <t>BẢN SẢN XUẤT</t>
  </si>
  <si>
    <t>SẢN PHẨM</t>
  </si>
  <si>
    <t>MÉT DÀI</t>
  </si>
  <si>
    <t>KHUNG BAO CỬA ĐI</t>
  </si>
  <si>
    <t>CÁNH CỬA ĐI</t>
  </si>
  <si>
    <t>NẸP KÍNH CÁNH</t>
  </si>
  <si>
    <t>ỐP CHÂN CÁNH</t>
  </si>
  <si>
    <t>Ốp dưới</t>
  </si>
  <si>
    <t>SỐ LƯỢNG</t>
  </si>
  <si>
    <t>KE VĨNH CỬU KHUNG BAO</t>
  </si>
  <si>
    <t>KE VĨNH CỬU CÁNH</t>
  </si>
  <si>
    <t>KE TĂNG CỨNG</t>
  </si>
  <si>
    <t>TRỌNG LƯỢNG
MD</t>
  </si>
  <si>
    <t>SỐ LƯỢNG 
TRỌNG LƯỢNG T</t>
  </si>
  <si>
    <t xml:space="preserve">CHÍ PHÍ </t>
  </si>
  <si>
    <t>TỔNG CHI PHÍ VẬT LIỆU CHÍNH</t>
  </si>
  <si>
    <t>RON KHUNG BAO</t>
  </si>
  <si>
    <t>NHỰA ỐP CHÂN</t>
  </si>
  <si>
    <t>ỐC VÍT LIÊN KẾT</t>
  </si>
  <si>
    <t>TỔNG CHI PHÍ VẬT TƯ CỬA</t>
  </si>
  <si>
    <t>GIẤY ĐÓNG GÓI + PE</t>
  </si>
  <si>
    <t>ĐỐ ĐỘNG</t>
  </si>
  <si>
    <t>NHỰA ĐỐ ĐỘNG</t>
  </si>
  <si>
    <t>4 KE VĨNH CỬU 1 CÁNH</t>
  </si>
  <si>
    <t>8 KE TĂNG CỨNG 1 CÁNH</t>
  </si>
  <si>
    <t>1 CẶP CHO 1 CÁNH</t>
  </si>
  <si>
    <t>1 CÁI CHO 1 ĐẦU TRÊN</t>
  </si>
  <si>
    <t>1 BỘ CỬA</t>
  </si>
  <si>
    <t>KHẤU HAO DX NHÔM</t>
  </si>
  <si>
    <t>KÍNH</t>
  </si>
  <si>
    <t xml:space="preserve">KHUNG BAO CỬA SỔ </t>
  </si>
  <si>
    <t>CÁNH CỬA SỔ</t>
  </si>
  <si>
    <t>KE VĨNH CỬU CÁNH - 25*40</t>
  </si>
  <si>
    <t>KE VĨNH CỬU KHUNG BAO - 14*43</t>
  </si>
  <si>
    <t>4 KE VĨNH CỬU 1 KHUNG</t>
  </si>
  <si>
    <t xml:space="preserve">1 CẶP </t>
  </si>
  <si>
    <t>1 BỘ</t>
  </si>
  <si>
    <t>ĐỐ TĨNH</t>
  </si>
  <si>
    <t>`</t>
  </si>
  <si>
    <t xml:space="preserve">ĐỐ ĐỘNG </t>
  </si>
  <si>
    <t>KE KHUNG BAO - 14*43</t>
  </si>
  <si>
    <t>KE CÁNH - 25*40</t>
  </si>
  <si>
    <t>KHUNG BAO LÙA SỔ</t>
  </si>
  <si>
    <t>CÁNH LÙA SỔ</t>
  </si>
  <si>
    <t>ỐP MÓC</t>
  </si>
  <si>
    <t>LONG NHEO</t>
  </si>
  <si>
    <t>CHỐNG VA ĐẠP</t>
  </si>
  <si>
    <t>TRUNG GIAN</t>
  </si>
  <si>
    <t>KHUNG BAO ĐỨNG</t>
  </si>
  <si>
    <t>KHUNG BAO NGANG TRÊN</t>
  </si>
  <si>
    <t>KHUNG BAO NGANG DƯỚI</t>
  </si>
  <si>
    <t>ĐỨNG CÁNH MÓC</t>
  </si>
  <si>
    <t>ĐỨNG CÁNH TRƠN</t>
  </si>
  <si>
    <t xml:space="preserve">NGANG CÁNH TRÊN </t>
  </si>
  <si>
    <t>NGANG CÁNH DƯỚI</t>
  </si>
  <si>
    <t>NHỰA CHỐNG RUNG</t>
  </si>
  <si>
    <t>08</t>
  </si>
  <si>
    <t>09</t>
  </si>
  <si>
    <t>ĐÚNG CÁNH</t>
  </si>
  <si>
    <t>NẸP CÁNH</t>
  </si>
  <si>
    <t>KE  KHUNG BAO</t>
  </si>
  <si>
    <t>KE CÁNH</t>
  </si>
  <si>
    <t>RON CÁNH</t>
  </si>
  <si>
    <t>4 KE TĂNG CỨNG 1 CÁNH</t>
  </si>
  <si>
    <t xml:space="preserve">SỐ LƯỢNG 
TRỌNG LƯỢNG </t>
  </si>
  <si>
    <t>MÉT DÀI
( mm )</t>
  </si>
  <si>
    <t>KHUNG BAO CỬA SỔ</t>
  </si>
  <si>
    <t>KE CÁNH 14*25</t>
  </si>
  <si>
    <t>KE KHUNG BAO</t>
  </si>
  <si>
    <t>SỐ KG</t>
  </si>
  <si>
    <t>KHUNG BAO NGANG</t>
  </si>
  <si>
    <t>4 KE  1 CÁNH</t>
  </si>
  <si>
    <t>KE  KHUNG BAO VÁCH KÍNH 14*51</t>
  </si>
  <si>
    <t>NẸP NỐI</t>
  </si>
  <si>
    <t xml:space="preserve">NẸP KÍNH </t>
  </si>
  <si>
    <t>C3209</t>
  </si>
  <si>
    <t>C3210</t>
  </si>
  <si>
    <t>C3300</t>
  </si>
  <si>
    <t>N KB</t>
  </si>
  <si>
    <t>D KB</t>
  </si>
  <si>
    <t>LÁ SÁCH</t>
  </si>
  <si>
    <t xml:space="preserve">KHUNG BAO NGANG </t>
  </si>
  <si>
    <t>E1283</t>
  </si>
  <si>
    <t>E192</t>
  </si>
  <si>
    <t>CỘNG THÊM 3K 1KG 
PHÍ VẬN CHUYỂN</t>
  </si>
  <si>
    <t xml:space="preserve">RAY LÙA </t>
  </si>
  <si>
    <t>ỐP NẮP RÃY</t>
  </si>
  <si>
    <t>KE KHUNG BAO 14*25</t>
  </si>
  <si>
    <t>N.cánh</t>
  </si>
  <si>
    <t>Đ cánh</t>
  </si>
  <si>
    <t>D0220</t>
  </si>
  <si>
    <t>D0221</t>
  </si>
  <si>
    <t>D0420</t>
  </si>
  <si>
    <t>D0421</t>
  </si>
  <si>
    <t>NGANG CÁNH</t>
  </si>
  <si>
    <t>NẸP KÍNH</t>
  </si>
  <si>
    <t>ĐỨNG CÁNH 120</t>
  </si>
  <si>
    <t>NGANG CÁNH 120</t>
  </si>
  <si>
    <t>KE GÓC CÁNH</t>
  </si>
  <si>
    <t>D0720</t>
  </si>
  <si>
    <t>D1210</t>
  </si>
  <si>
    <t>KE CÁNH 35*52</t>
  </si>
  <si>
    <t>KE KHUNG BAO 31*51</t>
  </si>
  <si>
    <t>KE CÁNH - 25*52</t>
  </si>
  <si>
    <t>KE KHUNG BAO - 15*52</t>
  </si>
  <si>
    <t>D0114</t>
  </si>
  <si>
    <t>D0214</t>
  </si>
  <si>
    <t xml:space="preserve">ĐỨNG CÁNH </t>
  </si>
  <si>
    <t>U KÍNH ĐƠN</t>
  </si>
  <si>
    <t>RAY LÙA</t>
  </si>
  <si>
    <t>ỐP RAY</t>
  </si>
  <si>
    <t>CHỐNG RUNG</t>
  </si>
  <si>
    <t>U ĐỨNG</t>
  </si>
  <si>
    <t xml:space="preserve">Đ.cánh </t>
  </si>
  <si>
    <t>KE KHUNG BAO 15*23</t>
  </si>
  <si>
    <t>KE CÁNH 15*38</t>
  </si>
  <si>
    <t>ĐỐ CHIA PANO</t>
  </si>
  <si>
    <t xml:space="preserve">KHUNG BAO CẮT NGANG
TRƯỚC </t>
  </si>
  <si>
    <t>CỬA THỦY LỰC 1 CÁNH 120</t>
  </si>
  <si>
    <t>CỬA THỦY LỰC 2 CÁNH 120</t>
  </si>
  <si>
    <t>CỬA THỦY LỰC 1 CÁNH 180</t>
  </si>
  <si>
    <t>CỬA THỦY LỰC 2 CÁNH 180</t>
  </si>
  <si>
    <t xml:space="preserve">KHUNG BAO + ĐẾ NẸP </t>
  </si>
  <si>
    <t>0820-0920</t>
  </si>
  <si>
    <t>D0415</t>
  </si>
  <si>
    <t>D0615</t>
  </si>
  <si>
    <t>F0116</t>
  </si>
  <si>
    <t>F0416</t>
  </si>
  <si>
    <t>F0216</t>
  </si>
  <si>
    <t>F0712</t>
  </si>
  <si>
    <t>F1616</t>
  </si>
  <si>
    <t>F1716</t>
  </si>
  <si>
    <t>TỔNG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</si>
</sst>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%"/>
    <numFmt numFmtId="167" formatCode="0.000"/>
  </numFmts>
  <fonts count="12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u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64" fontId="1" fillId="0" borderId="0" xfId="1" applyNumberFormat="1" applyFont="1"/>
    <xf numFmtId="0" fontId="1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5" fillId="0" borderId="0" xfId="1" applyNumberFormat="1" applyFont="1"/>
    <xf numFmtId="164" fontId="9" fillId="0" borderId="0" xfId="1" applyNumberFormat="1" applyFont="1"/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1" xfId="1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0" borderId="1" xfId="1" applyNumberFormat="1" applyFont="1" applyBorder="1" applyAlignment="1"/>
    <xf numFmtId="164" fontId="1" fillId="0" borderId="1" xfId="0" applyNumberFormat="1" applyFont="1" applyBorder="1" applyAlignment="1">
      <alignment vertical="center"/>
    </xf>
    <xf numFmtId="0" fontId="1" fillId="5" borderId="1" xfId="0" applyFont="1" applyFill="1" applyBorder="1"/>
    <xf numFmtId="0" fontId="6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3" borderId="1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/>
    </xf>
    <xf numFmtId="164" fontId="1" fillId="3" borderId="0" xfId="1" applyNumberFormat="1" applyFont="1" applyFill="1" applyBorder="1" applyAlignment="1"/>
    <xf numFmtId="164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9" fontId="1" fillId="0" borderId="1" xfId="2" applyFont="1" applyBorder="1" applyAlignment="1">
      <alignment horizontal="right"/>
    </xf>
    <xf numFmtId="165" fontId="1" fillId="0" borderId="1" xfId="1" applyNumberFormat="1" applyFont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1" fillId="3" borderId="1" xfId="0" applyFont="1" applyFill="1" applyBorder="1"/>
    <xf numFmtId="0" fontId="1" fillId="0" borderId="12" xfId="0" applyFont="1" applyBorder="1"/>
    <xf numFmtId="164" fontId="1" fillId="0" borderId="0" xfId="1" applyNumberFormat="1" applyFont="1" applyBorder="1" applyAlignment="1"/>
    <xf numFmtId="164" fontId="1" fillId="0" borderId="0" xfId="1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3" fontId="1" fillId="3" borderId="0" xfId="1" applyNumberFormat="1" applyFont="1" applyFill="1" applyBorder="1"/>
    <xf numFmtId="164" fontId="1" fillId="3" borderId="0" xfId="1" applyNumberFormat="1" applyFont="1" applyFill="1" applyBorder="1"/>
    <xf numFmtId="164" fontId="1" fillId="3" borderId="0" xfId="1" applyNumberFormat="1" applyFont="1" applyFill="1" applyBorder="1" applyAlignment="1">
      <alignment horizontal="center"/>
    </xf>
    <xf numFmtId="43" fontId="1" fillId="3" borderId="0" xfId="1" applyFont="1" applyFill="1" applyBorder="1" applyAlignment="1">
      <alignment horizontal="center"/>
    </xf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0" xfId="1" applyNumberFormat="1" applyFont="1" applyFill="1" applyBorder="1"/>
    <xf numFmtId="164" fontId="8" fillId="3" borderId="0" xfId="1" applyNumberFormat="1" applyFont="1" applyFill="1" applyBorder="1"/>
    <xf numFmtId="0" fontId="7" fillId="3" borderId="0" xfId="0" applyFont="1" applyFill="1"/>
    <xf numFmtId="0" fontId="1" fillId="0" borderId="9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/>
    <xf numFmtId="0" fontId="1" fillId="0" borderId="7" xfId="0" applyFont="1" applyBorder="1"/>
    <xf numFmtId="43" fontId="1" fillId="0" borderId="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0" borderId="1" xfId="1" quotePrefix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0" borderId="9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167" fontId="1" fillId="3" borderId="1" xfId="0" applyNumberFormat="1" applyFont="1" applyFill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5" xfId="0" applyFont="1" applyBorder="1"/>
    <xf numFmtId="0" fontId="1" fillId="5" borderId="0" xfId="0" applyFont="1" applyFill="1"/>
    <xf numFmtId="165" fontId="1" fillId="3" borderId="1" xfId="0" applyNumberFormat="1" applyFont="1" applyFill="1" applyBorder="1" applyAlignment="1">
      <alignment horizontal="right" vertical="center"/>
    </xf>
    <xf numFmtId="164" fontId="1" fillId="3" borderId="1" xfId="1" applyNumberFormat="1" applyFont="1" applyFill="1" applyBorder="1" applyAlignment="1"/>
    <xf numFmtId="164" fontId="1" fillId="0" borderId="1" xfId="0" applyNumberFormat="1" applyFont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164" fontId="1" fillId="4" borderId="1" xfId="1" quotePrefix="1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4" fontId="1" fillId="2" borderId="1" xfId="1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1" fillId="0" borderId="12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43" fontId="1" fillId="0" borderId="0" xfId="0" applyNumberFormat="1" applyFont="1"/>
    <xf numFmtId="164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164" fontId="6" fillId="3" borderId="0" xfId="1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6" fontId="6" fillId="3" borderId="0" xfId="2" applyNumberFormat="1" applyFont="1" applyFill="1" applyBorder="1" applyAlignment="1">
      <alignment horizontal="center"/>
    </xf>
    <xf numFmtId="43" fontId="6" fillId="3" borderId="0" xfId="0" applyNumberFormat="1" applyFont="1" applyFill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1" fillId="0" borderId="11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64" fontId="6" fillId="3" borderId="6" xfId="1" applyNumberFormat="1" applyFont="1" applyFill="1" applyBorder="1" applyAlignment="1">
      <alignment horizontal="center"/>
    </xf>
    <xf numFmtId="164" fontId="6" fillId="3" borderId="15" xfId="1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9" fontId="6" fillId="3" borderId="0" xfId="2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184585</xdr:colOff>
      <xdr:row>3</xdr:row>
      <xdr:rowOff>216078</xdr:rowOff>
    </xdr:from>
    <xdr:to>
      <xdr:col>3</xdr:col>
      <xdr:colOff>728870</xdr:colOff>
      <xdr:row>8</xdr:row>
      <xdr:rowOff>207459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237" y="2220469"/>
          <a:ext cx="3161590" cy="289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831478</xdr:colOff>
      <xdr:row>2</xdr:row>
      <xdr:rowOff>375398</xdr:rowOff>
    </xdr:from>
    <xdr:to>
      <xdr:col>3</xdr:col>
      <xdr:colOff>510988</xdr:colOff>
      <xdr:row>8</xdr:row>
      <xdr:rowOff>286316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03831" y="1146363"/>
          <a:ext cx="2099981" cy="2988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720977</xdr:colOff>
      <xdr:row>2</xdr:row>
      <xdr:rowOff>467268</xdr:rowOff>
    </xdr:from>
    <xdr:to>
      <xdr:col>3</xdr:col>
      <xdr:colOff>342</xdr:colOff>
      <xdr:row>8</xdr:row>
      <xdr:rowOff>360317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441" y="1419768"/>
          <a:ext cx="2081893" cy="275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633" y="1402861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309554</xdr:colOff>
      <xdr:row>2</xdr:row>
      <xdr:rowOff>397183</xdr:rowOff>
    </xdr:from>
    <xdr:to>
      <xdr:col>3</xdr:col>
      <xdr:colOff>1044220</xdr:colOff>
      <xdr:row>9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887" y="1469627"/>
          <a:ext cx="3867333" cy="335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226484</xdr:colOff>
      <xdr:row>3</xdr:row>
      <xdr:rowOff>103717</xdr:rowOff>
    </xdr:from>
    <xdr:to>
      <xdr:col>3</xdr:col>
      <xdr:colOff>366890</xdr:colOff>
      <xdr:row>7</xdr:row>
      <xdr:rowOff>352777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817" y="1585384"/>
          <a:ext cx="3131961" cy="222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200922</xdr:colOff>
      <xdr:row>3</xdr:row>
      <xdr:rowOff>450371</xdr:rowOff>
    </xdr:from>
    <xdr:to>
      <xdr:col>3</xdr:col>
      <xdr:colOff>1092678</xdr:colOff>
      <xdr:row>8</xdr:row>
      <xdr:rowOff>115019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94" y="2132522"/>
          <a:ext cx="3594699" cy="246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524933</xdr:colOff>
      <xdr:row>2</xdr:row>
      <xdr:rowOff>73024</xdr:rowOff>
    </xdr:from>
    <xdr:to>
      <xdr:col>3</xdr:col>
      <xdr:colOff>728132</xdr:colOff>
      <xdr:row>8</xdr:row>
      <xdr:rowOff>186266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733" y="987424"/>
          <a:ext cx="2844799" cy="2856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548105</xdr:colOff>
      <xdr:row>2</xdr:row>
      <xdr:rowOff>352927</xdr:rowOff>
    </xdr:from>
    <xdr:to>
      <xdr:col>3</xdr:col>
      <xdr:colOff>775369</xdr:colOff>
      <xdr:row>8</xdr:row>
      <xdr:rowOff>347579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47" y="1155032"/>
          <a:ext cx="2900948" cy="24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3</xdr:row>
      <xdr:rowOff>303966</xdr:rowOff>
    </xdr:from>
    <xdr:to>
      <xdr:col>3</xdr:col>
      <xdr:colOff>644236</xdr:colOff>
      <xdr:row>7</xdr:row>
      <xdr:rowOff>427341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912620" y="1629846"/>
          <a:ext cx="2800696" cy="18912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716459</xdr:colOff>
      <xdr:row>3</xdr:row>
      <xdr:rowOff>116606</xdr:rowOff>
    </xdr:from>
    <xdr:to>
      <xdr:col>3</xdr:col>
      <xdr:colOff>718868</xdr:colOff>
      <xdr:row>9</xdr:row>
      <xdr:rowOff>28755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7742" y="2143814"/>
          <a:ext cx="2389050" cy="301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296017</xdr:colOff>
      <xdr:row>2</xdr:row>
      <xdr:rowOff>42307</xdr:rowOff>
    </xdr:from>
    <xdr:to>
      <xdr:col>3</xdr:col>
      <xdr:colOff>849925</xdr:colOff>
      <xdr:row>10</xdr:row>
      <xdr:rowOff>424963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440" y="1273230"/>
          <a:ext cx="3396754" cy="4251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997387</xdr:colOff>
      <xdr:row>2</xdr:row>
      <xdr:rowOff>537813</xdr:rowOff>
    </xdr:from>
    <xdr:to>
      <xdr:col>3</xdr:col>
      <xdr:colOff>1185333</xdr:colOff>
      <xdr:row>9</xdr:row>
      <xdr:rowOff>237068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87" y="1977146"/>
          <a:ext cx="4099546" cy="3847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4288" y="1607429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1552755</xdr:colOff>
      <xdr:row>2</xdr:row>
      <xdr:rowOff>382808</xdr:rowOff>
    </xdr:from>
    <xdr:to>
      <xdr:col>3</xdr:col>
      <xdr:colOff>1150189</xdr:colOff>
      <xdr:row>9</xdr:row>
      <xdr:rowOff>105072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755" y="1619261"/>
          <a:ext cx="4298830" cy="344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512617</xdr:colOff>
      <xdr:row>3</xdr:row>
      <xdr:rowOff>0</xdr:rowOff>
    </xdr:from>
    <xdr:to>
      <xdr:col>3</xdr:col>
      <xdr:colOff>443344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508" y="1704109"/>
          <a:ext cx="2618509" cy="2992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o\OneDrive\Documents\EX%20PH&#7908;%20KI&#7878;N\B&#193;O%20GI&#193;%20DRAHO.xlsx" TargetMode="External"/><Relationship Id="rId1" Type="http://schemas.openxmlformats.org/officeDocument/2006/relationships/externalLinkPath" Target="/Users/Dao/OneDrive/Documents/EX%20PH&#7908;%20KI&#7878;N/B&#193;O%20GI&#193;%20DRA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 Xingfa"/>
      <sheetName val="KHÓA D"/>
      <sheetName val="Ví dụ ck"/>
    </sheetNames>
    <sheetDataSet>
      <sheetData sheetId="0">
        <row r="171">
          <cell r="K171">
            <v>865001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7"/>
  <sheetViews>
    <sheetView topLeftCell="A4" zoomScale="45" zoomScaleNormal="45" zoomScalePageLayoutView="75" workbookViewId="0">
      <selection activeCell="L18" sqref="L18"/>
    </sheetView>
  </sheetViews>
  <sheetFormatPr defaultColWidth="17.109375" defaultRowHeight="46.2" customHeight="1" x14ac:dyDescent="0.35"/>
  <cols>
    <col min="1" max="11" width="17.109375" style="1"/>
    <col min="12" max="12" width="19.88671875" style="1" bestFit="1" customWidth="1"/>
    <col min="13" max="13" width="17.109375" style="1"/>
    <col min="14" max="14" width="12" style="1" customWidth="1"/>
    <col min="15" max="21" width="17.109375" style="1"/>
    <col min="22" max="22" width="19.21875" style="1" customWidth="1"/>
    <col min="23" max="23" width="34.21875" style="1" customWidth="1"/>
    <col min="24" max="16384" width="17.109375" style="1"/>
  </cols>
  <sheetData>
    <row r="1" spans="2:23" ht="46.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66" customHeight="1" x14ac:dyDescent="0.35">
      <c r="B2" s="130"/>
      <c r="C2" s="130"/>
      <c r="D2" s="130"/>
      <c r="E2" s="130"/>
      <c r="F2" s="130"/>
      <c r="G2" s="8"/>
      <c r="H2" s="131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6.2" customHeight="1" x14ac:dyDescent="0.35">
      <c r="B3" s="157"/>
      <c r="C3" s="157"/>
      <c r="D3" s="157"/>
      <c r="E3" s="3" t="s">
        <v>0</v>
      </c>
      <c r="F3" s="3" t="s">
        <v>1</v>
      </c>
      <c r="G3" s="3"/>
      <c r="H3" s="131"/>
      <c r="I3" s="9" t="s">
        <v>4</v>
      </c>
      <c r="J3" s="9" t="s">
        <v>3</v>
      </c>
      <c r="K3" s="9" t="s">
        <v>5</v>
      </c>
      <c r="L3" s="9" t="s">
        <v>2</v>
      </c>
      <c r="N3" s="18">
        <v>1</v>
      </c>
      <c r="O3" s="124" t="s">
        <v>54</v>
      </c>
      <c r="P3" s="125"/>
      <c r="Q3" s="125"/>
      <c r="R3" s="37">
        <f>K4*L4+K5*L5</f>
        <v>8202</v>
      </c>
      <c r="S3" s="32">
        <v>1.23</v>
      </c>
      <c r="T3" s="35">
        <f>S3*R3</f>
        <v>10088.459999999999</v>
      </c>
      <c r="U3" s="37">
        <v>130000</v>
      </c>
      <c r="V3" s="34">
        <f>U3*T3/1000</f>
        <v>1311499.8</v>
      </c>
      <c r="W3" s="119"/>
    </row>
    <row r="4" spans="2:23" ht="46.2" customHeight="1" x14ac:dyDescent="0.35">
      <c r="B4" s="157"/>
      <c r="C4" s="157"/>
      <c r="D4" s="157"/>
      <c r="E4" s="3">
        <v>3370</v>
      </c>
      <c r="F4" s="3">
        <v>2416</v>
      </c>
      <c r="G4" s="3">
        <v>1</v>
      </c>
      <c r="H4" s="6">
        <v>1</v>
      </c>
      <c r="I4" s="3" t="s">
        <v>10</v>
      </c>
      <c r="J4" s="6" t="str">
        <f>CONCATENATE($G$2,"-",$D$11,"-","3328","-","1")</f>
        <v>--3328-1</v>
      </c>
      <c r="K4" s="3">
        <f>E4</f>
        <v>3370</v>
      </c>
      <c r="L4" s="3">
        <v>1</v>
      </c>
      <c r="N4" s="18">
        <f>N3+1</f>
        <v>2</v>
      </c>
      <c r="O4" s="124" t="s">
        <v>55</v>
      </c>
      <c r="P4" s="125"/>
      <c r="Q4" s="125"/>
      <c r="R4" s="37">
        <f>K6*L6+K7*L7</f>
        <v>25464</v>
      </c>
      <c r="S4" s="32">
        <v>1.448</v>
      </c>
      <c r="T4" s="35">
        <f t="shared" ref="T4:T5" si="0">S4*R4</f>
        <v>36871.871999999996</v>
      </c>
      <c r="U4" s="37">
        <v>130000</v>
      </c>
      <c r="V4" s="34">
        <f>U4*T4/1000</f>
        <v>4793343.3599999994</v>
      </c>
      <c r="W4" s="83"/>
    </row>
    <row r="5" spans="2:23" ht="46.2" customHeight="1" x14ac:dyDescent="0.35">
      <c r="B5" s="157"/>
      <c r="C5" s="157"/>
      <c r="D5" s="157"/>
      <c r="E5" s="92"/>
      <c r="F5" s="45" t="s">
        <v>47</v>
      </c>
      <c r="G5" s="45" t="s">
        <v>120</v>
      </c>
      <c r="H5" s="6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2416</v>
      </c>
      <c r="L5" s="3">
        <v>2</v>
      </c>
      <c r="N5" s="18">
        <f t="shared" ref="N5:N12" si="1">N4+1</f>
        <v>3</v>
      </c>
      <c r="O5" s="124" t="s">
        <v>56</v>
      </c>
      <c r="P5" s="125"/>
      <c r="Q5" s="125"/>
      <c r="R5" s="37">
        <f>R4</f>
        <v>25464</v>
      </c>
      <c r="S5" s="32">
        <v>0.27700000000000002</v>
      </c>
      <c r="T5" s="35">
        <f t="shared" si="0"/>
        <v>7053.5280000000002</v>
      </c>
      <c r="U5" s="37">
        <v>130000</v>
      </c>
      <c r="V5" s="34">
        <f t="shared" ref="V5:V7" si="2">U5*T5/1000</f>
        <v>916958.64</v>
      </c>
      <c r="W5" s="83"/>
    </row>
    <row r="6" spans="2:23" ht="46.2" customHeight="1" x14ac:dyDescent="0.35">
      <c r="B6" s="157"/>
      <c r="C6" s="157"/>
      <c r="D6" s="157"/>
      <c r="E6" s="61"/>
      <c r="F6" s="20">
        <f>F4*E4/1000</f>
        <v>8141.92</v>
      </c>
      <c r="G6" s="91">
        <f>SUM(T3:T7)</f>
        <v>63587.276999999995</v>
      </c>
      <c r="H6" s="6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3">
        <f>IF((E4-36*2-25)/4&lt;0,"0",ROUNDDOWN((E4-72-25)/4,0))</f>
        <v>818</v>
      </c>
      <c r="L6" s="3">
        <v>8</v>
      </c>
      <c r="N6" s="18">
        <f t="shared" si="1"/>
        <v>4</v>
      </c>
      <c r="O6" s="124" t="s">
        <v>57</v>
      </c>
      <c r="P6" s="125"/>
      <c r="Q6" s="125"/>
      <c r="R6" s="37">
        <f>K8*L8</f>
        <v>6993</v>
      </c>
      <c r="S6" s="32">
        <v>0.50600000000000001</v>
      </c>
      <c r="T6" s="35">
        <f>S6*R6</f>
        <v>3538.4580000000001</v>
      </c>
      <c r="U6" s="37">
        <v>130000</v>
      </c>
      <c r="V6" s="34">
        <f t="shared" si="2"/>
        <v>459999.54</v>
      </c>
      <c r="W6" s="84"/>
    </row>
    <row r="7" spans="2:23" ht="46.2" customHeight="1" x14ac:dyDescent="0.35">
      <c r="B7" s="157"/>
      <c r="C7" s="157"/>
      <c r="D7" s="157"/>
      <c r="E7" s="3"/>
      <c r="F7" s="45" t="s">
        <v>43</v>
      </c>
      <c r="G7" s="45" t="s">
        <v>50</v>
      </c>
      <c r="H7" s="6">
        <f t="shared" si="3"/>
        <v>4</v>
      </c>
      <c r="I7" s="3" t="s">
        <v>18</v>
      </c>
      <c r="J7" s="6" t="str">
        <f>CONCATENATE($G$2,"-",$D$11,"-","3332","-","2")</f>
        <v>--3332-2</v>
      </c>
      <c r="K7" s="20">
        <f>IF(AND(F9="X",G9=""),K5-F8,0)+IF(AND(G9="X",F9=""),K5-G8,0)</f>
        <v>2365</v>
      </c>
      <c r="L7" s="3">
        <v>8</v>
      </c>
      <c r="N7" s="18">
        <f t="shared" si="1"/>
        <v>5</v>
      </c>
      <c r="O7" s="124" t="s">
        <v>72</v>
      </c>
      <c r="P7" s="125"/>
      <c r="Q7" s="126"/>
      <c r="R7" s="37">
        <f>K8*L8</f>
        <v>6993</v>
      </c>
      <c r="S7" s="32">
        <v>0.86299999999999999</v>
      </c>
      <c r="T7" s="35">
        <f t="shared" ref="T7" si="4">S7*R7</f>
        <v>6034.9589999999998</v>
      </c>
      <c r="U7" s="37">
        <v>130000</v>
      </c>
      <c r="V7" s="34">
        <f t="shared" si="2"/>
        <v>784544.67</v>
      </c>
      <c r="W7" s="46"/>
    </row>
    <row r="8" spans="2:23" ht="46.2" customHeight="1" x14ac:dyDescent="0.35">
      <c r="B8" s="157"/>
      <c r="C8" s="157"/>
      <c r="D8" s="157"/>
      <c r="E8" s="3"/>
      <c r="F8" s="3">
        <v>51</v>
      </c>
      <c r="G8" s="3">
        <v>31</v>
      </c>
      <c r="H8" s="6">
        <f t="shared" si="3"/>
        <v>5</v>
      </c>
      <c r="I8" s="3" t="s">
        <v>16</v>
      </c>
      <c r="J8" s="6" t="str">
        <f>CONCATENATE($G$2,"-",$D$11,"-","3323A","-","1")</f>
        <v>--3323A-1</v>
      </c>
      <c r="K8" s="6">
        <f>IF(F9="x",ROUNDDOWN(K7-30-4,0),ROUNDDOWN(K7-34-19,0))</f>
        <v>2331</v>
      </c>
      <c r="L8" s="3">
        <v>3</v>
      </c>
      <c r="N8" s="18">
        <f t="shared" si="1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413317.30049999995</v>
      </c>
      <c r="W8" s="46"/>
    </row>
    <row r="9" spans="2:23" ht="46.2" customHeight="1" x14ac:dyDescent="0.35">
      <c r="B9" s="157"/>
      <c r="C9" s="157"/>
      <c r="D9" s="157"/>
      <c r="E9" s="3"/>
      <c r="F9" s="3" t="s">
        <v>44</v>
      </c>
      <c r="G9" s="3"/>
      <c r="H9" s="6">
        <f t="shared" si="3"/>
        <v>6</v>
      </c>
      <c r="I9" s="3" t="s">
        <v>35</v>
      </c>
      <c r="J9" s="6" t="str">
        <f>CONCATENATE($G$2,"-",$D$11,"-","3329A","-","1")</f>
        <v>--3329A-1</v>
      </c>
      <c r="K9" s="6">
        <f>K6-61</f>
        <v>757</v>
      </c>
      <c r="L9" s="3">
        <v>4</v>
      </c>
      <c r="N9" s="18">
        <f t="shared" si="1"/>
        <v>7</v>
      </c>
      <c r="O9" s="124" t="s">
        <v>60</v>
      </c>
      <c r="P9" s="125"/>
      <c r="Q9" s="125"/>
      <c r="R9" s="32"/>
      <c r="S9" s="32"/>
      <c r="T9" s="36">
        <v>2</v>
      </c>
      <c r="U9" s="37">
        <v>7600</v>
      </c>
      <c r="V9" s="34">
        <f t="shared" ref="V9:V11" si="5">U9*T9</f>
        <v>15200</v>
      </c>
      <c r="W9" s="18"/>
    </row>
    <row r="10" spans="2:23" ht="46.2" customHeight="1" x14ac:dyDescent="0.35">
      <c r="B10" s="157"/>
      <c r="C10" s="157"/>
      <c r="D10" s="157"/>
      <c r="E10" s="3"/>
      <c r="F10" s="3">
        <v>34</v>
      </c>
      <c r="G10" s="3">
        <v>53</v>
      </c>
      <c r="H10" s="6">
        <f t="shared" si="3"/>
        <v>7</v>
      </c>
      <c r="I10" s="137" t="s">
        <v>15</v>
      </c>
      <c r="J10" s="3" t="s">
        <v>6</v>
      </c>
      <c r="K10" s="3" t="s">
        <v>7</v>
      </c>
      <c r="L10" s="5" t="s">
        <v>2</v>
      </c>
      <c r="N10" s="18">
        <f t="shared" si="1"/>
        <v>8</v>
      </c>
      <c r="O10" s="124" t="s">
        <v>61</v>
      </c>
      <c r="P10" s="125"/>
      <c r="Q10" s="125"/>
      <c r="R10" s="32"/>
      <c r="S10" s="32" t="s">
        <v>89</v>
      </c>
      <c r="T10" s="36">
        <v>16</v>
      </c>
      <c r="U10" s="37">
        <v>7600</v>
      </c>
      <c r="V10" s="34">
        <f t="shared" si="5"/>
        <v>121600</v>
      </c>
      <c r="W10" s="29" t="s">
        <v>74</v>
      </c>
    </row>
    <row r="11" spans="2:23" ht="46.2" customHeight="1" x14ac:dyDescent="0.35">
      <c r="B11" s="157"/>
      <c r="C11" s="157"/>
      <c r="D11" s="157"/>
      <c r="E11" s="3"/>
      <c r="F11" s="3"/>
      <c r="G11" s="3"/>
      <c r="H11" s="6">
        <f t="shared" si="3"/>
        <v>8</v>
      </c>
      <c r="I11" s="137"/>
      <c r="J11" s="15">
        <f>IF(K6-145&gt;0,K6-145,"0")</f>
        <v>673</v>
      </c>
      <c r="K11" s="15">
        <f>IF(K7-140&gt;0,K7-140,"0")</f>
        <v>2225</v>
      </c>
      <c r="L11" s="15">
        <f>G4*4</f>
        <v>4</v>
      </c>
      <c r="N11" s="18">
        <f t="shared" si="1"/>
        <v>9</v>
      </c>
      <c r="O11" s="124" t="s">
        <v>62</v>
      </c>
      <c r="P11" s="125"/>
      <c r="Q11" s="125"/>
      <c r="R11" s="32"/>
      <c r="S11" s="32"/>
      <c r="T11" s="36">
        <f>T10*2+T9</f>
        <v>34</v>
      </c>
      <c r="U11" s="37">
        <v>100</v>
      </c>
      <c r="V11" s="34">
        <f t="shared" si="5"/>
        <v>3400</v>
      </c>
      <c r="W11" s="29" t="s">
        <v>75</v>
      </c>
    </row>
    <row r="12" spans="2:23" ht="46.2" customHeight="1" x14ac:dyDescent="0.35">
      <c r="N12" s="18">
        <f t="shared" si="1"/>
        <v>10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8819863.3104999997</v>
      </c>
      <c r="W12" s="18"/>
    </row>
    <row r="13" spans="2:23" s="26" customFormat="1" ht="46.2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44"/>
      <c r="M13" s="44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"/>
    </row>
    <row r="14" spans="2:23" ht="46.2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36"/>
      <c r="K14" s="136"/>
      <c r="L14" s="69">
        <f>J11*K11*L11</f>
        <v>5989700</v>
      </c>
      <c r="M14" s="69"/>
      <c r="N14" s="18">
        <v>1</v>
      </c>
      <c r="O14" s="124" t="s">
        <v>67</v>
      </c>
      <c r="P14" s="125"/>
      <c r="Q14" s="125"/>
      <c r="R14" s="41">
        <f>R3+R4+R7</f>
        <v>40659</v>
      </c>
      <c r="S14" s="2">
        <v>1</v>
      </c>
      <c r="T14" s="42"/>
      <c r="U14" s="41">
        <v>1000</v>
      </c>
      <c r="V14" s="41">
        <f>U14*R14*S14/1000</f>
        <v>40659</v>
      </c>
      <c r="W14" s="2"/>
    </row>
    <row r="15" spans="2:23" ht="46.2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36"/>
      <c r="K15" s="136"/>
      <c r="L15" s="118">
        <f>L14*220/1000</f>
        <v>1317734</v>
      </c>
      <c r="M15" s="70"/>
      <c r="N15" s="18">
        <f>N14+1</f>
        <v>2</v>
      </c>
      <c r="O15" s="124" t="s">
        <v>48</v>
      </c>
      <c r="P15" s="125"/>
      <c r="Q15" s="125"/>
      <c r="R15" s="41">
        <f>R4*2</f>
        <v>50928</v>
      </c>
      <c r="S15" s="2">
        <v>1</v>
      </c>
      <c r="T15" s="42"/>
      <c r="U15" s="41">
        <v>1000</v>
      </c>
      <c r="V15" s="41">
        <f>U15*R15*S15/1000</f>
        <v>50928</v>
      </c>
      <c r="W15" s="29" t="s">
        <v>76</v>
      </c>
    </row>
    <row r="16" spans="2:23" ht="46.2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36"/>
      <c r="K16" s="136"/>
      <c r="L16" s="118">
        <v>3123000</v>
      </c>
      <c r="M16" s="70"/>
      <c r="N16" s="18">
        <f t="shared" ref="N16:N21" si="6">N15+1</f>
        <v>3</v>
      </c>
      <c r="O16" s="124" t="s">
        <v>68</v>
      </c>
      <c r="P16" s="125"/>
      <c r="Q16" s="125"/>
      <c r="R16" s="41"/>
      <c r="S16" s="2">
        <v>1</v>
      </c>
      <c r="T16" s="42"/>
      <c r="U16" s="41">
        <v>2500</v>
      </c>
      <c r="V16" s="41">
        <f>U16*S16</f>
        <v>2500</v>
      </c>
      <c r="W16" s="29" t="s">
        <v>77</v>
      </c>
    </row>
    <row r="17" spans="2:23" ht="46.2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36"/>
      <c r="K17" s="136"/>
      <c r="L17" s="69">
        <f>F6*150</f>
        <v>1221288</v>
      </c>
      <c r="M17" s="70"/>
      <c r="N17" s="18">
        <f t="shared" si="6"/>
        <v>4</v>
      </c>
      <c r="O17" s="124" t="s">
        <v>73</v>
      </c>
      <c r="P17" s="125"/>
      <c r="Q17" s="125"/>
      <c r="R17" s="41"/>
      <c r="S17" s="2">
        <v>3</v>
      </c>
      <c r="T17" s="42"/>
      <c r="U17" s="41">
        <v>2500</v>
      </c>
      <c r="V17" s="41">
        <f>U17*S17</f>
        <v>7500</v>
      </c>
      <c r="W17" s="29"/>
    </row>
    <row r="18" spans="2:23" ht="46.2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36"/>
      <c r="K18" s="136"/>
      <c r="L18" s="69">
        <f>L17+L16+L15+V21</f>
        <v>14586472.3105</v>
      </c>
      <c r="M18" s="70"/>
      <c r="N18" s="18">
        <f t="shared" si="6"/>
        <v>5</v>
      </c>
      <c r="O18" s="124" t="s">
        <v>69</v>
      </c>
      <c r="P18" s="125"/>
      <c r="Q18" s="126"/>
      <c r="R18" s="41"/>
      <c r="S18" s="2">
        <v>1</v>
      </c>
      <c r="T18" s="42"/>
      <c r="U18" s="41">
        <v>1000</v>
      </c>
      <c r="V18" s="41">
        <f t="shared" ref="V18:V19" si="7">U18*S18</f>
        <v>1000</v>
      </c>
      <c r="W18" s="29" t="s">
        <v>78</v>
      </c>
    </row>
    <row r="19" spans="2:23" ht="46.2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36"/>
      <c r="K19" s="136"/>
      <c r="L19" s="69"/>
      <c r="M19" s="70"/>
      <c r="N19" s="18">
        <f t="shared" si="6"/>
        <v>6</v>
      </c>
      <c r="O19" s="124" t="s">
        <v>71</v>
      </c>
      <c r="P19" s="125"/>
      <c r="Q19" s="126"/>
      <c r="R19" s="41"/>
      <c r="S19" s="2">
        <v>1</v>
      </c>
      <c r="T19" s="42"/>
      <c r="U19" s="41">
        <v>2000</v>
      </c>
      <c r="V19" s="41">
        <f t="shared" si="7"/>
        <v>2000</v>
      </c>
      <c r="W19" s="29" t="s">
        <v>78</v>
      </c>
    </row>
    <row r="20" spans="2:23" ht="46.2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36"/>
      <c r="K20" s="136"/>
      <c r="L20" s="69"/>
      <c r="M20" s="70"/>
      <c r="N20" s="18">
        <f t="shared" si="6"/>
        <v>7</v>
      </c>
      <c r="O20" s="144" t="s">
        <v>70</v>
      </c>
      <c r="P20" s="144"/>
      <c r="Q20" s="144"/>
      <c r="R20" s="144"/>
      <c r="S20" s="144"/>
      <c r="T20" s="38"/>
      <c r="U20" s="39"/>
      <c r="V20" s="40">
        <f>SUM(V14:V19)</f>
        <v>104587</v>
      </c>
      <c r="W20" s="62"/>
    </row>
    <row r="21" spans="2:23" ht="46.2" customHeight="1" x14ac:dyDescent="0.35">
      <c r="B21" s="127"/>
      <c r="C21" s="127"/>
      <c r="D21" s="127"/>
      <c r="E21" s="127"/>
      <c r="F21" s="127"/>
      <c r="G21" s="127"/>
      <c r="H21" s="141">
        <f t="shared" ref="H21" si="8">F21</f>
        <v>0</v>
      </c>
      <c r="I21" s="141"/>
      <c r="J21" s="60"/>
      <c r="K21" s="57"/>
      <c r="L21" s="69"/>
      <c r="M21" s="70"/>
      <c r="N21" s="115">
        <f t="shared" si="6"/>
        <v>8</v>
      </c>
      <c r="O21" s="145" t="s">
        <v>183</v>
      </c>
      <c r="P21" s="146"/>
      <c r="Q21" s="146"/>
      <c r="R21" s="146"/>
      <c r="S21" s="147"/>
      <c r="T21" s="116"/>
      <c r="U21" s="117"/>
      <c r="V21" s="118">
        <f>V12+V20</f>
        <v>8924450.3104999997</v>
      </c>
      <c r="W21" s="115"/>
    </row>
    <row r="22" spans="2:23" ht="46.2" customHeight="1" x14ac:dyDescent="0.35">
      <c r="B22" s="55"/>
      <c r="C22" s="143"/>
      <c r="D22" s="143"/>
      <c r="E22" s="143"/>
      <c r="F22" s="67"/>
      <c r="G22" s="57"/>
      <c r="H22" s="57"/>
      <c r="I22" s="68"/>
      <c r="J22" s="68"/>
      <c r="K22" s="57"/>
      <c r="L22" s="69"/>
      <c r="M22" s="70"/>
      <c r="N22" s="22"/>
      <c r="O22" s="160"/>
      <c r="P22" s="160"/>
      <c r="Q22" s="63"/>
      <c r="R22" s="64"/>
      <c r="S22" s="64"/>
      <c r="T22" s="65"/>
      <c r="U22" s="64"/>
      <c r="V22" s="66"/>
    </row>
    <row r="23" spans="2:23" ht="46.2" customHeight="1" x14ac:dyDescent="0.35">
      <c r="B23" s="55"/>
      <c r="C23" s="143"/>
      <c r="D23" s="143"/>
      <c r="E23" s="143"/>
      <c r="F23" s="71"/>
      <c r="G23" s="57"/>
      <c r="H23" s="57"/>
      <c r="I23" s="57"/>
      <c r="J23" s="72"/>
      <c r="K23" s="57"/>
      <c r="L23" s="55"/>
      <c r="M23" s="57"/>
      <c r="N23" s="22"/>
      <c r="O23" s="143"/>
      <c r="P23" s="143"/>
      <c r="Q23" s="51"/>
      <c r="R23" s="49"/>
      <c r="S23" s="49"/>
      <c r="T23" s="52"/>
      <c r="U23" s="49"/>
      <c r="V23" s="53"/>
      <c r="W23" s="57"/>
    </row>
    <row r="24" spans="2:23" ht="46.2" customHeight="1" x14ac:dyDescent="0.35">
      <c r="B24" s="55"/>
      <c r="C24" s="143"/>
      <c r="D24" s="143"/>
      <c r="E24" s="143"/>
      <c r="F24" s="71"/>
      <c r="G24" s="57"/>
      <c r="H24" s="57"/>
      <c r="I24" s="57"/>
      <c r="J24" s="73"/>
      <c r="K24" s="57"/>
      <c r="L24" s="55"/>
      <c r="M24" s="57"/>
      <c r="N24" s="22"/>
      <c r="O24" s="143"/>
      <c r="P24" s="143"/>
      <c r="Q24" s="51"/>
      <c r="R24" s="49"/>
      <c r="S24" s="49"/>
      <c r="T24" s="52"/>
      <c r="U24" s="49"/>
      <c r="V24" s="53"/>
      <c r="W24" s="57"/>
    </row>
    <row r="25" spans="2:23" ht="46.2" customHeight="1" x14ac:dyDescent="0.35">
      <c r="B25" s="55"/>
      <c r="C25" s="143"/>
      <c r="D25" s="143"/>
      <c r="E25" s="143"/>
      <c r="F25" s="71"/>
      <c r="G25" s="57"/>
      <c r="H25" s="57"/>
      <c r="I25" s="57"/>
      <c r="J25" s="73"/>
      <c r="K25" s="57"/>
      <c r="L25" s="55"/>
      <c r="M25" s="57"/>
      <c r="N25" s="22"/>
      <c r="O25" s="143"/>
      <c r="P25" s="143"/>
      <c r="Q25" s="51"/>
      <c r="R25" s="49"/>
      <c r="S25" s="49"/>
      <c r="T25" s="52"/>
      <c r="U25" s="49"/>
      <c r="V25" s="53"/>
      <c r="W25" s="57"/>
    </row>
    <row r="26" spans="2:23" ht="46.2" customHeight="1" x14ac:dyDescent="0.35">
      <c r="B26" s="55"/>
      <c r="C26" s="143"/>
      <c r="D26" s="143"/>
      <c r="E26" s="143"/>
      <c r="F26" s="71"/>
      <c r="G26" s="57"/>
      <c r="H26" s="57"/>
      <c r="I26" s="57"/>
      <c r="J26" s="73"/>
      <c r="K26" s="57"/>
      <c r="L26" s="55"/>
      <c r="M26" s="57"/>
      <c r="N26" s="22"/>
      <c r="O26" s="143"/>
      <c r="P26" s="143"/>
      <c r="Q26" s="51"/>
      <c r="R26" s="49"/>
      <c r="S26" s="49"/>
      <c r="T26" s="54"/>
      <c r="U26" s="49"/>
      <c r="V26" s="53"/>
      <c r="W26" s="57"/>
    </row>
    <row r="27" spans="2:23" ht="46.2" customHeight="1" x14ac:dyDescent="0.35">
      <c r="B27" s="55"/>
      <c r="C27" s="143"/>
      <c r="D27" s="143"/>
      <c r="E27" s="143"/>
      <c r="F27" s="71"/>
      <c r="G27" s="57"/>
      <c r="H27" s="57"/>
      <c r="I27" s="68"/>
      <c r="J27" s="74"/>
      <c r="K27" s="57"/>
      <c r="L27" s="55"/>
      <c r="M27" s="57"/>
      <c r="N27" s="22"/>
      <c r="O27" s="143"/>
      <c r="P27" s="143"/>
      <c r="Q27" s="51"/>
      <c r="R27" s="49"/>
      <c r="S27" s="49"/>
      <c r="T27" s="54"/>
      <c r="U27" s="49"/>
      <c r="V27" s="53"/>
      <c r="W27" s="57"/>
    </row>
    <row r="28" spans="2:23" ht="46.2" customHeight="1" x14ac:dyDescent="0.35">
      <c r="B28" s="55"/>
      <c r="C28" s="142"/>
      <c r="D28" s="142"/>
      <c r="E28" s="142"/>
      <c r="F28" s="71"/>
      <c r="G28" s="57"/>
      <c r="H28" s="57"/>
      <c r="I28" s="68"/>
      <c r="J28" s="74"/>
      <c r="K28" s="57"/>
      <c r="L28" s="55"/>
      <c r="M28" s="57"/>
      <c r="N28" s="22"/>
      <c r="O28" s="143"/>
      <c r="P28" s="143"/>
      <c r="Q28" s="51"/>
      <c r="R28" s="49"/>
      <c r="S28" s="49"/>
      <c r="T28" s="54"/>
      <c r="U28" s="49"/>
      <c r="V28" s="53"/>
      <c r="W28" s="57"/>
    </row>
    <row r="29" spans="2:23" ht="46.2" customHeight="1" x14ac:dyDescent="0.35">
      <c r="B29" s="55"/>
      <c r="C29" s="142"/>
      <c r="D29" s="142"/>
      <c r="E29" s="142"/>
      <c r="F29" s="71"/>
      <c r="G29" s="57"/>
      <c r="H29" s="57"/>
      <c r="I29" s="68"/>
      <c r="J29" s="74"/>
      <c r="K29" s="57"/>
      <c r="L29" s="55"/>
      <c r="M29" s="57"/>
      <c r="N29" s="22"/>
      <c r="O29" s="142"/>
      <c r="P29" s="142"/>
      <c r="Q29" s="142"/>
      <c r="R29" s="142"/>
      <c r="S29" s="142"/>
      <c r="T29" s="56"/>
      <c r="U29" s="49"/>
      <c r="V29" s="53"/>
      <c r="W29" s="57"/>
    </row>
    <row r="30" spans="2:23" ht="46.2" customHeight="1" x14ac:dyDescent="0.35">
      <c r="B30" s="55"/>
      <c r="C30" s="143"/>
      <c r="D30" s="143"/>
      <c r="E30" s="143"/>
      <c r="F30" s="71"/>
      <c r="G30" s="57"/>
      <c r="H30" s="57"/>
      <c r="I30" s="68"/>
      <c r="J30" s="68"/>
      <c r="K30" s="57"/>
      <c r="L30" s="57"/>
      <c r="M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2:23" s="25" customFormat="1" ht="46.2" customHeight="1" x14ac:dyDescent="0.35">
      <c r="B31" s="159"/>
      <c r="C31" s="159"/>
      <c r="D31" s="159"/>
      <c r="E31" s="159"/>
      <c r="F31" s="159"/>
      <c r="G31" s="159"/>
      <c r="H31" s="159"/>
      <c r="I31" s="159"/>
      <c r="J31" s="75"/>
      <c r="K31" s="76"/>
      <c r="L31" s="76"/>
      <c r="M31" s="76"/>
      <c r="N31" s="1"/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46.2" customHeight="1" x14ac:dyDescent="0.35">
      <c r="B32" s="57"/>
      <c r="C32" s="142"/>
      <c r="D32" s="142"/>
      <c r="E32" s="142"/>
      <c r="F32" s="142"/>
      <c r="G32" s="57"/>
      <c r="H32" s="57"/>
      <c r="I32" s="68"/>
      <c r="J32" s="57"/>
      <c r="K32" s="57"/>
      <c r="L32" s="57"/>
      <c r="M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3:23" ht="46.2" customHeight="1" x14ac:dyDescent="0.35">
      <c r="C33" s="133"/>
      <c r="D33" s="133"/>
      <c r="E33" s="133"/>
      <c r="F33" s="133"/>
      <c r="I33" s="11"/>
      <c r="L33" s="23"/>
      <c r="O33" s="57"/>
      <c r="P33" s="57"/>
      <c r="Q33" s="57"/>
      <c r="R33" s="57"/>
      <c r="S33" s="57"/>
      <c r="T33" s="57"/>
      <c r="U33" s="57"/>
      <c r="V33" s="57"/>
      <c r="W33" s="57"/>
    </row>
    <row r="34" spans="3:23" ht="46.2" customHeight="1" x14ac:dyDescent="0.35">
      <c r="C34" s="133"/>
      <c r="D34" s="133"/>
      <c r="E34" s="133"/>
      <c r="F34" s="133"/>
      <c r="I34" s="30"/>
      <c r="O34" s="57"/>
      <c r="P34" s="57"/>
      <c r="Q34" s="57"/>
      <c r="R34" s="57"/>
      <c r="S34" s="57"/>
      <c r="T34" s="57"/>
      <c r="U34" s="57"/>
      <c r="V34" s="57"/>
      <c r="W34" s="57"/>
    </row>
    <row r="35" spans="3:23" ht="46.2" customHeight="1" x14ac:dyDescent="0.35">
      <c r="C35" s="158"/>
      <c r="D35" s="158"/>
      <c r="E35" s="158"/>
      <c r="F35" s="158"/>
      <c r="G35" s="24"/>
      <c r="H35" s="24"/>
      <c r="I35" s="31"/>
    </row>
    <row r="36" spans="3:23" ht="46.2" customHeight="1" x14ac:dyDescent="0.35">
      <c r="I36" s="11"/>
    </row>
    <row r="37" spans="3:23" ht="46.2" customHeight="1" x14ac:dyDescent="0.35">
      <c r="I37" s="23"/>
    </row>
  </sheetData>
  <mergeCells count="87">
    <mergeCell ref="O18:Q18"/>
    <mergeCell ref="O28:P28"/>
    <mergeCell ref="O29:S29"/>
    <mergeCell ref="O19:Q19"/>
    <mergeCell ref="O20:S20"/>
    <mergeCell ref="O22:P22"/>
    <mergeCell ref="O23:P23"/>
    <mergeCell ref="O24:P24"/>
    <mergeCell ref="O25:P25"/>
    <mergeCell ref="O26:P26"/>
    <mergeCell ref="O27:P27"/>
    <mergeCell ref="O21:S21"/>
    <mergeCell ref="C35:F35"/>
    <mergeCell ref="B31:I31"/>
    <mergeCell ref="N1:W1"/>
    <mergeCell ref="O2:Q2"/>
    <mergeCell ref="O3:Q3"/>
    <mergeCell ref="O4:Q4"/>
    <mergeCell ref="O5:Q5"/>
    <mergeCell ref="O6:Q6"/>
    <mergeCell ref="O9:Q9"/>
    <mergeCell ref="O10:Q10"/>
    <mergeCell ref="O11:Q11"/>
    <mergeCell ref="O12:S12"/>
    <mergeCell ref="O13:Q13"/>
    <mergeCell ref="O14:Q14"/>
    <mergeCell ref="O15:Q15"/>
    <mergeCell ref="O16:Q16"/>
    <mergeCell ref="H21:I21"/>
    <mergeCell ref="J17:K17"/>
    <mergeCell ref="C32:F32"/>
    <mergeCell ref="C33:F33"/>
    <mergeCell ref="C34:F34"/>
    <mergeCell ref="J19:K19"/>
    <mergeCell ref="B20:G20"/>
    <mergeCell ref="H20:I20"/>
    <mergeCell ref="J20:K20"/>
    <mergeCell ref="C30:E30"/>
    <mergeCell ref="C28:E28"/>
    <mergeCell ref="C22:E22"/>
    <mergeCell ref="C29:E29"/>
    <mergeCell ref="C24:E24"/>
    <mergeCell ref="C25:E25"/>
    <mergeCell ref="C26:E26"/>
    <mergeCell ref="C27:E27"/>
    <mergeCell ref="C23:E23"/>
    <mergeCell ref="B21:C21"/>
    <mergeCell ref="D21:E21"/>
    <mergeCell ref="F21:G21"/>
    <mergeCell ref="H15:I15"/>
    <mergeCell ref="B16:C16"/>
    <mergeCell ref="D16:E16"/>
    <mergeCell ref="H17:I17"/>
    <mergeCell ref="B19:G19"/>
    <mergeCell ref="H19:I19"/>
    <mergeCell ref="I2:L2"/>
    <mergeCell ref="B1:L1"/>
    <mergeCell ref="J13:K13"/>
    <mergeCell ref="J14:K14"/>
    <mergeCell ref="J15:K15"/>
    <mergeCell ref="I10:I11"/>
    <mergeCell ref="B2:F2"/>
    <mergeCell ref="H2:H3"/>
    <mergeCell ref="H13:I13"/>
    <mergeCell ref="B13:C13"/>
    <mergeCell ref="D13:E13"/>
    <mergeCell ref="F13:G13"/>
    <mergeCell ref="B14:C14"/>
    <mergeCell ref="D14:E14"/>
    <mergeCell ref="F14:G14"/>
    <mergeCell ref="H14:I14"/>
    <mergeCell ref="O17:Q17"/>
    <mergeCell ref="O8:Q8"/>
    <mergeCell ref="O7:Q7"/>
    <mergeCell ref="J18:K18"/>
    <mergeCell ref="B3:D11"/>
    <mergeCell ref="F16:G16"/>
    <mergeCell ref="H16:I16"/>
    <mergeCell ref="J16:K16"/>
    <mergeCell ref="B17:G17"/>
    <mergeCell ref="B18:C18"/>
    <mergeCell ref="D18:E18"/>
    <mergeCell ref="F18:G18"/>
    <mergeCell ref="H18:I18"/>
    <mergeCell ref="B15:C15"/>
    <mergeCell ref="D15:E15"/>
    <mergeCell ref="F15:G15"/>
  </mergeCells>
  <pageMargins left="0.7" right="0.7" top="0.75" bottom="0.75" header="0.3" footer="0.3"/>
  <pageSetup scale="32" orientation="portrait" r:id="rId1"/>
  <colBreaks count="1" manualBreakCount="1">
    <brk id="12" max="1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6"/>
  <sheetViews>
    <sheetView zoomScale="47" zoomScaleNormal="47" zoomScaleSheetLayoutView="85" workbookViewId="0">
      <selection activeCell="I11" sqref="I11"/>
    </sheetView>
  </sheetViews>
  <sheetFormatPr defaultColWidth="15.6640625" defaultRowHeight="40.200000000000003" customHeight="1" x14ac:dyDescent="0.35"/>
  <cols>
    <col min="1" max="1" width="2.5546875" style="1" customWidth="1"/>
    <col min="2" max="12" width="15.6640625" style="1"/>
    <col min="13" max="13" width="5.44140625" style="1" customWidth="1"/>
    <col min="14" max="14" width="10.6640625" style="1" customWidth="1"/>
    <col min="15" max="15" width="22.21875" style="1" customWidth="1"/>
    <col min="16" max="16" width="19.109375" style="1" customWidth="1"/>
    <col min="17" max="17" width="22.21875" style="1" hidden="1" customWidth="1"/>
    <col min="18" max="22" width="22.21875" style="1" customWidth="1"/>
    <col min="23" max="23" width="45" style="1" customWidth="1"/>
    <col min="24" max="35" width="22.21875" style="1" customWidth="1"/>
    <col min="36" max="16384" width="15.6640625" style="1"/>
  </cols>
  <sheetData>
    <row r="1" spans="2:23" ht="40.20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78.75" customHeight="1" x14ac:dyDescent="0.35">
      <c r="B2" s="130" t="s">
        <v>49</v>
      </c>
      <c r="C2" s="130"/>
      <c r="D2" s="130"/>
      <c r="E2" s="130"/>
      <c r="F2" s="130"/>
      <c r="G2" s="21"/>
      <c r="H2" s="131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33" t="s">
        <v>116</v>
      </c>
      <c r="S2" s="33" t="s">
        <v>63</v>
      </c>
      <c r="T2" s="33" t="s">
        <v>115</v>
      </c>
      <c r="U2" s="27" t="s">
        <v>45</v>
      </c>
      <c r="V2" s="27" t="s">
        <v>46</v>
      </c>
      <c r="W2" s="27" t="s">
        <v>39</v>
      </c>
    </row>
    <row r="3" spans="2:23" ht="40.200000000000003" customHeight="1" x14ac:dyDescent="0.35">
      <c r="B3" s="132"/>
      <c r="C3" s="133"/>
      <c r="D3" s="133"/>
      <c r="E3" s="3" t="s">
        <v>0</v>
      </c>
      <c r="F3" s="19" t="s">
        <v>1</v>
      </c>
      <c r="G3" s="3" t="s">
        <v>2</v>
      </c>
      <c r="H3" s="131"/>
      <c r="I3" s="5" t="s">
        <v>4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54</v>
      </c>
      <c r="P3" s="125"/>
      <c r="Q3" s="125"/>
      <c r="R3" s="37">
        <f>K4*L4+K5*L5</f>
        <v>5750</v>
      </c>
      <c r="S3" s="32">
        <v>1.23</v>
      </c>
      <c r="T3" s="35">
        <f>S3*R3</f>
        <v>7072.5</v>
      </c>
      <c r="U3" s="37">
        <v>130000</v>
      </c>
      <c r="V3" s="34">
        <f>U3*T3/1000</f>
        <v>919425</v>
      </c>
      <c r="W3" s="119"/>
    </row>
    <row r="4" spans="2:23" ht="40.200000000000003" customHeight="1" x14ac:dyDescent="0.35">
      <c r="B4" s="132"/>
      <c r="C4" s="133"/>
      <c r="D4" s="133"/>
      <c r="E4" s="3">
        <v>750</v>
      </c>
      <c r="F4" s="3">
        <v>2500</v>
      </c>
      <c r="G4" s="3">
        <v>1</v>
      </c>
      <c r="H4" s="6" t="s">
        <v>19</v>
      </c>
      <c r="I4" s="3" t="s">
        <v>10</v>
      </c>
      <c r="J4" s="6" t="str">
        <f>CONCATENATE($G$2,"-",$D$10,"-","3328","-","1")</f>
        <v>--3328-1</v>
      </c>
      <c r="K4" s="85">
        <f>E4</f>
        <v>750</v>
      </c>
      <c r="L4" s="3">
        <f>G4*1</f>
        <v>1</v>
      </c>
      <c r="N4" s="18">
        <f>N3+1</f>
        <v>2</v>
      </c>
      <c r="O4" s="124" t="s">
        <v>55</v>
      </c>
      <c r="P4" s="125"/>
      <c r="Q4" s="125"/>
      <c r="R4" s="37">
        <f>K6*L6+K7*L7</f>
        <v>6234</v>
      </c>
      <c r="S4" s="32">
        <v>1.448</v>
      </c>
      <c r="T4" s="35">
        <f t="shared" ref="T4:T5" si="0">S4*R4</f>
        <v>9026.8320000000003</v>
      </c>
      <c r="U4" s="37">
        <v>130000</v>
      </c>
      <c r="V4" s="34">
        <f t="shared" ref="V4:V6" si="1">U4*T4/1000</f>
        <v>1173488.1599999999</v>
      </c>
      <c r="W4" s="83"/>
    </row>
    <row r="5" spans="2:23" ht="40.200000000000003" customHeight="1" x14ac:dyDescent="0.35">
      <c r="B5" s="132"/>
      <c r="C5" s="133"/>
      <c r="D5" s="133"/>
      <c r="E5" s="43"/>
      <c r="F5" s="45" t="s">
        <v>47</v>
      </c>
      <c r="G5" s="45" t="s">
        <v>120</v>
      </c>
      <c r="H5" s="6" t="s">
        <v>20</v>
      </c>
      <c r="I5" s="3" t="s">
        <v>41</v>
      </c>
      <c r="J5" s="6" t="str">
        <f>CONCATENATE($G$2,"-",$D$10,"-","3328","-","2")</f>
        <v>--3328-2</v>
      </c>
      <c r="K5" s="85">
        <f>F4</f>
        <v>2500</v>
      </c>
      <c r="L5" s="3">
        <f>G4*2</f>
        <v>2</v>
      </c>
      <c r="N5" s="18">
        <f t="shared" ref="N5:N11" si="2">N4+1</f>
        <v>3</v>
      </c>
      <c r="O5" s="124" t="s">
        <v>56</v>
      </c>
      <c r="P5" s="125"/>
      <c r="Q5" s="125"/>
      <c r="R5" s="37">
        <f>R4</f>
        <v>6234</v>
      </c>
      <c r="S5" s="32">
        <v>0.27700000000000002</v>
      </c>
      <c r="T5" s="35">
        <f t="shared" si="0"/>
        <v>1726.8180000000002</v>
      </c>
      <c r="U5" s="37">
        <v>130000</v>
      </c>
      <c r="V5" s="34">
        <f t="shared" si="1"/>
        <v>224486.34000000003</v>
      </c>
      <c r="W5" s="83"/>
    </row>
    <row r="6" spans="2:23" ht="40.200000000000003" customHeight="1" x14ac:dyDescent="0.35">
      <c r="B6" s="132"/>
      <c r="C6" s="133"/>
      <c r="D6" s="133"/>
      <c r="E6" s="61"/>
      <c r="F6" s="20">
        <f>F4*E4/1000</f>
        <v>1875</v>
      </c>
      <c r="G6" s="91">
        <f>SUM(T3:T6)</f>
        <v>18133.292000000001</v>
      </c>
      <c r="H6" s="6" t="s">
        <v>21</v>
      </c>
      <c r="I6" s="3" t="s">
        <v>12</v>
      </c>
      <c r="J6" s="6" t="str">
        <f>CONCATENATE($G$2,"-",$D$10,"-","3332","-","1")</f>
        <v>--3332-1</v>
      </c>
      <c r="K6" s="85">
        <f>K4-72-10</f>
        <v>668</v>
      </c>
      <c r="L6" s="3">
        <f>G4*2</f>
        <v>2</v>
      </c>
      <c r="N6" s="18">
        <f t="shared" si="2"/>
        <v>4</v>
      </c>
      <c r="O6" s="124" t="s">
        <v>57</v>
      </c>
      <c r="P6" s="125"/>
      <c r="Q6" s="125"/>
      <c r="R6" s="37">
        <f>K8*L8</f>
        <v>607</v>
      </c>
      <c r="S6" s="32">
        <v>0.50600000000000001</v>
      </c>
      <c r="T6" s="35">
        <f>S6*R6</f>
        <v>307.142</v>
      </c>
      <c r="U6" s="37">
        <v>130000</v>
      </c>
      <c r="V6" s="34">
        <f t="shared" si="1"/>
        <v>39928.46</v>
      </c>
      <c r="W6" s="84"/>
    </row>
    <row r="7" spans="2:23" ht="40.200000000000003" customHeight="1" x14ac:dyDescent="0.35">
      <c r="B7" s="132"/>
      <c r="C7" s="133"/>
      <c r="D7" s="133"/>
      <c r="E7" s="3"/>
      <c r="F7" s="45" t="s">
        <v>43</v>
      </c>
      <c r="G7" s="45" t="s">
        <v>50</v>
      </c>
      <c r="H7" s="6" t="s">
        <v>22</v>
      </c>
      <c r="I7" s="3" t="s">
        <v>13</v>
      </c>
      <c r="J7" s="6" t="str">
        <f>CONCATENATE($G$2,"-",$D$10,"-","3332","-","2")</f>
        <v>--3332-2</v>
      </c>
      <c r="K7" s="86">
        <f>IF(AND(F9="X",G9=""),K5-F8,0)+IF(AND(G9="X",F9=""),K5-G8,0)</f>
        <v>2449</v>
      </c>
      <c r="L7" s="3">
        <f>G4*2</f>
        <v>2</v>
      </c>
      <c r="N7" s="18">
        <f t="shared" si="2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117866.398</v>
      </c>
      <c r="W7" s="46"/>
    </row>
    <row r="8" spans="2:23" ht="40.200000000000003" customHeight="1" x14ac:dyDescent="0.35">
      <c r="B8" s="132"/>
      <c r="C8" s="133"/>
      <c r="D8" s="133"/>
      <c r="E8" s="3"/>
      <c r="F8" s="3">
        <v>51</v>
      </c>
      <c r="G8" s="3">
        <v>31</v>
      </c>
      <c r="H8" s="6" t="s">
        <v>24</v>
      </c>
      <c r="I8" s="3" t="s">
        <v>58</v>
      </c>
      <c r="J8" s="6" t="str">
        <f>CONCATENATE($G$2,"-",$D$10,"-","3329A","-","1")</f>
        <v>--3329A-1</v>
      </c>
      <c r="K8" s="87">
        <f>K6-61</f>
        <v>607</v>
      </c>
      <c r="L8" s="3">
        <f>G4*1</f>
        <v>1</v>
      </c>
      <c r="N8" s="18">
        <f t="shared" si="2"/>
        <v>6</v>
      </c>
      <c r="O8" s="124" t="s">
        <v>119</v>
      </c>
      <c r="P8" s="125"/>
      <c r="Q8" s="125"/>
      <c r="R8" s="32"/>
      <c r="S8" s="32"/>
      <c r="T8" s="36">
        <v>2</v>
      </c>
      <c r="U8" s="37">
        <v>7600</v>
      </c>
      <c r="V8" s="34">
        <f t="shared" ref="V8:V10" si="3">U8*T8</f>
        <v>15200</v>
      </c>
      <c r="W8" s="18"/>
    </row>
    <row r="9" spans="2:23" ht="40.200000000000003" customHeight="1" x14ac:dyDescent="0.35">
      <c r="B9" s="132"/>
      <c r="C9" s="133"/>
      <c r="D9" s="133"/>
      <c r="E9" s="2" t="s">
        <v>40</v>
      </c>
      <c r="F9" s="3" t="s">
        <v>44</v>
      </c>
      <c r="G9" s="3"/>
      <c r="H9" s="6" t="s">
        <v>25</v>
      </c>
      <c r="I9" s="137" t="s">
        <v>15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112</v>
      </c>
      <c r="P9" s="125"/>
      <c r="Q9" s="125"/>
      <c r="R9" s="32"/>
      <c r="S9" s="32"/>
      <c r="T9" s="36">
        <v>4</v>
      </c>
      <c r="U9" s="37">
        <v>7600</v>
      </c>
      <c r="V9" s="34">
        <f t="shared" si="3"/>
        <v>30400</v>
      </c>
      <c r="W9" s="29" t="s">
        <v>74</v>
      </c>
    </row>
    <row r="10" spans="2:23" ht="40.200000000000003" customHeight="1" x14ac:dyDescent="0.35">
      <c r="B10" s="134"/>
      <c r="C10" s="135"/>
      <c r="D10" s="135"/>
      <c r="E10" s="2"/>
      <c r="F10" s="3"/>
      <c r="G10" s="3"/>
      <c r="H10" s="6" t="s">
        <v>28</v>
      </c>
      <c r="I10" s="137"/>
      <c r="J10" s="3">
        <f>IF(K6-140&gt;0,K6-140,"0")</f>
        <v>528</v>
      </c>
      <c r="K10" s="3">
        <f>IF(K7-140&gt;0,K7-140,"0")</f>
        <v>2309</v>
      </c>
      <c r="L10" s="3">
        <v>1</v>
      </c>
      <c r="N10" s="18">
        <f t="shared" si="2"/>
        <v>8</v>
      </c>
      <c r="O10" s="124" t="s">
        <v>62</v>
      </c>
      <c r="P10" s="125"/>
      <c r="Q10" s="125"/>
      <c r="R10" s="32"/>
      <c r="S10" s="32"/>
      <c r="T10" s="36">
        <f>T9*2+T8</f>
        <v>10</v>
      </c>
      <c r="U10" s="37">
        <v>100</v>
      </c>
      <c r="V10" s="34">
        <f t="shared" si="3"/>
        <v>1000</v>
      </c>
      <c r="W10" s="29" t="s">
        <v>75</v>
      </c>
    </row>
    <row r="11" spans="2:23" ht="40.200000000000003" customHeight="1" x14ac:dyDescent="0.35"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2521794.358</v>
      </c>
      <c r="W11" s="18"/>
    </row>
    <row r="12" spans="2:23" ht="40.200000000000003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44">
        <f>J10*K10/1000000</f>
        <v>1.219152</v>
      </c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40.200000000000003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L13" s="118">
        <f>L12*285000</f>
        <v>347458.32</v>
      </c>
      <c r="N13" s="18">
        <v>1</v>
      </c>
      <c r="O13" s="124" t="s">
        <v>67</v>
      </c>
      <c r="P13" s="125"/>
      <c r="Q13" s="125"/>
      <c r="R13" s="41">
        <f>R3+R4</f>
        <v>11984</v>
      </c>
      <c r="S13" s="2">
        <v>1</v>
      </c>
      <c r="T13" s="28"/>
      <c r="U13" s="41">
        <v>1000</v>
      </c>
      <c r="V13" s="41">
        <f>U13*R13*S13/1000</f>
        <v>11984</v>
      </c>
      <c r="W13" s="2"/>
    </row>
    <row r="14" spans="2:23" ht="40.20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L14" s="123">
        <f>'[1]PA Xingfa'!$K$171</f>
        <v>865001</v>
      </c>
      <c r="N14" s="18">
        <f>N13+1</f>
        <v>2</v>
      </c>
      <c r="O14" s="124" t="s">
        <v>48</v>
      </c>
      <c r="P14" s="125"/>
      <c r="Q14" s="125"/>
      <c r="R14" s="41">
        <f>R4*2</f>
        <v>12468</v>
      </c>
      <c r="S14" s="2">
        <v>1</v>
      </c>
      <c r="T14" s="28"/>
      <c r="U14" s="41">
        <v>1000</v>
      </c>
      <c r="V14" s="41">
        <f>U14*R14*S14/1000</f>
        <v>12468</v>
      </c>
      <c r="W14" s="2"/>
    </row>
    <row r="15" spans="2:23" ht="40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L15" s="118">
        <f>F6*150</f>
        <v>281250</v>
      </c>
      <c r="N15" s="18">
        <f t="shared" ref="N15:N19" si="4">N14+1</f>
        <v>3</v>
      </c>
      <c r="O15" s="124" t="s">
        <v>68</v>
      </c>
      <c r="P15" s="125"/>
      <c r="Q15" s="125"/>
      <c r="R15" s="41"/>
      <c r="S15" s="2">
        <v>1</v>
      </c>
      <c r="T15" s="28"/>
      <c r="U15" s="41">
        <v>2500</v>
      </c>
      <c r="V15" s="41">
        <f>U15*S15</f>
        <v>2500</v>
      </c>
      <c r="W15" s="29" t="s">
        <v>76</v>
      </c>
    </row>
    <row r="16" spans="2:23" ht="40.200000000000003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L16" s="122">
        <f>V19+L15+L14+L13</f>
        <v>4045455.6779999998</v>
      </c>
      <c r="N16" s="18">
        <f t="shared" si="4"/>
        <v>4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5">U16*S16</f>
        <v>1000</v>
      </c>
      <c r="W16" s="29" t="s">
        <v>87</v>
      </c>
    </row>
    <row r="17" spans="2:23" ht="40.200000000000003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L17" s="60"/>
      <c r="N17" s="18">
        <f t="shared" si="4"/>
        <v>5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5"/>
        <v>2000</v>
      </c>
      <c r="W17" s="29" t="s">
        <v>87</v>
      </c>
    </row>
    <row r="18" spans="2:23" ht="40.200000000000003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L18" s="60"/>
      <c r="N18" s="18">
        <f t="shared" si="4"/>
        <v>6</v>
      </c>
      <c r="O18" s="144" t="s">
        <v>70</v>
      </c>
      <c r="P18" s="144"/>
      <c r="Q18" s="144"/>
      <c r="R18" s="144"/>
      <c r="S18" s="144"/>
      <c r="T18" s="38"/>
      <c r="U18" s="39"/>
      <c r="V18" s="40">
        <f>SUM(V13:V17)</f>
        <v>29952</v>
      </c>
      <c r="W18" s="2"/>
    </row>
    <row r="19" spans="2:23" ht="40.200000000000003" customHeight="1" x14ac:dyDescent="0.35">
      <c r="B19" s="127"/>
      <c r="C19" s="127"/>
      <c r="D19" s="127"/>
      <c r="E19" s="127"/>
      <c r="F19" s="127"/>
      <c r="G19" s="127"/>
      <c r="H19" s="148"/>
      <c r="I19" s="148"/>
      <c r="J19" s="127"/>
      <c r="K19" s="127"/>
      <c r="L19" s="60"/>
      <c r="N19" s="115">
        <f t="shared" si="4"/>
        <v>7</v>
      </c>
      <c r="O19" s="145" t="s">
        <v>183</v>
      </c>
      <c r="P19" s="146"/>
      <c r="Q19" s="146"/>
      <c r="R19" s="146"/>
      <c r="S19" s="147"/>
      <c r="T19" s="116"/>
      <c r="U19" s="117"/>
      <c r="V19" s="118">
        <f>V11+V18</f>
        <v>2551746.358</v>
      </c>
      <c r="W19" s="115"/>
    </row>
    <row r="20" spans="2:23" ht="40.200000000000003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  <c r="L20" s="60"/>
      <c r="N20" s="22"/>
      <c r="O20" s="143"/>
      <c r="P20" s="143"/>
      <c r="Q20" s="51"/>
      <c r="R20" s="49"/>
      <c r="S20" s="49"/>
      <c r="T20" s="53"/>
      <c r="U20" s="49"/>
      <c r="V20" s="53"/>
    </row>
    <row r="21" spans="2:23" ht="40.200000000000003" customHeight="1" x14ac:dyDescent="0.35">
      <c r="N21" s="22"/>
      <c r="O21" s="143"/>
      <c r="P21" s="143"/>
      <c r="Q21" s="51"/>
      <c r="R21" s="49"/>
      <c r="S21" s="49"/>
      <c r="T21" s="52"/>
      <c r="U21" s="49"/>
      <c r="V21" s="53"/>
      <c r="W21" s="121">
        <f>(F6*300000)/1000</f>
        <v>562500</v>
      </c>
    </row>
    <row r="22" spans="2:23" ht="40.200000000000003" customHeight="1" x14ac:dyDescent="0.35">
      <c r="N22" s="22"/>
      <c r="O22" s="143"/>
      <c r="P22" s="143"/>
      <c r="Q22" s="51"/>
      <c r="R22" s="49"/>
      <c r="S22" s="49"/>
      <c r="T22" s="52"/>
      <c r="U22" s="49"/>
      <c r="V22" s="53"/>
      <c r="W22" s="121">
        <f>V19+W21</f>
        <v>3114246.358</v>
      </c>
    </row>
    <row r="23" spans="2:23" ht="40.200000000000003" customHeight="1" x14ac:dyDescent="0.35">
      <c r="N23" s="22"/>
      <c r="O23" s="143"/>
      <c r="P23" s="143"/>
      <c r="Q23" s="51"/>
      <c r="R23" s="49"/>
      <c r="S23" s="49"/>
      <c r="T23" s="52"/>
      <c r="U23" s="49"/>
      <c r="V23" s="53"/>
      <c r="W23" s="121">
        <f>W22/F6</f>
        <v>1660.9313909333334</v>
      </c>
    </row>
    <row r="24" spans="2:23" ht="40.200000000000003" customHeight="1" x14ac:dyDescent="0.35">
      <c r="N24" s="22"/>
      <c r="O24" s="143"/>
      <c r="P24" s="143"/>
      <c r="Q24" s="51"/>
      <c r="R24" s="49"/>
      <c r="S24" s="49"/>
      <c r="T24" s="54"/>
      <c r="U24" s="49"/>
      <c r="V24" s="53"/>
    </row>
    <row r="25" spans="2:23" ht="40.200000000000003" customHeight="1" x14ac:dyDescent="0.35">
      <c r="N25" s="22"/>
      <c r="O25" s="143"/>
      <c r="P25" s="143"/>
      <c r="Q25" s="51"/>
      <c r="R25" s="49"/>
      <c r="S25" s="49"/>
      <c r="T25" s="54"/>
      <c r="U25" s="49"/>
      <c r="V25" s="53"/>
    </row>
    <row r="26" spans="2:23" ht="40.200000000000003" customHeight="1" x14ac:dyDescent="0.35">
      <c r="N26" s="22"/>
      <c r="O26" s="143"/>
      <c r="P26" s="143"/>
      <c r="Q26" s="51"/>
      <c r="R26" s="49"/>
      <c r="S26" s="49"/>
      <c r="T26" s="54"/>
      <c r="U26" s="49"/>
      <c r="V26" s="53"/>
    </row>
    <row r="27" spans="2:23" ht="40.200000000000003" customHeight="1" x14ac:dyDescent="0.35">
      <c r="N27" s="22"/>
      <c r="O27" s="143"/>
      <c r="P27" s="143"/>
      <c r="Q27" s="51"/>
      <c r="R27" s="49"/>
      <c r="S27" s="49"/>
      <c r="T27" s="54"/>
      <c r="U27" s="49"/>
      <c r="V27" s="53"/>
    </row>
    <row r="28" spans="2:23" ht="40.200000000000003" customHeight="1" x14ac:dyDescent="0.35">
      <c r="N28" s="22"/>
      <c r="O28" s="143"/>
      <c r="P28" s="143"/>
      <c r="Q28" s="51"/>
      <c r="R28" s="49"/>
      <c r="S28" s="49"/>
      <c r="T28" s="54"/>
      <c r="U28" s="49"/>
      <c r="V28" s="53"/>
    </row>
    <row r="29" spans="2:23" ht="40.200000000000003" customHeight="1" x14ac:dyDescent="0.35">
      <c r="N29" s="22"/>
      <c r="O29" s="143"/>
      <c r="P29" s="143"/>
      <c r="Q29" s="51"/>
      <c r="R29" s="49"/>
      <c r="S29" s="49"/>
      <c r="T29" s="54"/>
      <c r="U29" s="49"/>
      <c r="V29" s="53"/>
    </row>
    <row r="30" spans="2:23" ht="40.200000000000003" customHeight="1" x14ac:dyDescent="0.35">
      <c r="N30" s="22"/>
      <c r="O30" s="143"/>
      <c r="P30" s="143"/>
      <c r="Q30" s="51"/>
      <c r="R30" s="49"/>
      <c r="S30" s="49"/>
      <c r="T30" s="54"/>
      <c r="U30" s="49"/>
      <c r="V30" s="53"/>
    </row>
    <row r="31" spans="2:23" ht="40.200000000000003" customHeight="1" x14ac:dyDescent="0.35">
      <c r="N31" s="22"/>
      <c r="O31" s="143"/>
      <c r="P31" s="143"/>
      <c r="Q31" s="51"/>
      <c r="R31" s="49"/>
      <c r="S31" s="49"/>
      <c r="T31" s="54"/>
      <c r="U31" s="49"/>
      <c r="V31" s="53"/>
    </row>
    <row r="32" spans="2:23" ht="40.200000000000003" customHeight="1" x14ac:dyDescent="0.35">
      <c r="N32" s="22"/>
      <c r="O32" s="143"/>
      <c r="P32" s="143"/>
      <c r="Q32" s="51"/>
      <c r="R32" s="49"/>
      <c r="S32" s="49"/>
      <c r="T32" s="54"/>
      <c r="U32" s="49"/>
      <c r="V32" s="53"/>
    </row>
    <row r="33" spans="14:22" ht="40.200000000000003" customHeight="1" x14ac:dyDescent="0.35">
      <c r="N33" s="22"/>
      <c r="O33" s="143"/>
      <c r="P33" s="143"/>
      <c r="Q33" s="51"/>
      <c r="R33" s="49"/>
      <c r="S33" s="49"/>
      <c r="T33" s="54"/>
      <c r="U33" s="49"/>
      <c r="V33" s="53"/>
    </row>
    <row r="34" spans="14:22" ht="40.200000000000003" customHeight="1" x14ac:dyDescent="0.35">
      <c r="N34" s="22"/>
      <c r="O34" s="143"/>
      <c r="P34" s="143"/>
      <c r="Q34" s="51"/>
      <c r="R34" s="49"/>
      <c r="S34" s="49"/>
      <c r="T34" s="54"/>
      <c r="U34" s="49"/>
      <c r="V34" s="53"/>
    </row>
    <row r="35" spans="14:22" ht="40.200000000000003" customHeight="1" x14ac:dyDescent="0.35">
      <c r="N35" s="22"/>
      <c r="O35" s="142"/>
      <c r="P35" s="142"/>
      <c r="Q35" s="142"/>
      <c r="R35" s="142"/>
      <c r="S35" s="142"/>
      <c r="T35" s="56"/>
      <c r="U35" s="49"/>
      <c r="V35" s="53"/>
    </row>
    <row r="36" spans="14:22" ht="40.200000000000003" customHeight="1" x14ac:dyDescent="0.35">
      <c r="O36" s="57"/>
      <c r="P36" s="57"/>
      <c r="Q36" s="57"/>
      <c r="R36" s="57"/>
      <c r="S36" s="57"/>
      <c r="T36" s="57"/>
      <c r="U36" s="57"/>
      <c r="V36" s="57"/>
    </row>
  </sheetData>
  <mergeCells count="80">
    <mergeCell ref="H20:I20"/>
    <mergeCell ref="J20:K20"/>
    <mergeCell ref="B16:G16"/>
    <mergeCell ref="B18:G18"/>
    <mergeCell ref="J17:K17"/>
    <mergeCell ref="J18:K18"/>
    <mergeCell ref="B20:C20"/>
    <mergeCell ref="D20:E20"/>
    <mergeCell ref="F20:G20"/>
    <mergeCell ref="B17:C17"/>
    <mergeCell ref="D17:E17"/>
    <mergeCell ref="F17:G17"/>
    <mergeCell ref="J16:K16"/>
    <mergeCell ref="J19:K19"/>
    <mergeCell ref="H18:I18"/>
    <mergeCell ref="H19:I19"/>
    <mergeCell ref="H17:I17"/>
    <mergeCell ref="J13:K13"/>
    <mergeCell ref="J15:K15"/>
    <mergeCell ref="H14:I14"/>
    <mergeCell ref="J14:K14"/>
    <mergeCell ref="B15:C15"/>
    <mergeCell ref="D15:E15"/>
    <mergeCell ref="F15:G15"/>
    <mergeCell ref="B13:C13"/>
    <mergeCell ref="D13:E13"/>
    <mergeCell ref="F13:G13"/>
    <mergeCell ref="B14:C14"/>
    <mergeCell ref="D14:E14"/>
    <mergeCell ref="F14:G14"/>
    <mergeCell ref="O17:Q17"/>
    <mergeCell ref="O20:P20"/>
    <mergeCell ref="O21:P21"/>
    <mergeCell ref="O22:P22"/>
    <mergeCell ref="O23:P23"/>
    <mergeCell ref="O35:S35"/>
    <mergeCell ref="O24:P24"/>
    <mergeCell ref="O33:P33"/>
    <mergeCell ref="O34:P34"/>
    <mergeCell ref="O18:S18"/>
    <mergeCell ref="O25:P25"/>
    <mergeCell ref="O26:P26"/>
    <mergeCell ref="O27:P27"/>
    <mergeCell ref="O28:P28"/>
    <mergeCell ref="O29:P29"/>
    <mergeCell ref="O30:P30"/>
    <mergeCell ref="O31:P31"/>
    <mergeCell ref="O32:P32"/>
    <mergeCell ref="O19:S19"/>
    <mergeCell ref="O14:Q14"/>
    <mergeCell ref="H12:I12"/>
    <mergeCell ref="J12:K12"/>
    <mergeCell ref="O15:Q15"/>
    <mergeCell ref="O16:Q16"/>
    <mergeCell ref="O12:Q12"/>
    <mergeCell ref="O13:Q13"/>
    <mergeCell ref="H13:I13"/>
    <mergeCell ref="H15:I15"/>
    <mergeCell ref="H16:I16"/>
    <mergeCell ref="D12:E12"/>
    <mergeCell ref="F12:G12"/>
    <mergeCell ref="I9:I10"/>
    <mergeCell ref="O11:S11"/>
    <mergeCell ref="O10:Q10"/>
    <mergeCell ref="O7:Q7"/>
    <mergeCell ref="B19:G19"/>
    <mergeCell ref="B1:L1"/>
    <mergeCell ref="O2:Q2"/>
    <mergeCell ref="N1:W1"/>
    <mergeCell ref="O3:Q3"/>
    <mergeCell ref="O4:Q4"/>
    <mergeCell ref="B2:F2"/>
    <mergeCell ref="I2:L2"/>
    <mergeCell ref="H2:H3"/>
    <mergeCell ref="B3:D10"/>
    <mergeCell ref="O5:Q5"/>
    <mergeCell ref="O6:Q6"/>
    <mergeCell ref="O8:Q8"/>
    <mergeCell ref="O9:Q9"/>
    <mergeCell ref="B12:C12"/>
  </mergeCells>
  <pageMargins left="0.7" right="0.7" top="0.75" bottom="0.75" header="0.3" footer="0.3"/>
  <pageSetup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29"/>
  <sheetViews>
    <sheetView zoomScale="40" zoomScaleNormal="40" workbookViewId="0">
      <selection activeCell="R8" sqref="R8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1" width="18.6640625" style="1"/>
    <col min="12" max="12" width="21.77734375" style="1" customWidth="1"/>
    <col min="13" max="13" width="18.6640625" style="1"/>
    <col min="14" max="14" width="9.6640625" style="1" customWidth="1"/>
    <col min="15" max="21" width="18.6640625" style="1"/>
    <col min="22" max="22" width="21.44140625" style="1" customWidth="1"/>
    <col min="23" max="23" width="39.6640625" style="47" customWidth="1"/>
    <col min="24" max="16384" width="18.6640625" style="1"/>
  </cols>
  <sheetData>
    <row r="1" spans="2:23" ht="37.95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58.95" customHeight="1" x14ac:dyDescent="0.35">
      <c r="B2" s="130" t="s">
        <v>49</v>
      </c>
      <c r="C2" s="130"/>
      <c r="D2" s="130"/>
      <c r="E2" s="130"/>
      <c r="F2" s="130"/>
      <c r="G2" s="8"/>
      <c r="H2" s="150" t="s">
        <v>14</v>
      </c>
      <c r="I2" s="152" t="s">
        <v>9</v>
      </c>
      <c r="J2" s="153"/>
      <c r="K2" s="153"/>
      <c r="L2" s="154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7.95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151"/>
      <c r="I3" s="9" t="s">
        <v>4</v>
      </c>
      <c r="J3" s="9" t="s">
        <v>3</v>
      </c>
      <c r="K3" s="9" t="s">
        <v>5</v>
      </c>
      <c r="L3" s="9" t="s">
        <v>2</v>
      </c>
      <c r="N3" s="18">
        <v>1</v>
      </c>
      <c r="O3" s="124" t="s">
        <v>54</v>
      </c>
      <c r="P3" s="125"/>
      <c r="Q3" s="125"/>
      <c r="R3" s="37">
        <f>K4*L4+K5*L5</f>
        <v>5500</v>
      </c>
      <c r="S3" s="32">
        <v>1.23</v>
      </c>
      <c r="T3" s="35">
        <f>S3*R3</f>
        <v>6765</v>
      </c>
      <c r="U3" s="37">
        <v>131000</v>
      </c>
      <c r="V3" s="34">
        <f>U3*T3/1000</f>
        <v>886215</v>
      </c>
      <c r="W3" s="119"/>
    </row>
    <row r="4" spans="2:23" ht="37.950000000000003" customHeight="1" x14ac:dyDescent="0.35">
      <c r="B4" s="132"/>
      <c r="C4" s="133"/>
      <c r="D4" s="133"/>
      <c r="E4" s="3">
        <v>1300</v>
      </c>
      <c r="F4" s="3">
        <v>2100</v>
      </c>
      <c r="G4" s="3">
        <v>1</v>
      </c>
      <c r="H4" s="3">
        <v>1</v>
      </c>
      <c r="I4" s="3" t="s">
        <v>10</v>
      </c>
      <c r="J4" s="6"/>
      <c r="K4" s="3">
        <f>E4</f>
        <v>1300</v>
      </c>
      <c r="L4" s="3">
        <f>G4*1</f>
        <v>1</v>
      </c>
      <c r="N4" s="18">
        <f>N3+1</f>
        <v>2</v>
      </c>
      <c r="O4" s="124" t="s">
        <v>55</v>
      </c>
      <c r="P4" s="125"/>
      <c r="Q4" s="125"/>
      <c r="R4" s="37">
        <f>K6*L6+K7*L7</f>
        <v>10700</v>
      </c>
      <c r="S4" s="32">
        <v>1.448</v>
      </c>
      <c r="T4" s="35">
        <f t="shared" ref="T4:T5" si="0">S4*R4</f>
        <v>15493.6</v>
      </c>
      <c r="U4" s="37">
        <v>131000</v>
      </c>
      <c r="V4" s="34">
        <f t="shared" ref="V4:V7" si="1">U4*T4/1000</f>
        <v>2029661.6</v>
      </c>
      <c r="W4" s="83"/>
    </row>
    <row r="5" spans="2:23" ht="37.95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10">
        <f>H4+1</f>
        <v>2</v>
      </c>
      <c r="I5" s="3" t="s">
        <v>11</v>
      </c>
      <c r="J5" s="6"/>
      <c r="K5" s="3">
        <f>F4</f>
        <v>2100</v>
      </c>
      <c r="L5" s="3">
        <f>G4*2</f>
        <v>2</v>
      </c>
      <c r="N5" s="18">
        <f t="shared" ref="N5:N12" si="2">N4+1</f>
        <v>3</v>
      </c>
      <c r="O5" s="124" t="s">
        <v>56</v>
      </c>
      <c r="P5" s="125"/>
      <c r="Q5" s="125"/>
      <c r="R5" s="37">
        <f>R4</f>
        <v>10700</v>
      </c>
      <c r="S5" s="32">
        <v>0.27700000000000002</v>
      </c>
      <c r="T5" s="35">
        <f t="shared" si="0"/>
        <v>2963.9</v>
      </c>
      <c r="U5" s="37">
        <v>131000</v>
      </c>
      <c r="V5" s="34">
        <f t="shared" si="1"/>
        <v>388270.9</v>
      </c>
      <c r="W5" s="83"/>
    </row>
    <row r="6" spans="2:23" ht="37.950000000000003" customHeight="1" x14ac:dyDescent="0.35">
      <c r="B6" s="132"/>
      <c r="C6" s="133"/>
      <c r="D6" s="133"/>
      <c r="E6" s="61"/>
      <c r="F6" s="20">
        <f>F4*E4/1000</f>
        <v>2730</v>
      </c>
      <c r="G6" s="91">
        <f>SUM(T3:T7)</f>
        <v>27513.848000000002</v>
      </c>
      <c r="H6" s="10">
        <f t="shared" ref="H6:H11" si="3">H5+1</f>
        <v>3</v>
      </c>
      <c r="I6" s="3" t="s">
        <v>17</v>
      </c>
      <c r="J6" s="6"/>
      <c r="K6" s="16">
        <f>IF(ROUNDDOWN((E4-36*2-15),0)/2&lt;0,"0",ROUNDDOWN((E4-72-15)/2,0))</f>
        <v>606</v>
      </c>
      <c r="L6" s="3">
        <f>G4*4</f>
        <v>4</v>
      </c>
      <c r="N6" s="18">
        <f t="shared" si="2"/>
        <v>4</v>
      </c>
      <c r="O6" s="124" t="s">
        <v>57</v>
      </c>
      <c r="P6" s="125"/>
      <c r="Q6" s="125"/>
      <c r="R6" s="37">
        <f>K9*L9</f>
        <v>1090</v>
      </c>
      <c r="S6" s="32">
        <v>0.50600000000000001</v>
      </c>
      <c r="T6" s="35">
        <f>S6*R6</f>
        <v>551.54</v>
      </c>
      <c r="U6" s="37">
        <v>131000</v>
      </c>
      <c r="V6" s="34">
        <f t="shared" si="1"/>
        <v>72251.740000000005</v>
      </c>
      <c r="W6" s="84"/>
    </row>
    <row r="7" spans="2:23" ht="37.950000000000003" customHeight="1" x14ac:dyDescent="0.35">
      <c r="B7" s="132"/>
      <c r="C7" s="133"/>
      <c r="D7" s="133"/>
      <c r="E7" s="3"/>
      <c r="F7" s="45" t="s">
        <v>43</v>
      </c>
      <c r="G7" s="45" t="s">
        <v>50</v>
      </c>
      <c r="H7" s="10">
        <f t="shared" si="3"/>
        <v>4</v>
      </c>
      <c r="I7" s="3" t="s">
        <v>18</v>
      </c>
      <c r="J7" s="6"/>
      <c r="K7" s="20">
        <f>IF(AND(F9="X",G9=""),K5-F8,0)+IF(AND(G9="X",F9=""),K5-G8,0)</f>
        <v>2069</v>
      </c>
      <c r="L7" s="3">
        <f>G4*4</f>
        <v>4</v>
      </c>
      <c r="N7" s="18">
        <f t="shared" si="2"/>
        <v>5</v>
      </c>
      <c r="O7" s="124" t="s">
        <v>72</v>
      </c>
      <c r="P7" s="125"/>
      <c r="Q7" s="126"/>
      <c r="R7" s="37">
        <f>K8*L8</f>
        <v>2016</v>
      </c>
      <c r="S7" s="32">
        <v>0.86299999999999999</v>
      </c>
      <c r="T7" s="35">
        <f t="shared" ref="T7" si="4">S7*R7</f>
        <v>1739.808</v>
      </c>
      <c r="U7" s="37">
        <v>131000</v>
      </c>
      <c r="V7" s="34">
        <f t="shared" si="1"/>
        <v>227914.848</v>
      </c>
      <c r="W7" s="84"/>
    </row>
    <row r="8" spans="2:23" ht="37.950000000000003" customHeight="1" x14ac:dyDescent="0.35">
      <c r="B8" s="132"/>
      <c r="C8" s="133"/>
      <c r="D8" s="133"/>
      <c r="E8" s="3"/>
      <c r="F8" s="3">
        <v>51</v>
      </c>
      <c r="G8" s="3">
        <v>31</v>
      </c>
      <c r="H8" s="10">
        <f t="shared" si="3"/>
        <v>5</v>
      </c>
      <c r="I8" s="3" t="s">
        <v>16</v>
      </c>
      <c r="J8" s="6"/>
      <c r="K8" s="6">
        <f>IF(F9="x",ROUNDDOWN(K7-30-4,0),ROUNDDOWN(K7-34-19,0))</f>
        <v>2016</v>
      </c>
      <c r="L8" s="3">
        <f>G4</f>
        <v>1</v>
      </c>
      <c r="N8" s="18">
        <f t="shared" si="2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180215.70440000005</v>
      </c>
      <c r="W8" s="46"/>
    </row>
    <row r="9" spans="2:23" ht="37.950000000000003" customHeight="1" x14ac:dyDescent="0.35">
      <c r="B9" s="132"/>
      <c r="C9" s="133"/>
      <c r="D9" s="133"/>
      <c r="E9" s="3"/>
      <c r="F9" s="3"/>
      <c r="G9" s="3" t="s">
        <v>44</v>
      </c>
      <c r="H9" s="10">
        <f t="shared" si="3"/>
        <v>6</v>
      </c>
      <c r="I9" s="3" t="s">
        <v>35</v>
      </c>
      <c r="J9" s="6"/>
      <c r="K9" s="6">
        <f>K6-61</f>
        <v>545</v>
      </c>
      <c r="L9" s="3">
        <f>G4*2</f>
        <v>2</v>
      </c>
      <c r="N9" s="18">
        <f t="shared" si="2"/>
        <v>7</v>
      </c>
      <c r="O9" s="124" t="s">
        <v>60</v>
      </c>
      <c r="P9" s="125"/>
      <c r="Q9" s="125"/>
      <c r="R9" s="32"/>
      <c r="S9" s="32"/>
      <c r="T9" s="36">
        <v>2</v>
      </c>
      <c r="U9" s="48">
        <v>7700</v>
      </c>
      <c r="V9" s="34">
        <f t="shared" ref="V9:V11" si="5">U9*T9</f>
        <v>15400</v>
      </c>
      <c r="W9" s="29"/>
    </row>
    <row r="10" spans="2:23" ht="37.950000000000003" customHeight="1" x14ac:dyDescent="0.35">
      <c r="B10" s="132"/>
      <c r="C10" s="133"/>
      <c r="D10" s="133"/>
      <c r="E10" s="3"/>
      <c r="F10" s="3">
        <v>34</v>
      </c>
      <c r="G10" s="3">
        <v>53</v>
      </c>
      <c r="H10" s="10">
        <f t="shared" si="3"/>
        <v>7</v>
      </c>
      <c r="I10" s="150" t="s">
        <v>15</v>
      </c>
      <c r="J10" s="3" t="s">
        <v>6</v>
      </c>
      <c r="K10" s="3" t="s">
        <v>7</v>
      </c>
      <c r="L10" s="5" t="s">
        <v>2</v>
      </c>
      <c r="N10" s="18">
        <f t="shared" si="2"/>
        <v>8</v>
      </c>
      <c r="O10" s="124" t="s">
        <v>61</v>
      </c>
      <c r="P10" s="125"/>
      <c r="Q10" s="125"/>
      <c r="R10" s="32"/>
      <c r="S10" s="32"/>
      <c r="T10" s="36">
        <v>8</v>
      </c>
      <c r="U10" s="48">
        <v>7700</v>
      </c>
      <c r="V10" s="34">
        <f t="shared" si="5"/>
        <v>61600</v>
      </c>
      <c r="W10" s="29" t="s">
        <v>74</v>
      </c>
    </row>
    <row r="11" spans="2:23" ht="37.950000000000003" customHeight="1" x14ac:dyDescent="0.35">
      <c r="B11" s="134"/>
      <c r="C11" s="135"/>
      <c r="D11" s="135"/>
      <c r="E11" s="3"/>
      <c r="F11" s="3"/>
      <c r="G11" s="3"/>
      <c r="H11" s="10">
        <f t="shared" si="3"/>
        <v>8</v>
      </c>
      <c r="I11" s="151"/>
      <c r="J11" s="20">
        <f>IF(K6-140&gt;0,K6-140,"0")</f>
        <v>466</v>
      </c>
      <c r="K11" s="20">
        <f>IF(K7-140&gt;0,K7-140,"0")</f>
        <v>1929</v>
      </c>
      <c r="L11" s="20">
        <f>G4*2</f>
        <v>2</v>
      </c>
      <c r="N11" s="18">
        <f t="shared" si="2"/>
        <v>9</v>
      </c>
      <c r="O11" s="124" t="s">
        <v>62</v>
      </c>
      <c r="P11" s="125"/>
      <c r="Q11" s="125"/>
      <c r="R11" s="32"/>
      <c r="S11" s="32"/>
      <c r="T11" s="36">
        <f>T10*2+T9</f>
        <v>18</v>
      </c>
      <c r="U11" s="48">
        <v>100</v>
      </c>
      <c r="V11" s="34">
        <f t="shared" si="5"/>
        <v>1800</v>
      </c>
      <c r="W11" s="29" t="s">
        <v>75</v>
      </c>
    </row>
    <row r="12" spans="2:23" ht="37.950000000000003" customHeight="1" x14ac:dyDescent="0.35">
      <c r="N12" s="18">
        <f t="shared" si="2"/>
        <v>10</v>
      </c>
      <c r="O12" s="138" t="s">
        <v>66</v>
      </c>
      <c r="P12" s="139"/>
      <c r="Q12" s="139"/>
      <c r="R12" s="139"/>
      <c r="S12" s="140"/>
      <c r="T12" s="38"/>
      <c r="U12" s="39"/>
      <c r="V12" s="90">
        <f>SUM(V3:V11)</f>
        <v>3863329.7924000006</v>
      </c>
      <c r="W12" s="29"/>
    </row>
    <row r="13" spans="2:23" ht="37.95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9"/>
    </row>
    <row r="14" spans="2:23" ht="37.95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L14" s="118">
        <f>F6*300</f>
        <v>819000</v>
      </c>
      <c r="N14" s="18">
        <v>1</v>
      </c>
      <c r="O14" s="124" t="s">
        <v>67</v>
      </c>
      <c r="P14" s="125"/>
      <c r="Q14" s="125"/>
      <c r="R14" s="41">
        <f>R3+R4+R7</f>
        <v>18216</v>
      </c>
      <c r="S14" s="2">
        <v>1</v>
      </c>
      <c r="T14" s="42"/>
      <c r="U14" s="41">
        <v>1000</v>
      </c>
      <c r="V14" s="41">
        <f>U14*R14*S14/1000</f>
        <v>18216</v>
      </c>
      <c r="W14" s="29"/>
    </row>
    <row r="15" spans="2:23" ht="37.95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L15" s="1">
        <f>J11*K11*L11/1000000</f>
        <v>1.797828</v>
      </c>
      <c r="N15" s="18">
        <f>N14+1</f>
        <v>2</v>
      </c>
      <c r="O15" s="124" t="s">
        <v>48</v>
      </c>
      <c r="P15" s="125"/>
      <c r="Q15" s="125"/>
      <c r="R15" s="41">
        <f>R4*2</f>
        <v>21400</v>
      </c>
      <c r="S15" s="2">
        <v>1</v>
      </c>
      <c r="T15" s="42"/>
      <c r="U15" s="41">
        <v>1000</v>
      </c>
      <c r="V15" s="41">
        <f>U15*R15*S15/1000</f>
        <v>21400</v>
      </c>
      <c r="W15" s="29"/>
    </row>
    <row r="16" spans="2:23" ht="37.950000000000003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L16" s="118">
        <f>L15*220000</f>
        <v>395522.16</v>
      </c>
      <c r="N16" s="18">
        <f t="shared" ref="N16:N21" si="6">N15+1</f>
        <v>3</v>
      </c>
      <c r="O16" s="124" t="s">
        <v>68</v>
      </c>
      <c r="P16" s="125"/>
      <c r="Q16" s="125"/>
      <c r="R16" s="41"/>
      <c r="S16" s="2">
        <v>2</v>
      </c>
      <c r="T16" s="42"/>
      <c r="U16" s="41">
        <v>2500</v>
      </c>
      <c r="V16" s="41">
        <f>U16*S16</f>
        <v>5000</v>
      </c>
      <c r="W16" s="29" t="s">
        <v>76</v>
      </c>
    </row>
    <row r="17" spans="2:23" ht="37.95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L17" s="1">
        <v>1450000</v>
      </c>
      <c r="N17" s="18">
        <f t="shared" si="6"/>
        <v>4</v>
      </c>
      <c r="O17" s="124" t="s">
        <v>73</v>
      </c>
      <c r="P17" s="125"/>
      <c r="Q17" s="125"/>
      <c r="R17" s="41"/>
      <c r="S17" s="2">
        <v>1</v>
      </c>
      <c r="T17" s="42"/>
      <c r="U17" s="41">
        <v>2500</v>
      </c>
      <c r="V17" s="41">
        <f>U17*S17</f>
        <v>2500</v>
      </c>
      <c r="W17" s="29" t="s">
        <v>77</v>
      </c>
    </row>
    <row r="18" spans="2:23" ht="37.95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L18" s="23">
        <f>L17+L16+L14+V21</f>
        <v>6577967.9524000008</v>
      </c>
      <c r="N18" s="18">
        <f t="shared" si="6"/>
        <v>5</v>
      </c>
      <c r="O18" s="124" t="s">
        <v>69</v>
      </c>
      <c r="P18" s="125"/>
      <c r="Q18" s="126"/>
      <c r="R18" s="41"/>
      <c r="S18" s="61">
        <v>1</v>
      </c>
      <c r="T18" s="42"/>
      <c r="U18" s="41">
        <v>1000</v>
      </c>
      <c r="V18" s="41">
        <f t="shared" ref="V18:V19" si="7">U18*S18</f>
        <v>1000</v>
      </c>
      <c r="W18" s="29"/>
    </row>
    <row r="19" spans="2:23" ht="37.95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>
        <f>F6*3500</f>
        <v>9555000</v>
      </c>
      <c r="K19" s="127"/>
      <c r="L19" s="121">
        <f>L18/3.6</f>
        <v>1827213.3201111113</v>
      </c>
      <c r="N19" s="18">
        <f t="shared" si="6"/>
        <v>6</v>
      </c>
      <c r="O19" s="124" t="s">
        <v>71</v>
      </c>
      <c r="P19" s="125"/>
      <c r="Q19" s="126"/>
      <c r="R19" s="41"/>
      <c r="S19" s="2">
        <v>1</v>
      </c>
      <c r="T19" s="42"/>
      <c r="U19" s="41">
        <v>2000</v>
      </c>
      <c r="V19" s="41">
        <f t="shared" si="7"/>
        <v>2000</v>
      </c>
      <c r="W19" s="29" t="s">
        <v>78</v>
      </c>
    </row>
    <row r="20" spans="2:23" ht="37.95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49">
        <f>L18/J19</f>
        <v>0.68843202013605453</v>
      </c>
      <c r="K20" s="127"/>
      <c r="N20" s="18">
        <f t="shared" si="6"/>
        <v>7</v>
      </c>
      <c r="O20" s="144" t="s">
        <v>70</v>
      </c>
      <c r="P20" s="144"/>
      <c r="Q20" s="144"/>
      <c r="R20" s="144"/>
      <c r="S20" s="144"/>
      <c r="T20" s="38"/>
      <c r="U20" s="39"/>
      <c r="V20" s="40">
        <f>SUM(V14:V19)</f>
        <v>50116</v>
      </c>
      <c r="W20" s="29"/>
    </row>
    <row r="21" spans="2:23" ht="37.95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N21" s="115">
        <f t="shared" si="6"/>
        <v>8</v>
      </c>
      <c r="O21" s="145" t="s">
        <v>183</v>
      </c>
      <c r="P21" s="146"/>
      <c r="Q21" s="146"/>
      <c r="R21" s="146"/>
      <c r="S21" s="147"/>
      <c r="T21" s="116"/>
      <c r="U21" s="117"/>
      <c r="V21" s="118">
        <f>V12+V20</f>
        <v>3913445.7924000006</v>
      </c>
      <c r="W21" s="115"/>
    </row>
    <row r="22" spans="2:23" ht="37.950000000000003" customHeight="1" x14ac:dyDescent="0.35">
      <c r="N22" s="55"/>
      <c r="O22" s="143"/>
      <c r="P22" s="143"/>
      <c r="Q22" s="51"/>
      <c r="R22" s="49"/>
      <c r="S22" s="49"/>
      <c r="T22" s="52"/>
      <c r="U22" s="49"/>
      <c r="V22" s="53"/>
      <c r="W22" s="50"/>
    </row>
    <row r="23" spans="2:23" ht="37.950000000000003" customHeight="1" x14ac:dyDescent="0.35">
      <c r="N23" s="55"/>
      <c r="O23" s="143"/>
      <c r="P23" s="143"/>
      <c r="Q23" s="51"/>
      <c r="R23" s="49"/>
      <c r="S23" s="49"/>
      <c r="T23" s="52"/>
      <c r="U23" s="49"/>
      <c r="V23" s="53"/>
      <c r="W23" s="50"/>
    </row>
    <row r="24" spans="2:23" ht="37.950000000000003" customHeight="1" x14ac:dyDescent="0.35">
      <c r="N24" s="55"/>
      <c r="O24" s="143"/>
      <c r="P24" s="143"/>
      <c r="Q24" s="51"/>
      <c r="R24" s="49"/>
      <c r="S24" s="49"/>
      <c r="T24" s="52"/>
      <c r="U24" s="49"/>
      <c r="V24" s="53"/>
      <c r="W24" s="50"/>
    </row>
    <row r="25" spans="2:23" ht="37.950000000000003" customHeight="1" x14ac:dyDescent="0.35">
      <c r="N25" s="55"/>
      <c r="O25" s="143"/>
      <c r="P25" s="143"/>
      <c r="Q25" s="51"/>
      <c r="R25" s="49"/>
      <c r="S25" s="49"/>
      <c r="T25" s="52"/>
      <c r="U25" s="49"/>
      <c r="V25" s="53"/>
      <c r="W25" s="50"/>
    </row>
    <row r="26" spans="2:23" ht="37.950000000000003" customHeight="1" x14ac:dyDescent="0.35">
      <c r="N26" s="55"/>
      <c r="O26" s="143"/>
      <c r="P26" s="143"/>
      <c r="Q26" s="51"/>
      <c r="R26" s="49"/>
      <c r="S26" s="49"/>
      <c r="T26" s="54"/>
      <c r="U26" s="49"/>
      <c r="V26" s="53"/>
      <c r="W26" s="50"/>
    </row>
    <row r="27" spans="2:23" ht="37.950000000000003" customHeight="1" x14ac:dyDescent="0.35">
      <c r="N27" s="55"/>
      <c r="O27" s="143"/>
      <c r="P27" s="143"/>
      <c r="Q27" s="51"/>
      <c r="R27" s="49"/>
      <c r="S27" s="49"/>
      <c r="T27" s="54"/>
      <c r="U27" s="49"/>
      <c r="V27" s="53"/>
      <c r="W27" s="50"/>
    </row>
    <row r="28" spans="2:23" ht="37.950000000000003" customHeight="1" x14ac:dyDescent="0.35">
      <c r="N28" s="55"/>
      <c r="O28" s="143"/>
      <c r="P28" s="143"/>
      <c r="Q28" s="51"/>
      <c r="R28" s="49"/>
      <c r="S28" s="49"/>
      <c r="T28" s="54"/>
      <c r="U28" s="49"/>
      <c r="V28" s="53"/>
      <c r="W28" s="50"/>
    </row>
    <row r="29" spans="2:23" ht="37.950000000000003" customHeight="1" x14ac:dyDescent="0.35">
      <c r="N29" s="55"/>
      <c r="O29" s="142"/>
      <c r="P29" s="142"/>
      <c r="Q29" s="142"/>
      <c r="R29" s="142"/>
      <c r="S29" s="142"/>
      <c r="T29" s="56"/>
      <c r="U29" s="49"/>
      <c r="V29" s="53"/>
      <c r="W29" s="50"/>
    </row>
  </sheetData>
  <mergeCells count="74">
    <mergeCell ref="B1:L1"/>
    <mergeCell ref="H2:H3"/>
    <mergeCell ref="I10:I11"/>
    <mergeCell ref="O7:Q7"/>
    <mergeCell ref="O9:Q9"/>
    <mergeCell ref="O10:Q10"/>
    <mergeCell ref="O11:Q11"/>
    <mergeCell ref="B2:F2"/>
    <mergeCell ref="I2:L2"/>
    <mergeCell ref="B3:D11"/>
    <mergeCell ref="O25:P25"/>
    <mergeCell ref="O26:P26"/>
    <mergeCell ref="O27:P27"/>
    <mergeCell ref="O28:P28"/>
    <mergeCell ref="O29:S29"/>
    <mergeCell ref="O20:S20"/>
    <mergeCell ref="O22:P22"/>
    <mergeCell ref="O23:P23"/>
    <mergeCell ref="O24:P24"/>
    <mergeCell ref="O21:S21"/>
    <mergeCell ref="O14:Q14"/>
    <mergeCell ref="O15:Q15"/>
    <mergeCell ref="O16:Q16"/>
    <mergeCell ref="O18:Q18"/>
    <mergeCell ref="O19:Q19"/>
    <mergeCell ref="O17:Q17"/>
    <mergeCell ref="O13:Q13"/>
    <mergeCell ref="N1:W1"/>
    <mergeCell ref="O2:Q2"/>
    <mergeCell ref="O3:Q3"/>
    <mergeCell ref="O4:Q4"/>
    <mergeCell ref="O5:Q5"/>
    <mergeCell ref="O6:Q6"/>
    <mergeCell ref="O8:Q8"/>
    <mergeCell ref="O12:S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20"/>
  <sheetViews>
    <sheetView topLeftCell="B1" zoomScale="46" zoomScaleNormal="46" zoomScaleSheetLayoutView="37" workbookViewId="0">
      <selection activeCell="L14" sqref="L14"/>
    </sheetView>
  </sheetViews>
  <sheetFormatPr defaultColWidth="19.21875" defaultRowHeight="44.4" customHeight="1" x14ac:dyDescent="0.35"/>
  <cols>
    <col min="1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60.6" customHeight="1" x14ac:dyDescent="0.35">
      <c r="B2" s="152" t="s">
        <v>8</v>
      </c>
      <c r="C2" s="153"/>
      <c r="D2" s="153"/>
      <c r="E2" s="153"/>
      <c r="F2" s="153"/>
      <c r="G2" s="21"/>
      <c r="H2" s="150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4.4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151"/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81</v>
      </c>
      <c r="P3" s="125"/>
      <c r="Q3" s="125"/>
      <c r="R3" s="37">
        <f>K4*L4+K5*L5</f>
        <v>5600</v>
      </c>
      <c r="S3" s="32">
        <v>0.88400000000000001</v>
      </c>
      <c r="T3" s="35">
        <f>S3*R3</f>
        <v>4950.3999999999996</v>
      </c>
      <c r="U3" s="37">
        <v>130000</v>
      </c>
      <c r="V3" s="34">
        <f>U3*T3/1000</f>
        <v>643552</v>
      </c>
      <c r="W3" s="119"/>
    </row>
    <row r="4" spans="2:23" ht="44.4" customHeight="1" x14ac:dyDescent="0.35">
      <c r="B4" s="132"/>
      <c r="C4" s="133"/>
      <c r="D4" s="162"/>
      <c r="E4" s="3">
        <v>800</v>
      </c>
      <c r="F4" s="3">
        <v>600</v>
      </c>
      <c r="G4" s="3">
        <v>2</v>
      </c>
      <c r="H4" s="77" t="s">
        <v>19</v>
      </c>
      <c r="I4" s="3" t="s">
        <v>10</v>
      </c>
      <c r="J4" s="6" t="str">
        <f>CONCATENATE($G$2,"-",$D$9,"-","3318","-","1")</f>
        <v>--3318-1</v>
      </c>
      <c r="K4" s="3">
        <f>E4</f>
        <v>800</v>
      </c>
      <c r="L4" s="3">
        <f>G4*2</f>
        <v>4</v>
      </c>
      <c r="N4" s="18">
        <f>N3+1</f>
        <v>2</v>
      </c>
      <c r="O4" s="124" t="s">
        <v>82</v>
      </c>
      <c r="P4" s="125"/>
      <c r="Q4" s="125"/>
      <c r="R4" s="37">
        <f>K6*L6+K7*L7</f>
        <v>5200</v>
      </c>
      <c r="S4" s="32">
        <v>1.081</v>
      </c>
      <c r="T4" s="35">
        <f t="shared" ref="T4:T5" si="0">S4*R4</f>
        <v>5621.2</v>
      </c>
      <c r="U4" s="37">
        <v>130000</v>
      </c>
      <c r="V4" s="34">
        <f t="shared" ref="V4:V5" si="1">U4*T4/1000</f>
        <v>730756</v>
      </c>
      <c r="W4" s="83"/>
    </row>
    <row r="5" spans="2:23" ht="44.4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77" t="s">
        <v>20</v>
      </c>
      <c r="I5" s="3" t="s">
        <v>11</v>
      </c>
      <c r="J5" s="6" t="str">
        <f>CONCATENATE($G$2,"-",$D$9,"-","3318","-","2")</f>
        <v>--3318-2</v>
      </c>
      <c r="K5" s="3">
        <f>F4</f>
        <v>600</v>
      </c>
      <c r="L5" s="3">
        <f>G4*2</f>
        <v>4</v>
      </c>
      <c r="N5" s="18">
        <f t="shared" ref="N5:N10" si="2">N4+1</f>
        <v>3</v>
      </c>
      <c r="O5" s="124" t="s">
        <v>56</v>
      </c>
      <c r="P5" s="125"/>
      <c r="Q5" s="125"/>
      <c r="R5" s="37">
        <f>R4</f>
        <v>5200</v>
      </c>
      <c r="S5" s="32">
        <v>0.27700000000000002</v>
      </c>
      <c r="T5" s="35">
        <f t="shared" si="0"/>
        <v>1440.4</v>
      </c>
      <c r="U5" s="37">
        <v>130000</v>
      </c>
      <c r="V5" s="34">
        <f t="shared" si="1"/>
        <v>187252</v>
      </c>
      <c r="W5" s="83"/>
    </row>
    <row r="6" spans="2:23" ht="44.4" customHeight="1" x14ac:dyDescent="0.35">
      <c r="B6" s="132"/>
      <c r="C6" s="133"/>
      <c r="D6" s="162"/>
      <c r="E6" s="61"/>
      <c r="F6" s="20">
        <f>F4*E4*G4/1000</f>
        <v>960</v>
      </c>
      <c r="G6" s="91">
        <f>SUM(T3:T5)</f>
        <v>12011.999999999998</v>
      </c>
      <c r="H6" s="77" t="s">
        <v>21</v>
      </c>
      <c r="I6" s="3" t="s">
        <v>12</v>
      </c>
      <c r="J6" s="6" t="str">
        <f>CONCATENATE($G$2,"-",$D$9,"-","8092","-","1")</f>
        <v>--8092-1</v>
      </c>
      <c r="K6" s="3">
        <f>IF(E4-40-10&lt;0,"0",E4-40-10)</f>
        <v>750</v>
      </c>
      <c r="L6" s="3">
        <f>G4*2</f>
        <v>4</v>
      </c>
      <c r="N6" s="18">
        <f t="shared" si="2"/>
        <v>4</v>
      </c>
      <c r="O6" s="124" t="s">
        <v>79</v>
      </c>
      <c r="P6" s="125"/>
      <c r="Q6" s="126"/>
      <c r="R6" s="37"/>
      <c r="S6" s="32"/>
      <c r="T6" s="81"/>
      <c r="U6" s="58">
        <v>0.05</v>
      </c>
      <c r="V6" s="37">
        <f>SUM(V1:V5)*U6</f>
        <v>78078</v>
      </c>
      <c r="W6" s="84"/>
    </row>
    <row r="7" spans="2:23" ht="44.4" customHeight="1" x14ac:dyDescent="0.35">
      <c r="B7" s="132"/>
      <c r="C7" s="133"/>
      <c r="D7" s="162"/>
      <c r="E7" s="2"/>
      <c r="F7" s="2"/>
      <c r="G7" s="2"/>
      <c r="H7" s="77" t="s">
        <v>22</v>
      </c>
      <c r="I7" s="3" t="s">
        <v>13</v>
      </c>
      <c r="J7" s="6" t="str">
        <f>CONCATENATE($G$2,"-",$D$9,"-","8092","-","2")</f>
        <v>--8092-2</v>
      </c>
      <c r="K7" s="3">
        <f>IF(F4-40-10&lt;0,"0",F4-40-10)</f>
        <v>550</v>
      </c>
      <c r="L7" s="3">
        <f>G4*2</f>
        <v>4</v>
      </c>
      <c r="N7" s="18">
        <f t="shared" si="2"/>
        <v>5</v>
      </c>
      <c r="O7" s="124" t="s">
        <v>91</v>
      </c>
      <c r="P7" s="125"/>
      <c r="Q7" s="125"/>
      <c r="R7" s="32"/>
      <c r="S7" s="32"/>
      <c r="T7" s="36">
        <v>4</v>
      </c>
      <c r="U7" s="37">
        <v>4400</v>
      </c>
      <c r="V7" s="34">
        <f t="shared" ref="V7:V9" si="3">U7*T7</f>
        <v>17600</v>
      </c>
      <c r="W7" s="29" t="s">
        <v>85</v>
      </c>
    </row>
    <row r="8" spans="2:23" ht="44.4" customHeight="1" x14ac:dyDescent="0.35">
      <c r="B8" s="132"/>
      <c r="C8" s="133"/>
      <c r="D8" s="162"/>
      <c r="E8" s="3"/>
      <c r="F8" s="3"/>
      <c r="G8" s="3"/>
      <c r="H8" s="77" t="s">
        <v>24</v>
      </c>
      <c r="I8" s="150" t="s">
        <v>80</v>
      </c>
      <c r="J8" s="3" t="s">
        <v>6</v>
      </c>
      <c r="K8" s="3" t="s">
        <v>7</v>
      </c>
      <c r="L8" s="5" t="s">
        <v>2</v>
      </c>
      <c r="N8" s="18">
        <f t="shared" si="2"/>
        <v>6</v>
      </c>
      <c r="O8" s="124" t="s">
        <v>92</v>
      </c>
      <c r="P8" s="125"/>
      <c r="Q8" s="125"/>
      <c r="R8" s="32"/>
      <c r="S8" s="32"/>
      <c r="T8" s="36">
        <v>4</v>
      </c>
      <c r="U8" s="37">
        <v>5100</v>
      </c>
      <c r="V8" s="34">
        <f t="shared" si="3"/>
        <v>20400</v>
      </c>
      <c r="W8" s="29" t="s">
        <v>74</v>
      </c>
    </row>
    <row r="9" spans="2:23" ht="44.4" customHeight="1" x14ac:dyDescent="0.35">
      <c r="B9" s="134"/>
      <c r="C9" s="135"/>
      <c r="D9" s="163"/>
      <c r="E9" s="3"/>
      <c r="F9" s="3"/>
      <c r="G9" s="3"/>
      <c r="H9" s="77" t="s">
        <v>25</v>
      </c>
      <c r="I9" s="151"/>
      <c r="J9" s="20">
        <f>IF(K6-120&gt;0,K6-120,"0")</f>
        <v>630</v>
      </c>
      <c r="K9" s="20">
        <f>IF(K7-120&gt;0,K7-120,"0")</f>
        <v>430</v>
      </c>
      <c r="L9" s="20">
        <f>G4</f>
        <v>2</v>
      </c>
      <c r="N9" s="18">
        <f t="shared" si="2"/>
        <v>7</v>
      </c>
      <c r="O9" s="124" t="s">
        <v>62</v>
      </c>
      <c r="P9" s="125"/>
      <c r="Q9" s="125"/>
      <c r="R9" s="32"/>
      <c r="S9" s="32"/>
      <c r="T9" s="36">
        <f>T8*2+T7</f>
        <v>12</v>
      </c>
      <c r="U9" s="37">
        <v>100</v>
      </c>
      <c r="V9" s="34">
        <f t="shared" si="3"/>
        <v>1200</v>
      </c>
      <c r="W9" s="29" t="s">
        <v>75</v>
      </c>
    </row>
    <row r="10" spans="2:23" ht="44.4" customHeight="1" x14ac:dyDescent="0.35">
      <c r="L10" s="1">
        <f>J9*K9*L9/1000000</f>
        <v>0.54179999999999995</v>
      </c>
      <c r="N10" s="18">
        <f t="shared" si="2"/>
        <v>8</v>
      </c>
      <c r="O10" s="138" t="s">
        <v>66</v>
      </c>
      <c r="P10" s="139"/>
      <c r="Q10" s="139"/>
      <c r="R10" s="139"/>
      <c r="S10" s="140"/>
      <c r="T10" s="38"/>
      <c r="U10" s="39"/>
      <c r="V10" s="40">
        <f>SUM(V3:V9)</f>
        <v>1678838</v>
      </c>
      <c r="W10" s="18"/>
    </row>
    <row r="11" spans="2:23" ht="44.4" customHeight="1" x14ac:dyDescent="0.35">
      <c r="L11" s="118">
        <f>L10*285000</f>
        <v>154412.99999999997</v>
      </c>
      <c r="N11" s="27" t="s">
        <v>14</v>
      </c>
      <c r="O11" s="129" t="s">
        <v>52</v>
      </c>
      <c r="P11" s="129"/>
      <c r="Q11" s="129"/>
      <c r="R11" s="27" t="s">
        <v>53</v>
      </c>
      <c r="S11" s="33" t="s">
        <v>59</v>
      </c>
      <c r="T11" s="33"/>
      <c r="U11" s="27" t="s">
        <v>45</v>
      </c>
      <c r="V11" s="27" t="s">
        <v>46</v>
      </c>
      <c r="W11" s="2"/>
    </row>
    <row r="12" spans="2:23" ht="44.4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18">
        <f>F6*150</f>
        <v>144000</v>
      </c>
      <c r="N12" s="18">
        <v>1</v>
      </c>
      <c r="O12" s="124" t="s">
        <v>67</v>
      </c>
      <c r="P12" s="125"/>
      <c r="Q12" s="125"/>
      <c r="R12" s="41">
        <f>R3+R4</f>
        <v>10800</v>
      </c>
      <c r="S12" s="2">
        <v>1</v>
      </c>
      <c r="T12" s="28"/>
      <c r="U12" s="41">
        <v>1000</v>
      </c>
      <c r="V12" s="41">
        <f>U12*R12*S12/1000</f>
        <v>10800</v>
      </c>
      <c r="W12" s="2"/>
    </row>
    <row r="13" spans="2:23" ht="44.4" customHeight="1" x14ac:dyDescent="0.35">
      <c r="B13" s="127"/>
      <c r="C13" s="127"/>
      <c r="D13" s="141"/>
      <c r="E13" s="141"/>
      <c r="F13" s="141"/>
      <c r="G13" s="141"/>
      <c r="H13" s="141"/>
      <c r="I13" s="141"/>
      <c r="J13" s="60"/>
      <c r="K13" s="60"/>
      <c r="L13" s="60">
        <v>520000</v>
      </c>
      <c r="N13" s="18">
        <f>N12+1</f>
        <v>2</v>
      </c>
      <c r="O13" s="124" t="s">
        <v>48</v>
      </c>
      <c r="P13" s="125"/>
      <c r="Q13" s="125"/>
      <c r="R13" s="41">
        <f>R4*2</f>
        <v>10400</v>
      </c>
      <c r="S13" s="2">
        <v>1</v>
      </c>
      <c r="T13" s="28"/>
      <c r="U13" s="41">
        <v>1000</v>
      </c>
      <c r="V13" s="41">
        <f>U13*R13*S13/1000</f>
        <v>10400</v>
      </c>
      <c r="W13" s="2"/>
    </row>
    <row r="14" spans="2:23" ht="44.4" customHeight="1" x14ac:dyDescent="0.35">
      <c r="B14" s="127"/>
      <c r="C14" s="127"/>
      <c r="D14" s="141"/>
      <c r="E14" s="141"/>
      <c r="F14" s="141"/>
      <c r="G14" s="141"/>
      <c r="H14" s="141"/>
      <c r="I14" s="141"/>
      <c r="J14" s="60"/>
      <c r="K14" s="60"/>
      <c r="L14" s="122">
        <f>V17+L11+L12+L13</f>
        <v>2521451</v>
      </c>
      <c r="N14" s="18">
        <f t="shared" ref="N14:N17" si="4">N13+1</f>
        <v>3</v>
      </c>
      <c r="O14" s="124" t="s">
        <v>69</v>
      </c>
      <c r="P14" s="125"/>
      <c r="Q14" s="126"/>
      <c r="R14" s="41"/>
      <c r="S14" s="61">
        <v>1</v>
      </c>
      <c r="T14" s="28"/>
      <c r="U14" s="41">
        <v>1000</v>
      </c>
      <c r="V14" s="41">
        <f t="shared" ref="V14:V15" si="5">U14*S14</f>
        <v>1000</v>
      </c>
      <c r="W14" s="29" t="s">
        <v>87</v>
      </c>
    </row>
    <row r="15" spans="2:23" ht="44.4" customHeight="1" x14ac:dyDescent="0.35">
      <c r="B15" s="127"/>
      <c r="C15" s="127"/>
      <c r="D15" s="141"/>
      <c r="E15" s="141"/>
      <c r="F15" s="141"/>
      <c r="G15" s="141"/>
      <c r="H15" s="141"/>
      <c r="I15" s="141"/>
      <c r="J15" s="60"/>
      <c r="K15" s="60"/>
      <c r="L15" s="60"/>
      <c r="N15" s="18">
        <f t="shared" si="4"/>
        <v>4</v>
      </c>
      <c r="O15" s="124" t="s">
        <v>71</v>
      </c>
      <c r="P15" s="125"/>
      <c r="Q15" s="126"/>
      <c r="R15" s="41"/>
      <c r="S15" s="2">
        <v>1</v>
      </c>
      <c r="T15" s="28"/>
      <c r="U15" s="41">
        <v>2000</v>
      </c>
      <c r="V15" s="41">
        <f t="shared" si="5"/>
        <v>2000</v>
      </c>
      <c r="W15" s="29" t="s">
        <v>87</v>
      </c>
    </row>
    <row r="16" spans="2:23" ht="44.4" customHeight="1" x14ac:dyDescent="0.35">
      <c r="B16" s="127"/>
      <c r="C16" s="127"/>
      <c r="D16" s="127"/>
      <c r="E16" s="127"/>
      <c r="F16" s="127"/>
      <c r="G16" s="127"/>
      <c r="H16" s="141"/>
      <c r="I16" s="141"/>
      <c r="J16" s="60"/>
      <c r="K16" s="60"/>
      <c r="L16" s="60"/>
      <c r="N16" s="18">
        <f t="shared" si="4"/>
        <v>5</v>
      </c>
      <c r="O16" s="144" t="s">
        <v>70</v>
      </c>
      <c r="P16" s="144"/>
      <c r="Q16" s="144"/>
      <c r="R16" s="144"/>
      <c r="S16" s="144"/>
      <c r="T16" s="38"/>
      <c r="U16" s="39"/>
      <c r="V16" s="40">
        <f>SUM(V12:V15)</f>
        <v>24200</v>
      </c>
      <c r="W16" s="2"/>
    </row>
    <row r="17" spans="2:23" ht="44.4" customHeight="1" x14ac:dyDescent="0.35">
      <c r="B17" s="127"/>
      <c r="C17" s="127"/>
      <c r="D17" s="141"/>
      <c r="E17" s="141"/>
      <c r="F17" s="141"/>
      <c r="G17" s="141"/>
      <c r="H17" s="141"/>
      <c r="I17" s="141"/>
      <c r="J17" s="60"/>
      <c r="K17" s="60"/>
      <c r="L17" s="60"/>
      <c r="N17" s="115">
        <f t="shared" si="4"/>
        <v>6</v>
      </c>
      <c r="O17" s="145" t="s">
        <v>183</v>
      </c>
      <c r="P17" s="146"/>
      <c r="Q17" s="146"/>
      <c r="R17" s="146"/>
      <c r="S17" s="147"/>
      <c r="T17" s="116"/>
      <c r="U17" s="117"/>
      <c r="V17" s="118">
        <f>V10+V16</f>
        <v>1703038</v>
      </c>
      <c r="W17" s="115"/>
    </row>
    <row r="18" spans="2:23" ht="44.4" customHeight="1" x14ac:dyDescent="0.35">
      <c r="B18" s="127"/>
      <c r="C18" s="127"/>
      <c r="D18" s="127"/>
      <c r="E18" s="127"/>
      <c r="F18" s="127"/>
      <c r="G18" s="127"/>
      <c r="H18" s="141"/>
      <c r="I18" s="141"/>
      <c r="J18" s="60"/>
      <c r="K18" s="60"/>
      <c r="L18" s="60"/>
      <c r="N18" s="22"/>
      <c r="O18" s="160"/>
      <c r="P18" s="160"/>
      <c r="Q18" s="63"/>
      <c r="R18" s="64"/>
      <c r="S18" s="64"/>
      <c r="T18" s="65"/>
      <c r="U18" s="64"/>
      <c r="V18" s="66"/>
    </row>
    <row r="19" spans="2:23" ht="44.4" customHeight="1" x14ac:dyDescent="0.35">
      <c r="B19" s="127"/>
      <c r="C19" s="127"/>
      <c r="D19" s="127"/>
      <c r="E19" s="127"/>
      <c r="F19" s="127"/>
      <c r="G19" s="127"/>
      <c r="H19" s="148"/>
      <c r="I19" s="148"/>
      <c r="J19" s="60"/>
      <c r="K19" s="60"/>
      <c r="L19" s="60"/>
      <c r="O19" s="22"/>
      <c r="P19" s="143"/>
      <c r="Q19" s="143"/>
      <c r="R19" s="51"/>
      <c r="S19" s="49"/>
      <c r="T19" s="49"/>
      <c r="U19" s="52"/>
      <c r="V19" s="49"/>
      <c r="W19" s="53"/>
    </row>
    <row r="20" spans="2:23" ht="44.4" customHeight="1" x14ac:dyDescent="0.35">
      <c r="B20" s="127"/>
      <c r="C20" s="127"/>
      <c r="D20" s="127"/>
      <c r="E20" s="127"/>
      <c r="F20" s="127"/>
      <c r="G20" s="127"/>
      <c r="H20" s="141"/>
      <c r="I20" s="141"/>
      <c r="J20" s="60"/>
      <c r="K20" s="60"/>
    </row>
  </sheetData>
  <mergeCells count="56">
    <mergeCell ref="O16:S16"/>
    <mergeCell ref="P19:Q19"/>
    <mergeCell ref="O11:Q11"/>
    <mergeCell ref="O12:Q12"/>
    <mergeCell ref="O13:Q13"/>
    <mergeCell ref="O14:Q14"/>
    <mergeCell ref="O15:Q15"/>
    <mergeCell ref="O17:S17"/>
    <mergeCell ref="O18:P18"/>
    <mergeCell ref="O6:Q6"/>
    <mergeCell ref="O7:Q7"/>
    <mergeCell ref="O8:Q8"/>
    <mergeCell ref="O9:Q9"/>
    <mergeCell ref="O10:S10"/>
    <mergeCell ref="N1:W1"/>
    <mergeCell ref="O2:Q2"/>
    <mergeCell ref="O3:Q3"/>
    <mergeCell ref="O4:Q4"/>
    <mergeCell ref="O5:Q5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:L1"/>
    <mergeCell ref="B12:C12"/>
    <mergeCell ref="D12:E12"/>
    <mergeCell ref="F12:G12"/>
    <mergeCell ref="H12:I12"/>
    <mergeCell ref="J12:K12"/>
    <mergeCell ref="B3:D9"/>
    <mergeCell ref="H2:H3"/>
    <mergeCell ref="I8:I9"/>
    <mergeCell ref="I2:L2"/>
    <mergeCell ref="B2:F2"/>
  </mergeCells>
  <pageMargins left="0.7" right="0.7" top="0.75" bottom="0.75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0"/>
  <sheetViews>
    <sheetView topLeftCell="E1" zoomScale="47" zoomScaleNormal="47" zoomScaleSheetLayoutView="36" workbookViewId="0">
      <selection activeCell="V20" sqref="V20"/>
    </sheetView>
  </sheetViews>
  <sheetFormatPr defaultColWidth="20.44140625" defaultRowHeight="42" customHeight="1" x14ac:dyDescent="0.35"/>
  <cols>
    <col min="1" max="22" width="20.44140625" style="1"/>
    <col min="23" max="23" width="42.44140625" style="1" customWidth="1"/>
    <col min="24" max="16384" width="20.44140625" style="1"/>
  </cols>
  <sheetData>
    <row r="1" spans="2:23" ht="4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55.2" customHeight="1" x14ac:dyDescent="0.35">
      <c r="B2" s="152" t="s">
        <v>8</v>
      </c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2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81</v>
      </c>
      <c r="P3" s="125"/>
      <c r="Q3" s="125"/>
      <c r="R3" s="37">
        <f>K4*L4+K5*L5</f>
        <v>5600</v>
      </c>
      <c r="S3" s="32">
        <v>0.88400000000000001</v>
      </c>
      <c r="T3" s="35">
        <f>S3*R3</f>
        <v>4950.3999999999996</v>
      </c>
      <c r="U3" s="37">
        <v>128000</v>
      </c>
      <c r="V3" s="34">
        <f>U3*T3/1000</f>
        <v>633651.19999999995</v>
      </c>
      <c r="W3" s="119"/>
    </row>
    <row r="4" spans="2:23" ht="42" customHeight="1" x14ac:dyDescent="0.35">
      <c r="B4" s="132"/>
      <c r="C4" s="133"/>
      <c r="D4" s="162"/>
      <c r="E4" s="3">
        <v>1800</v>
      </c>
      <c r="F4" s="3">
        <v>1000</v>
      </c>
      <c r="G4" s="3">
        <v>1</v>
      </c>
      <c r="H4" s="6">
        <v>1</v>
      </c>
      <c r="I4" s="3" t="s">
        <v>10</v>
      </c>
      <c r="J4" s="6" t="str">
        <f>CONCATENATE($G$2,"-",$D$10,"-","3318","-","1")</f>
        <v>--3318-1</v>
      </c>
      <c r="K4" s="3">
        <f>E4</f>
        <v>1800</v>
      </c>
      <c r="L4" s="3">
        <f>G4*2</f>
        <v>2</v>
      </c>
      <c r="N4" s="18">
        <f>N3+1</f>
        <v>2</v>
      </c>
      <c r="O4" s="124" t="s">
        <v>82</v>
      </c>
      <c r="P4" s="125"/>
      <c r="Q4" s="125"/>
      <c r="R4" s="37">
        <f>K6*L6+K7*L7</f>
        <v>7288</v>
      </c>
      <c r="S4" s="32">
        <v>1.081</v>
      </c>
      <c r="T4" s="35">
        <f t="shared" ref="T4:T5" si="0">S4*R4</f>
        <v>7878.3279999999995</v>
      </c>
      <c r="U4" s="37">
        <v>128000</v>
      </c>
      <c r="V4" s="34">
        <f t="shared" ref="V4:V6" si="1">U4*T4/1000</f>
        <v>1008425.9839999999</v>
      </c>
      <c r="W4" s="83"/>
    </row>
    <row r="5" spans="2:23" ht="42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>
        <f>H4+1</f>
        <v>2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8">
        <f t="shared" ref="N5:N11" si="2">N4+1</f>
        <v>3</v>
      </c>
      <c r="O5" s="124" t="s">
        <v>56</v>
      </c>
      <c r="P5" s="125"/>
      <c r="Q5" s="125"/>
      <c r="R5" s="37">
        <f>R4</f>
        <v>7288</v>
      </c>
      <c r="S5" s="32">
        <v>0.27700000000000002</v>
      </c>
      <c r="T5" s="35">
        <f t="shared" si="0"/>
        <v>2018.7760000000001</v>
      </c>
      <c r="U5" s="37">
        <v>128000</v>
      </c>
      <c r="V5" s="34">
        <f t="shared" si="1"/>
        <v>258403.32800000001</v>
      </c>
      <c r="W5" s="83"/>
    </row>
    <row r="6" spans="2:23" ht="42" customHeight="1" x14ac:dyDescent="0.35">
      <c r="B6" s="132"/>
      <c r="C6" s="133"/>
      <c r="D6" s="162"/>
      <c r="E6" s="61"/>
      <c r="F6" s="20">
        <f>F4*E4/1000</f>
        <v>1800</v>
      </c>
      <c r="G6" s="91">
        <f>SUM(T3:T6)</f>
        <v>15612.984999999999</v>
      </c>
      <c r="H6" s="6">
        <f t="shared" ref="H6:H10" si="3">H5+1</f>
        <v>3</v>
      </c>
      <c r="I6" s="3" t="s">
        <v>17</v>
      </c>
      <c r="J6" s="6" t="str">
        <f>CONCATENATE($G$2,"-",$D$10,"-","3202","-","1")</f>
        <v>--3202-1</v>
      </c>
      <c r="K6" s="3">
        <f>IF(ROUNDDOWN((E4-40-16)/2,0)&lt;0,"0",ROUNDDOWN((E4-40-16)/2,0))</f>
        <v>872</v>
      </c>
      <c r="L6" s="3">
        <f>G4*4</f>
        <v>4</v>
      </c>
      <c r="N6" s="18">
        <f t="shared" si="2"/>
        <v>4</v>
      </c>
      <c r="O6" s="124" t="s">
        <v>72</v>
      </c>
      <c r="P6" s="125"/>
      <c r="Q6" s="125"/>
      <c r="R6" s="37">
        <f>K8*L8</f>
        <v>887</v>
      </c>
      <c r="S6" s="32">
        <v>0.86299999999999999</v>
      </c>
      <c r="T6" s="35">
        <f>S6*R6</f>
        <v>765.48099999999999</v>
      </c>
      <c r="U6" s="37">
        <v>128000</v>
      </c>
      <c r="V6" s="34">
        <f t="shared" si="1"/>
        <v>97981.567999999999</v>
      </c>
      <c r="W6" s="84"/>
    </row>
    <row r="7" spans="2:23" ht="42" customHeight="1" x14ac:dyDescent="0.35">
      <c r="B7" s="132"/>
      <c r="C7" s="133"/>
      <c r="D7" s="162"/>
      <c r="E7" s="2"/>
      <c r="F7" s="2"/>
      <c r="G7" s="2"/>
      <c r="H7" s="6">
        <f t="shared" si="3"/>
        <v>4</v>
      </c>
      <c r="I7" s="3" t="s">
        <v>18</v>
      </c>
      <c r="J7" s="6" t="str">
        <f>CONCATENATE($G$2,"-",$D$10,"-","3202","-","2")</f>
        <v>--3202-2</v>
      </c>
      <c r="K7" s="3">
        <f>IF(F4-40-10&lt;0,"0",ROUNDDOWN(F4-40-10,0))</f>
        <v>950</v>
      </c>
      <c r="L7" s="3">
        <f>G4*4</f>
        <v>4</v>
      </c>
      <c r="N7" s="18">
        <f t="shared" si="2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99923.103999999992</v>
      </c>
      <c r="W7" s="46"/>
    </row>
    <row r="8" spans="2:23" ht="42" customHeight="1" x14ac:dyDescent="0.35">
      <c r="B8" s="132"/>
      <c r="C8" s="133"/>
      <c r="D8" s="162"/>
      <c r="E8" s="2"/>
      <c r="F8" s="2"/>
      <c r="G8" s="2"/>
      <c r="H8" s="6">
        <f t="shared" si="3"/>
        <v>5</v>
      </c>
      <c r="I8" s="3" t="s">
        <v>16</v>
      </c>
      <c r="J8" s="6" t="str">
        <f>CONCATENATE($G$2,"-",$D$10,"-","3323A","-","1")</f>
        <v>--3323A-1</v>
      </c>
      <c r="K8" s="6">
        <f>K7-63</f>
        <v>887</v>
      </c>
      <c r="L8" s="3">
        <f>G4*1</f>
        <v>1</v>
      </c>
      <c r="N8" s="18">
        <f t="shared" si="2"/>
        <v>6</v>
      </c>
      <c r="O8" s="124" t="s">
        <v>91</v>
      </c>
      <c r="P8" s="125"/>
      <c r="Q8" s="125"/>
      <c r="R8" s="32"/>
      <c r="S8" s="32"/>
      <c r="T8" s="36">
        <v>4</v>
      </c>
      <c r="U8" s="37">
        <v>4400</v>
      </c>
      <c r="V8" s="34">
        <f t="shared" ref="V8:V10" si="4">U8*T8</f>
        <v>17600</v>
      </c>
      <c r="W8" s="18"/>
    </row>
    <row r="9" spans="2:23" ht="42" customHeight="1" x14ac:dyDescent="0.35">
      <c r="B9" s="132"/>
      <c r="C9" s="133"/>
      <c r="D9" s="162"/>
      <c r="E9" s="3"/>
      <c r="F9" s="3"/>
      <c r="G9" s="3"/>
      <c r="H9" s="6">
        <f t="shared" si="3"/>
        <v>6</v>
      </c>
      <c r="I9" s="150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92</v>
      </c>
      <c r="P9" s="125"/>
      <c r="Q9" s="125"/>
      <c r="R9" s="32"/>
      <c r="S9" s="32"/>
      <c r="T9" s="36">
        <v>8</v>
      </c>
      <c r="U9" s="37">
        <v>5100</v>
      </c>
      <c r="V9" s="34">
        <f t="shared" si="4"/>
        <v>40800</v>
      </c>
      <c r="W9" s="29" t="s">
        <v>74</v>
      </c>
    </row>
    <row r="10" spans="2:23" ht="42" customHeight="1" x14ac:dyDescent="0.35">
      <c r="B10" s="134"/>
      <c r="C10" s="135"/>
      <c r="D10" s="163"/>
      <c r="E10" s="3"/>
      <c r="F10" s="3"/>
      <c r="G10" s="3"/>
      <c r="H10" s="6">
        <f t="shared" si="3"/>
        <v>7</v>
      </c>
      <c r="I10" s="151"/>
      <c r="J10" s="3">
        <f>IF(K6-120&gt;0,K6-120,"0")</f>
        <v>752</v>
      </c>
      <c r="K10" s="3">
        <f>IF(K7-120&gt;0,K7-120,"0")</f>
        <v>830</v>
      </c>
      <c r="L10" s="3">
        <f>G4*2</f>
        <v>2</v>
      </c>
      <c r="N10" s="18">
        <f t="shared" si="2"/>
        <v>8</v>
      </c>
      <c r="O10" s="124" t="s">
        <v>62</v>
      </c>
      <c r="P10" s="125"/>
      <c r="Q10" s="125"/>
      <c r="R10" s="32"/>
      <c r="S10" s="32"/>
      <c r="T10" s="36">
        <f>T9*2+T8</f>
        <v>20</v>
      </c>
      <c r="U10" s="37">
        <v>100</v>
      </c>
      <c r="V10" s="34">
        <f t="shared" si="4"/>
        <v>2000</v>
      </c>
      <c r="W10" s="29" t="s">
        <v>75</v>
      </c>
    </row>
    <row r="11" spans="2:23" ht="42" customHeight="1" x14ac:dyDescent="0.35"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2158785.1839999999</v>
      </c>
      <c r="W11" s="18"/>
    </row>
    <row r="12" spans="2:23" ht="42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42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N13" s="18">
        <v>1</v>
      </c>
      <c r="O13" s="124" t="s">
        <v>67</v>
      </c>
      <c r="P13" s="125"/>
      <c r="Q13" s="125"/>
      <c r="R13" s="41">
        <f>R3+R4+R6</f>
        <v>13775</v>
      </c>
      <c r="S13" s="2">
        <v>1</v>
      </c>
      <c r="T13" s="28"/>
      <c r="U13" s="41">
        <v>1000</v>
      </c>
      <c r="V13" s="41">
        <f>U13*R13*S13/1000</f>
        <v>13775</v>
      </c>
      <c r="W13" s="2"/>
    </row>
    <row r="14" spans="2:23" ht="42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f>N13+1</f>
        <v>2</v>
      </c>
      <c r="O14" s="124" t="s">
        <v>48</v>
      </c>
      <c r="P14" s="125"/>
      <c r="Q14" s="125"/>
      <c r="R14" s="41">
        <f>R4*2</f>
        <v>14576</v>
      </c>
      <c r="S14" s="2">
        <v>1</v>
      </c>
      <c r="T14" s="28"/>
      <c r="U14" s="41">
        <v>1000</v>
      </c>
      <c r="V14" s="41">
        <f>U14*R14*S14/1000</f>
        <v>14576</v>
      </c>
      <c r="W14" s="2"/>
    </row>
    <row r="15" spans="2:23" ht="42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 t="shared" ref="N15:N19" si="5">N14+1</f>
        <v>3</v>
      </c>
      <c r="O15" s="124" t="s">
        <v>73</v>
      </c>
      <c r="P15" s="125"/>
      <c r="Q15" s="125"/>
      <c r="R15" s="41"/>
      <c r="S15" s="2">
        <v>1</v>
      </c>
      <c r="T15" s="28"/>
      <c r="U15" s="41">
        <v>2500</v>
      </c>
      <c r="V15" s="41">
        <f>U15*S15</f>
        <v>2500</v>
      </c>
      <c r="W15" s="29" t="s">
        <v>86</v>
      </c>
    </row>
    <row r="16" spans="2:23" ht="42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N16" s="18">
        <f t="shared" si="5"/>
        <v>4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6">U16*S16</f>
        <v>1000</v>
      </c>
      <c r="W16" s="29" t="s">
        <v>87</v>
      </c>
    </row>
    <row r="17" spans="2:23" ht="42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5"/>
        <v>5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6"/>
        <v>2000</v>
      </c>
      <c r="W17" s="2" t="s">
        <v>87</v>
      </c>
    </row>
    <row r="18" spans="2:23" ht="42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N18" s="18">
        <f t="shared" si="5"/>
        <v>6</v>
      </c>
      <c r="O18" s="144" t="s">
        <v>70</v>
      </c>
      <c r="P18" s="144"/>
      <c r="Q18" s="144"/>
      <c r="R18" s="144"/>
      <c r="S18" s="144"/>
      <c r="T18" s="38"/>
      <c r="U18" s="39"/>
      <c r="V18" s="40">
        <f>SUM(V13:V17)</f>
        <v>33851</v>
      </c>
      <c r="W18" s="2"/>
    </row>
    <row r="19" spans="2:23" ht="42" customHeight="1" x14ac:dyDescent="0.35">
      <c r="B19" s="127"/>
      <c r="C19" s="127"/>
      <c r="D19" s="127"/>
      <c r="E19" s="127"/>
      <c r="F19" s="127"/>
      <c r="G19" s="127"/>
      <c r="H19" s="148"/>
      <c r="I19" s="148"/>
      <c r="J19" s="127"/>
      <c r="K19" s="127"/>
      <c r="N19" s="115">
        <f t="shared" si="5"/>
        <v>7</v>
      </c>
      <c r="O19" s="145" t="s">
        <v>183</v>
      </c>
      <c r="P19" s="146"/>
      <c r="Q19" s="146"/>
      <c r="R19" s="146"/>
      <c r="S19" s="147"/>
      <c r="T19" s="116"/>
      <c r="U19" s="117"/>
      <c r="V19" s="118">
        <f>V11+V18</f>
        <v>2192636.1839999999</v>
      </c>
      <c r="W19" s="115"/>
    </row>
    <row r="20" spans="2:23" ht="42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  <c r="N20" s="22"/>
      <c r="O20" s="160"/>
      <c r="P20" s="160"/>
      <c r="Q20" s="63"/>
      <c r="R20" s="64"/>
      <c r="S20" s="64"/>
      <c r="T20" s="65"/>
      <c r="U20" s="64"/>
      <c r="V20" s="66"/>
    </row>
  </sheetData>
  <mergeCells count="64">
    <mergeCell ref="O11:S11"/>
    <mergeCell ref="O17:Q17"/>
    <mergeCell ref="O18:S18"/>
    <mergeCell ref="O12:Q12"/>
    <mergeCell ref="O13:Q13"/>
    <mergeCell ref="O14:Q14"/>
    <mergeCell ref="O15:Q15"/>
    <mergeCell ref="O16:Q16"/>
    <mergeCell ref="O6:Q6"/>
    <mergeCell ref="O7:Q7"/>
    <mergeCell ref="O8:Q8"/>
    <mergeCell ref="O9:Q9"/>
    <mergeCell ref="O10:Q10"/>
    <mergeCell ref="N1:W1"/>
    <mergeCell ref="O2:Q2"/>
    <mergeCell ref="O3:Q3"/>
    <mergeCell ref="O4:Q4"/>
    <mergeCell ref="O5:Q5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2:C12"/>
    <mergeCell ref="D12:E12"/>
    <mergeCell ref="F12:G12"/>
    <mergeCell ref="H12:I12"/>
    <mergeCell ref="J12:K12"/>
    <mergeCell ref="I9:I10"/>
    <mergeCell ref="B3:D10"/>
    <mergeCell ref="B1:L1"/>
    <mergeCell ref="I2:L2"/>
    <mergeCell ref="B2:F2"/>
    <mergeCell ref="J13:K13"/>
    <mergeCell ref="J14:K14"/>
    <mergeCell ref="J15:K15"/>
    <mergeCell ref="J16:K16"/>
    <mergeCell ref="J17:K17"/>
    <mergeCell ref="O19:S19"/>
    <mergeCell ref="O20:P20"/>
    <mergeCell ref="J18:K18"/>
    <mergeCell ref="J19:K19"/>
    <mergeCell ref="J20:K20"/>
  </mergeCells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21"/>
  <sheetViews>
    <sheetView topLeftCell="H1" zoomScale="54" zoomScaleNormal="54" workbookViewId="0">
      <selection activeCell="V19" sqref="V19"/>
    </sheetView>
  </sheetViews>
  <sheetFormatPr defaultColWidth="18.109375" defaultRowHeight="34.950000000000003" customHeight="1" x14ac:dyDescent="0.35"/>
  <cols>
    <col min="1" max="22" width="18.109375" style="1"/>
    <col min="23" max="23" width="36.5546875" style="1" customWidth="1"/>
    <col min="24" max="16384" width="18.109375" style="1"/>
  </cols>
  <sheetData>
    <row r="1" spans="2:23" ht="34.95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53.4" customHeight="1" x14ac:dyDescent="0.35">
      <c r="B2" s="152" t="s">
        <v>8</v>
      </c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4.950000000000003" customHeight="1" x14ac:dyDescent="0.35">
      <c r="B3" s="164"/>
      <c r="C3" s="165"/>
      <c r="D3" s="16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117</v>
      </c>
      <c r="P3" s="125"/>
      <c r="Q3" s="125"/>
      <c r="R3" s="37">
        <f>K4*L4+K5*L5</f>
        <v>6800</v>
      </c>
      <c r="S3" s="32">
        <v>0.88400000000000001</v>
      </c>
      <c r="T3" s="35">
        <f>S3*R3</f>
        <v>6011.2</v>
      </c>
      <c r="U3" s="37">
        <v>128000</v>
      </c>
      <c r="V3" s="34">
        <f>U3*T3/1000</f>
        <v>769433.59999999998</v>
      </c>
      <c r="W3" s="119"/>
    </row>
    <row r="4" spans="2:23" ht="34.950000000000003" customHeight="1" x14ac:dyDescent="0.35">
      <c r="B4" s="166"/>
      <c r="C4" s="167"/>
      <c r="D4" s="167"/>
      <c r="E4" s="3">
        <v>2400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CONCATENATE($G$2,"-",$D$10,"-","3318","-","1")</f>
        <v>--3318-1</v>
      </c>
      <c r="K4" s="3">
        <f>E4</f>
        <v>2400</v>
      </c>
      <c r="L4" s="3">
        <f>G4*2</f>
        <v>2</v>
      </c>
      <c r="N4" s="18">
        <f>N3+1</f>
        <v>2</v>
      </c>
      <c r="O4" s="124" t="s">
        <v>82</v>
      </c>
      <c r="P4" s="125"/>
      <c r="Q4" s="125"/>
      <c r="R4" s="37">
        <f>K6*L6+K7*L7</f>
        <v>10296</v>
      </c>
      <c r="S4" s="32">
        <v>1.081</v>
      </c>
      <c r="T4" s="35">
        <f t="shared" ref="T4:T5" si="0">S4*R4</f>
        <v>11129.975999999999</v>
      </c>
      <c r="U4" s="37">
        <v>128000</v>
      </c>
      <c r="V4" s="34">
        <f t="shared" ref="V4:V6" si="1">U4*T4/1000</f>
        <v>1424636.9279999998</v>
      </c>
      <c r="W4" s="83"/>
    </row>
    <row r="5" spans="2:23" ht="34.950000000000003" customHeight="1" x14ac:dyDescent="0.35">
      <c r="B5" s="166"/>
      <c r="C5" s="167"/>
      <c r="D5" s="167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8">
        <f t="shared" ref="N5:N11" si="2">N4+1</f>
        <v>3</v>
      </c>
      <c r="O5" s="124" t="s">
        <v>56</v>
      </c>
      <c r="P5" s="125"/>
      <c r="Q5" s="125"/>
      <c r="R5" s="37">
        <f>R4</f>
        <v>10296</v>
      </c>
      <c r="S5" s="32">
        <v>0.27700000000000002</v>
      </c>
      <c r="T5" s="35">
        <f t="shared" si="0"/>
        <v>2851.9920000000002</v>
      </c>
      <c r="U5" s="37">
        <v>128000</v>
      </c>
      <c r="V5" s="34">
        <f t="shared" si="1"/>
        <v>365054.97600000002</v>
      </c>
      <c r="W5" s="83"/>
    </row>
    <row r="6" spans="2:23" ht="34.950000000000003" customHeight="1" x14ac:dyDescent="0.35">
      <c r="B6" s="166"/>
      <c r="C6" s="167"/>
      <c r="D6" s="167"/>
      <c r="E6" s="61"/>
      <c r="F6" s="20">
        <f>F4*E4/1000</f>
        <v>2400</v>
      </c>
      <c r="G6" s="91">
        <f>SUM(T3:T6)</f>
        <v>22172.367999999999</v>
      </c>
      <c r="H6" s="6" t="s">
        <v>21</v>
      </c>
      <c r="I6" s="3" t="s">
        <v>17</v>
      </c>
      <c r="J6" s="6" t="str">
        <f>CONCATENATE($G$2,"-",$D$10,"-","3202","-","1")</f>
        <v>--3202-1</v>
      </c>
      <c r="K6" s="3">
        <f>IF(ROUNDDOWN((E4-40-30-30)/3,0)&lt;0,"0",ROUNDDOWN((E4-40-30-30)/3,0))</f>
        <v>766</v>
      </c>
      <c r="L6" s="3">
        <f>G4*6</f>
        <v>6</v>
      </c>
      <c r="N6" s="18">
        <f t="shared" si="2"/>
        <v>4</v>
      </c>
      <c r="O6" s="124" t="s">
        <v>88</v>
      </c>
      <c r="P6" s="125"/>
      <c r="Q6" s="125"/>
      <c r="R6" s="37">
        <f>K8*L8</f>
        <v>1920</v>
      </c>
      <c r="S6" s="32">
        <v>1.135</v>
      </c>
      <c r="T6" s="35">
        <f t="shared" ref="T6" si="3">S6*R6</f>
        <v>2179.1999999999998</v>
      </c>
      <c r="U6" s="37">
        <v>128000</v>
      </c>
      <c r="V6" s="34">
        <f t="shared" si="1"/>
        <v>278937.59999999998</v>
      </c>
      <c r="W6" s="84"/>
    </row>
    <row r="7" spans="2:23" ht="34.950000000000003" customHeight="1" x14ac:dyDescent="0.35">
      <c r="B7" s="166"/>
      <c r="C7" s="167"/>
      <c r="D7" s="167"/>
      <c r="E7" s="2"/>
      <c r="F7" s="2"/>
      <c r="G7" s="2"/>
      <c r="H7" s="6" t="s">
        <v>22</v>
      </c>
      <c r="I7" s="3" t="s">
        <v>18</v>
      </c>
      <c r="J7" s="6" t="str">
        <f>CONCATENATE($G$2,"-",$D$10,"-","3202","-","2")</f>
        <v>--3202-2</v>
      </c>
      <c r="K7" s="3">
        <f>IF(F4-40-10&lt;0,"0",F4-40-10)</f>
        <v>950</v>
      </c>
      <c r="L7" s="3">
        <f>G4*6</f>
        <v>6</v>
      </c>
      <c r="N7" s="18">
        <f t="shared" si="2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141903.15520000001</v>
      </c>
      <c r="W7" s="46"/>
    </row>
    <row r="8" spans="2:23" ht="34.950000000000003" customHeight="1" x14ac:dyDescent="0.35">
      <c r="B8" s="166"/>
      <c r="C8" s="167"/>
      <c r="D8" s="167"/>
      <c r="E8" s="2"/>
      <c r="F8" s="2"/>
      <c r="G8" s="2"/>
      <c r="H8" s="6" t="s">
        <v>24</v>
      </c>
      <c r="I8" s="3" t="s">
        <v>27</v>
      </c>
      <c r="J8" s="6" t="str">
        <f>CONCATENATE($G$2,"-",$D$10,"-","3313","-","1")</f>
        <v>--3313-1</v>
      </c>
      <c r="K8" s="3">
        <f>IF(F4-40&lt;0,"0",F4-40)</f>
        <v>960</v>
      </c>
      <c r="L8" s="3">
        <f>G4*2</f>
        <v>2</v>
      </c>
      <c r="N8" s="18">
        <f t="shared" si="2"/>
        <v>6</v>
      </c>
      <c r="O8" s="124" t="s">
        <v>91</v>
      </c>
      <c r="P8" s="125"/>
      <c r="Q8" s="125"/>
      <c r="R8" s="32"/>
      <c r="S8" s="32"/>
      <c r="T8" s="36">
        <v>4</v>
      </c>
      <c r="U8" s="37">
        <v>4400</v>
      </c>
      <c r="V8" s="34">
        <f t="shared" ref="V8:V10" si="4">U8*T8</f>
        <v>17600</v>
      </c>
      <c r="W8" s="18"/>
    </row>
    <row r="9" spans="2:23" ht="34.950000000000003" customHeight="1" x14ac:dyDescent="0.35">
      <c r="B9" s="166"/>
      <c r="C9" s="167"/>
      <c r="D9" s="167"/>
      <c r="E9" s="3"/>
      <c r="F9" s="3"/>
      <c r="G9" s="3"/>
      <c r="H9" s="3"/>
      <c r="I9" s="170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92</v>
      </c>
      <c r="P9" s="125"/>
      <c r="Q9" s="125"/>
      <c r="R9" s="32"/>
      <c r="S9" s="32"/>
      <c r="T9" s="36">
        <v>12</v>
      </c>
      <c r="U9" s="37">
        <v>5100</v>
      </c>
      <c r="V9" s="34">
        <f t="shared" si="4"/>
        <v>61200</v>
      </c>
      <c r="W9" s="29" t="s">
        <v>74</v>
      </c>
    </row>
    <row r="10" spans="2:23" ht="34.950000000000003" customHeight="1" x14ac:dyDescent="0.35">
      <c r="B10" s="168"/>
      <c r="C10" s="169"/>
      <c r="D10" s="169"/>
      <c r="E10" s="3"/>
      <c r="F10" s="3"/>
      <c r="G10" s="3"/>
      <c r="H10" s="3"/>
      <c r="I10" s="171"/>
      <c r="J10" s="15">
        <f>IF(K6-125&gt;0,K6-125,"0")</f>
        <v>641</v>
      </c>
      <c r="K10" s="15">
        <f>IF(K7-125&gt;0,K7-125,"0")</f>
        <v>825</v>
      </c>
      <c r="L10" s="15">
        <f>G4*3</f>
        <v>3</v>
      </c>
      <c r="N10" s="18">
        <f>N9+1</f>
        <v>8</v>
      </c>
      <c r="O10" s="124" t="s">
        <v>62</v>
      </c>
      <c r="P10" s="125"/>
      <c r="Q10" s="125"/>
      <c r="R10" s="32"/>
      <c r="S10" s="32"/>
      <c r="T10" s="36">
        <f>T9*2+T8</f>
        <v>28</v>
      </c>
      <c r="U10" s="37">
        <v>100</v>
      </c>
      <c r="V10" s="34">
        <f t="shared" si="4"/>
        <v>2800</v>
      </c>
      <c r="W10" s="29" t="s">
        <v>75</v>
      </c>
    </row>
    <row r="11" spans="2:23" ht="34.950000000000003" customHeight="1" x14ac:dyDescent="0.35"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3061566.2591999997</v>
      </c>
      <c r="W11" s="18"/>
    </row>
    <row r="12" spans="2:23" ht="34.950000000000003" customHeight="1" x14ac:dyDescent="0.35"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34.95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18">
        <v>1</v>
      </c>
      <c r="O13" s="124" t="s">
        <v>67</v>
      </c>
      <c r="P13" s="125"/>
      <c r="Q13" s="125"/>
      <c r="R13" s="41">
        <f>R3+R6+R4</f>
        <v>19016</v>
      </c>
      <c r="S13" s="2">
        <v>1</v>
      </c>
      <c r="T13" s="28"/>
      <c r="U13" s="41">
        <v>1000</v>
      </c>
      <c r="V13" s="41">
        <f>U13*R13/1000</f>
        <v>19016</v>
      </c>
      <c r="W13" s="2"/>
    </row>
    <row r="14" spans="2:23" ht="34.95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f>N13+1</f>
        <v>2</v>
      </c>
      <c r="O14" s="124" t="s">
        <v>48</v>
      </c>
      <c r="P14" s="125"/>
      <c r="Q14" s="125"/>
      <c r="R14" s="41">
        <f>R4*2</f>
        <v>20592</v>
      </c>
      <c r="S14" s="2">
        <v>1</v>
      </c>
      <c r="T14" s="28"/>
      <c r="U14" s="41">
        <v>1000</v>
      </c>
      <c r="V14" s="41">
        <f>U14*R14/1000</f>
        <v>20592</v>
      </c>
      <c r="W14" s="2"/>
    </row>
    <row r="15" spans="2:23" ht="34.95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v>3</v>
      </c>
      <c r="O15" s="124" t="s">
        <v>69</v>
      </c>
      <c r="P15" s="125"/>
      <c r="Q15" s="126"/>
      <c r="R15" s="41"/>
      <c r="S15" s="61">
        <v>1</v>
      </c>
      <c r="T15" s="28"/>
      <c r="U15" s="41">
        <v>1000</v>
      </c>
      <c r="V15" s="41">
        <f t="shared" ref="V15:V16" si="5">U15*S15</f>
        <v>1000</v>
      </c>
      <c r="W15" s="29" t="s">
        <v>87</v>
      </c>
    </row>
    <row r="16" spans="2:23" ht="34.950000000000003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18" si="6">N15+1</f>
        <v>4</v>
      </c>
      <c r="O16" s="124" t="s">
        <v>71</v>
      </c>
      <c r="P16" s="125"/>
      <c r="Q16" s="126"/>
      <c r="R16" s="41"/>
      <c r="S16" s="2">
        <v>1</v>
      </c>
      <c r="T16" s="28"/>
      <c r="U16" s="41">
        <v>2000</v>
      </c>
      <c r="V16" s="41">
        <f t="shared" si="5"/>
        <v>2000</v>
      </c>
      <c r="W16" s="29" t="s">
        <v>87</v>
      </c>
    </row>
    <row r="17" spans="2:23" ht="34.95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6"/>
        <v>5</v>
      </c>
      <c r="O17" s="144" t="s">
        <v>70</v>
      </c>
      <c r="P17" s="144"/>
      <c r="Q17" s="144"/>
      <c r="R17" s="144"/>
      <c r="S17" s="144"/>
      <c r="T17" s="38"/>
      <c r="U17" s="39"/>
      <c r="V17" s="40">
        <f>SUM(V13:V16)</f>
        <v>42608</v>
      </c>
      <c r="W17" s="2"/>
    </row>
    <row r="18" spans="2:23" ht="34.95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15">
        <f t="shared" si="6"/>
        <v>6</v>
      </c>
      <c r="O18" s="145" t="s">
        <v>183</v>
      </c>
      <c r="P18" s="146"/>
      <c r="Q18" s="146"/>
      <c r="R18" s="146"/>
      <c r="S18" s="147"/>
      <c r="T18" s="116"/>
      <c r="U18" s="117"/>
      <c r="V18" s="118">
        <f>V11+V17</f>
        <v>3104174.2591999997</v>
      </c>
      <c r="W18" s="115"/>
    </row>
    <row r="19" spans="2:23" ht="34.95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22"/>
      <c r="O19" s="160"/>
      <c r="P19" s="160"/>
      <c r="Q19" s="63"/>
      <c r="R19" s="64"/>
      <c r="S19" s="64"/>
      <c r="T19" s="65"/>
      <c r="U19" s="64"/>
      <c r="V19" s="66"/>
    </row>
    <row r="20" spans="2:23" ht="34.95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</row>
    <row r="21" spans="2:23" ht="34.95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</row>
  </sheetData>
  <mergeCells count="63">
    <mergeCell ref="O11:S11"/>
    <mergeCell ref="O16:Q16"/>
    <mergeCell ref="O17:S17"/>
    <mergeCell ref="O12:Q12"/>
    <mergeCell ref="O13:Q13"/>
    <mergeCell ref="O14:Q14"/>
    <mergeCell ref="O15:Q15"/>
    <mergeCell ref="O6:Q6"/>
    <mergeCell ref="O7:Q7"/>
    <mergeCell ref="O8:Q8"/>
    <mergeCell ref="O9:Q9"/>
    <mergeCell ref="O10:Q10"/>
    <mergeCell ref="N1:W1"/>
    <mergeCell ref="O2:Q2"/>
    <mergeCell ref="O3:Q3"/>
    <mergeCell ref="O4:Q4"/>
    <mergeCell ref="O5:Q5"/>
    <mergeCell ref="B19:G19"/>
    <mergeCell ref="H19:I19"/>
    <mergeCell ref="B20:G20"/>
    <mergeCell ref="H20:I20"/>
    <mergeCell ref="B21:C21"/>
    <mergeCell ref="D21:E21"/>
    <mergeCell ref="F21:G21"/>
    <mergeCell ref="H21:I21"/>
    <mergeCell ref="B17:G17"/>
    <mergeCell ref="H17:I17"/>
    <mergeCell ref="B18:C18"/>
    <mergeCell ref="D18:E18"/>
    <mergeCell ref="F18:G18"/>
    <mergeCell ref="H18:I18"/>
    <mergeCell ref="J17:K17"/>
    <mergeCell ref="J18:K18"/>
    <mergeCell ref="B2:F2"/>
    <mergeCell ref="B13:C13"/>
    <mergeCell ref="D13:E13"/>
    <mergeCell ref="F13:G13"/>
    <mergeCell ref="H13:I13"/>
    <mergeCell ref="J13:K13"/>
    <mergeCell ref="B3:D10"/>
    <mergeCell ref="I9:I10"/>
    <mergeCell ref="B14:C14"/>
    <mergeCell ref="D14:E14"/>
    <mergeCell ref="F14:G14"/>
    <mergeCell ref="H14:I14"/>
    <mergeCell ref="B15:C15"/>
    <mergeCell ref="D15:E15"/>
    <mergeCell ref="B1:L1"/>
    <mergeCell ref="I2:L2"/>
    <mergeCell ref="J14:K14"/>
    <mergeCell ref="J15:K15"/>
    <mergeCell ref="J16:K16"/>
    <mergeCell ref="F15:G15"/>
    <mergeCell ref="H15:I15"/>
    <mergeCell ref="B16:C16"/>
    <mergeCell ref="D16:E16"/>
    <mergeCell ref="F16:G16"/>
    <mergeCell ref="H16:I16"/>
    <mergeCell ref="O18:S18"/>
    <mergeCell ref="O19:P19"/>
    <mergeCell ref="J19:K19"/>
    <mergeCell ref="J20:K20"/>
    <mergeCell ref="J21:K2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37"/>
  <sheetViews>
    <sheetView zoomScale="40" zoomScaleNormal="40" workbookViewId="0">
      <selection activeCell="V20" sqref="V20"/>
    </sheetView>
  </sheetViews>
  <sheetFormatPr defaultColWidth="19.5546875" defaultRowHeight="39" customHeight="1" x14ac:dyDescent="0.35"/>
  <cols>
    <col min="1" max="22" width="19.5546875" style="1"/>
    <col min="23" max="23" width="39.21875" style="1" customWidth="1"/>
    <col min="24" max="16384" width="19.5546875" style="1"/>
  </cols>
  <sheetData>
    <row r="1" spans="2:23" ht="39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64.95" customHeight="1" x14ac:dyDescent="0.35">
      <c r="B2" s="152"/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9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54</v>
      </c>
      <c r="P3" s="125"/>
      <c r="Q3" s="125"/>
      <c r="R3" s="37">
        <f>K4*L4+K5*L5</f>
        <v>9200</v>
      </c>
      <c r="S3" s="32">
        <v>0.88400000000000001</v>
      </c>
      <c r="T3" s="35">
        <f>S3*R3</f>
        <v>8132.8</v>
      </c>
      <c r="U3" s="37">
        <v>128000</v>
      </c>
      <c r="V3" s="34">
        <f>U3*T3/1000</f>
        <v>1040998.4</v>
      </c>
      <c r="W3" s="119"/>
    </row>
    <row r="4" spans="2:23" ht="39" customHeight="1" x14ac:dyDescent="0.35">
      <c r="B4" s="132"/>
      <c r="C4" s="133"/>
      <c r="D4" s="162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CONCATENATE($G$2,"-",$D$10,"-","3318","-","1")</f>
        <v>--3318-1</v>
      </c>
      <c r="K4" s="3">
        <f>E4</f>
        <v>3600</v>
      </c>
      <c r="L4" s="3">
        <f>G4*2</f>
        <v>2</v>
      </c>
      <c r="N4" s="18">
        <f>N3+1</f>
        <v>2</v>
      </c>
      <c r="O4" s="124" t="s">
        <v>55</v>
      </c>
      <c r="P4" s="125"/>
      <c r="Q4" s="125"/>
      <c r="R4" s="37">
        <f>K6*L6+K7*L7</f>
        <v>14656</v>
      </c>
      <c r="S4" s="32">
        <v>1.081</v>
      </c>
      <c r="T4" s="35">
        <f t="shared" ref="T4:T5" si="0">S4*R4</f>
        <v>15843.135999999999</v>
      </c>
      <c r="U4" s="37">
        <v>128000</v>
      </c>
      <c r="V4" s="34">
        <f>U4*T4/1000</f>
        <v>2027921.4079999998</v>
      </c>
      <c r="W4" s="83"/>
    </row>
    <row r="5" spans="2:23" ht="39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8">
        <f t="shared" ref="N5:N11" si="1">N4+1</f>
        <v>3</v>
      </c>
      <c r="O5" s="124" t="s">
        <v>56</v>
      </c>
      <c r="P5" s="125"/>
      <c r="Q5" s="125"/>
      <c r="R5" s="37">
        <f>R4</f>
        <v>14656</v>
      </c>
      <c r="S5" s="32">
        <v>0.27700000000000002</v>
      </c>
      <c r="T5" s="35">
        <f t="shared" si="0"/>
        <v>4059.7120000000004</v>
      </c>
      <c r="U5" s="37">
        <v>128000</v>
      </c>
      <c r="V5" s="34">
        <f t="shared" ref="V5:V6" si="2">U5*T5/1000</f>
        <v>519643.13600000006</v>
      </c>
      <c r="W5" s="83"/>
    </row>
    <row r="6" spans="2:23" ht="39" customHeight="1" x14ac:dyDescent="0.35">
      <c r="B6" s="132"/>
      <c r="C6" s="133"/>
      <c r="D6" s="162"/>
      <c r="E6" s="61"/>
      <c r="F6" s="20">
        <f>F4*E4/1000</f>
        <v>3600</v>
      </c>
      <c r="G6" s="91">
        <f>SUM(T3:T6)</f>
        <v>30326.912999999997</v>
      </c>
      <c r="H6" s="6" t="s">
        <v>21</v>
      </c>
      <c r="I6" s="3" t="s">
        <v>17</v>
      </c>
      <c r="J6" s="6" t="str">
        <f>CONCATENATE($G$2,"-",$D$10,"-","3202","-","1")</f>
        <v>--3202-1</v>
      </c>
      <c r="K6" s="3">
        <f>IF(ROUNDDOWN((E4-40-30)/4,0)&lt;0,"0",ROUNDDOWN((E4-40-30)/4,0))</f>
        <v>882</v>
      </c>
      <c r="L6" s="3">
        <f>G4*8</f>
        <v>8</v>
      </c>
      <c r="N6" s="18">
        <f t="shared" si="1"/>
        <v>4</v>
      </c>
      <c r="O6" s="124" t="s">
        <v>72</v>
      </c>
      <c r="P6" s="125"/>
      <c r="Q6" s="125"/>
      <c r="R6" s="37">
        <f>K8*L8</f>
        <v>2655</v>
      </c>
      <c r="S6" s="32">
        <v>0.86299999999999999</v>
      </c>
      <c r="T6" s="35">
        <f t="shared" ref="T6" si="3">S6*R6</f>
        <v>2291.2649999999999</v>
      </c>
      <c r="U6" s="37">
        <v>128000</v>
      </c>
      <c r="V6" s="34">
        <f t="shared" si="2"/>
        <v>293281.91999999998</v>
      </c>
      <c r="W6" s="84"/>
    </row>
    <row r="7" spans="2:23" ht="39" customHeight="1" x14ac:dyDescent="0.35">
      <c r="B7" s="132"/>
      <c r="C7" s="133"/>
      <c r="D7" s="162"/>
      <c r="E7" s="2"/>
      <c r="F7" s="2"/>
      <c r="G7" s="2"/>
      <c r="H7" s="6" t="s">
        <v>22</v>
      </c>
      <c r="I7" s="3" t="s">
        <v>18</v>
      </c>
      <c r="J7" s="6" t="str">
        <f>CONCATENATE($G$2,"-",$D$10,"-","3202","-","2")</f>
        <v>--3202-2</v>
      </c>
      <c r="K7" s="3">
        <f>IF(F4-40-10&lt;0,"0",F4-40-10)</f>
        <v>950</v>
      </c>
      <c r="L7" s="3">
        <f>G4*8</f>
        <v>8</v>
      </c>
      <c r="N7" s="18">
        <f t="shared" si="1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194092.2432</v>
      </c>
      <c r="W7" s="46"/>
    </row>
    <row r="8" spans="2:23" ht="39" customHeight="1" x14ac:dyDescent="0.35">
      <c r="B8" s="132"/>
      <c r="C8" s="133"/>
      <c r="D8" s="162"/>
      <c r="E8" s="2"/>
      <c r="F8" s="2"/>
      <c r="G8" s="2"/>
      <c r="H8" s="6" t="s">
        <v>24</v>
      </c>
      <c r="I8" s="3" t="s">
        <v>16</v>
      </c>
      <c r="J8" s="6" t="str">
        <f>CONCATENATE($G$2,"-",$D$10,"-","3033","-","1")</f>
        <v>--3033-1</v>
      </c>
      <c r="K8" s="6">
        <f>ROUNDDOWN(K7-28.2*2-8,0)</f>
        <v>885</v>
      </c>
      <c r="L8" s="3">
        <f>G4*3</f>
        <v>3</v>
      </c>
      <c r="N8" s="18">
        <f t="shared" si="1"/>
        <v>6</v>
      </c>
      <c r="O8" s="124" t="s">
        <v>91</v>
      </c>
      <c r="P8" s="125"/>
      <c r="Q8" s="125"/>
      <c r="R8" s="32"/>
      <c r="S8" s="32"/>
      <c r="T8" s="36">
        <v>4</v>
      </c>
      <c r="U8" s="37">
        <v>4400</v>
      </c>
      <c r="V8" s="34">
        <f t="shared" ref="V8:V10" si="4">U8*T8</f>
        <v>17600</v>
      </c>
      <c r="W8" s="18"/>
    </row>
    <row r="9" spans="2:23" ht="39" customHeight="1" x14ac:dyDescent="0.35">
      <c r="B9" s="132"/>
      <c r="C9" s="133"/>
      <c r="D9" s="162"/>
      <c r="E9" s="3"/>
      <c r="F9" s="3"/>
      <c r="G9" s="3"/>
      <c r="H9" s="3">
        <v>6</v>
      </c>
      <c r="I9" s="172" t="s">
        <v>80</v>
      </c>
      <c r="J9" s="3" t="s">
        <v>6</v>
      </c>
      <c r="K9" s="3" t="s">
        <v>7</v>
      </c>
      <c r="L9" s="5" t="s">
        <v>2</v>
      </c>
      <c r="N9" s="18">
        <f t="shared" si="1"/>
        <v>7</v>
      </c>
      <c r="O9" s="124" t="s">
        <v>92</v>
      </c>
      <c r="P9" s="125"/>
      <c r="Q9" s="125"/>
      <c r="R9" s="32"/>
      <c r="S9" s="32"/>
      <c r="T9" s="36">
        <f>4*4</f>
        <v>16</v>
      </c>
      <c r="U9" s="37">
        <v>5100</v>
      </c>
      <c r="V9" s="34">
        <f t="shared" si="4"/>
        <v>81600</v>
      </c>
      <c r="W9" s="29" t="s">
        <v>74</v>
      </c>
    </row>
    <row r="10" spans="2:23" ht="39" customHeight="1" x14ac:dyDescent="0.35">
      <c r="B10" s="134"/>
      <c r="C10" s="135"/>
      <c r="D10" s="163"/>
      <c r="E10" s="3"/>
      <c r="F10" s="3"/>
      <c r="G10" s="3"/>
      <c r="H10" s="3">
        <v>7</v>
      </c>
      <c r="I10" s="173"/>
      <c r="J10" s="3">
        <f>IF(K6-120&gt;0,K6-120,"0")</f>
        <v>762</v>
      </c>
      <c r="K10" s="3">
        <f>IF(K7-120&gt;0,K7-120,"0")</f>
        <v>830</v>
      </c>
      <c r="L10" s="3">
        <f>G4*4</f>
        <v>4</v>
      </c>
      <c r="N10" s="18">
        <f t="shared" si="1"/>
        <v>8</v>
      </c>
      <c r="O10" s="124" t="s">
        <v>62</v>
      </c>
      <c r="P10" s="125"/>
      <c r="Q10" s="125"/>
      <c r="R10" s="32"/>
      <c r="S10" s="32"/>
      <c r="T10" s="36">
        <f>T9*2+T8</f>
        <v>36</v>
      </c>
      <c r="U10" s="37">
        <v>100</v>
      </c>
      <c r="V10" s="34">
        <f t="shared" si="4"/>
        <v>3600</v>
      </c>
      <c r="W10" s="29" t="s">
        <v>75</v>
      </c>
    </row>
    <row r="11" spans="2:23" ht="39" customHeight="1" x14ac:dyDescent="0.35">
      <c r="N11" s="18">
        <f t="shared" si="1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4178737.1071999995</v>
      </c>
      <c r="W11" s="18"/>
    </row>
    <row r="12" spans="2:23" ht="39" customHeight="1" x14ac:dyDescent="0.35"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39" customHeight="1" x14ac:dyDescent="0.35">
      <c r="N13" s="18">
        <v>1</v>
      </c>
      <c r="O13" s="124" t="s">
        <v>67</v>
      </c>
      <c r="P13" s="125"/>
      <c r="Q13" s="125"/>
      <c r="R13" s="41">
        <f>R3+R4+R6</f>
        <v>26511</v>
      </c>
      <c r="S13" s="2">
        <v>1</v>
      </c>
      <c r="T13" s="28"/>
      <c r="U13" s="41">
        <v>1000</v>
      </c>
      <c r="V13" s="41">
        <f>U13*R13*S13/1000</f>
        <v>26511</v>
      </c>
      <c r="W13" s="2"/>
    </row>
    <row r="14" spans="2:23" ht="39" customHeight="1" x14ac:dyDescent="0.35">
      <c r="N14" s="18">
        <f>N13+1</f>
        <v>2</v>
      </c>
      <c r="O14" s="124" t="s">
        <v>48</v>
      </c>
      <c r="P14" s="125"/>
      <c r="Q14" s="125"/>
      <c r="R14" s="41">
        <f>R4*2</f>
        <v>29312</v>
      </c>
      <c r="S14" s="2">
        <v>1</v>
      </c>
      <c r="T14" s="28"/>
      <c r="U14" s="41">
        <v>1000</v>
      </c>
      <c r="V14" s="41">
        <f>U14*R14*S14/1000</f>
        <v>29312</v>
      </c>
      <c r="W14" s="2"/>
    </row>
    <row r="15" spans="2:23" ht="39" customHeight="1" x14ac:dyDescent="0.35">
      <c r="N15" s="18">
        <f t="shared" ref="N15:N19" si="5">N14+1</f>
        <v>3</v>
      </c>
      <c r="O15" s="124" t="s">
        <v>73</v>
      </c>
      <c r="P15" s="125"/>
      <c r="Q15" s="125"/>
      <c r="R15" s="41"/>
      <c r="S15" s="2">
        <v>3</v>
      </c>
      <c r="T15" s="28"/>
      <c r="U15" s="41">
        <v>2500</v>
      </c>
      <c r="V15" s="41">
        <f>U15*S15</f>
        <v>7500</v>
      </c>
      <c r="W15" s="29" t="s">
        <v>76</v>
      </c>
    </row>
    <row r="16" spans="2:23" ht="39" customHeight="1" x14ac:dyDescent="0.35">
      <c r="N16" s="18">
        <f t="shared" si="5"/>
        <v>4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6">U16*S16</f>
        <v>1000</v>
      </c>
      <c r="W16" s="29"/>
    </row>
    <row r="17" spans="14:23" ht="39" customHeight="1" x14ac:dyDescent="0.35">
      <c r="N17" s="18">
        <f t="shared" si="5"/>
        <v>5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6"/>
        <v>2000</v>
      </c>
      <c r="W17" s="2"/>
    </row>
    <row r="18" spans="14:23" ht="39" customHeight="1" x14ac:dyDescent="0.35">
      <c r="N18" s="18">
        <f t="shared" si="5"/>
        <v>6</v>
      </c>
      <c r="O18" s="144" t="s">
        <v>70</v>
      </c>
      <c r="P18" s="144"/>
      <c r="Q18" s="144"/>
      <c r="R18" s="144"/>
      <c r="S18" s="144"/>
      <c r="T18" s="38"/>
      <c r="U18" s="39"/>
      <c r="V18" s="40">
        <f>SUM(V13:V17)</f>
        <v>66323</v>
      </c>
      <c r="W18" s="2"/>
    </row>
    <row r="19" spans="14:23" ht="39" customHeight="1" x14ac:dyDescent="0.35">
      <c r="N19" s="115">
        <f t="shared" si="5"/>
        <v>7</v>
      </c>
      <c r="O19" s="145" t="s">
        <v>183</v>
      </c>
      <c r="P19" s="146"/>
      <c r="Q19" s="146"/>
      <c r="R19" s="146"/>
      <c r="S19" s="147"/>
      <c r="T19" s="116"/>
      <c r="U19" s="117"/>
      <c r="V19" s="118">
        <f>V11+V18</f>
        <v>4245060.1071999995</v>
      </c>
      <c r="W19" s="115"/>
    </row>
    <row r="20" spans="14:23" ht="39" customHeight="1" x14ac:dyDescent="0.35">
      <c r="N20" s="22"/>
      <c r="O20" s="160"/>
      <c r="P20" s="160"/>
      <c r="Q20" s="63"/>
      <c r="R20" s="64"/>
      <c r="S20" s="64"/>
      <c r="T20" s="65"/>
      <c r="U20" s="64"/>
      <c r="V20" s="66"/>
    </row>
    <row r="37" spans="3:12" ht="39" customHeight="1" x14ac:dyDescent="0.35">
      <c r="C37" s="57"/>
      <c r="D37" s="57"/>
      <c r="E37" s="57"/>
      <c r="F37" s="57"/>
      <c r="G37" s="57"/>
      <c r="H37" s="57"/>
      <c r="I37" s="57"/>
      <c r="J37" s="57"/>
      <c r="K37" s="57"/>
      <c r="L37" s="57"/>
    </row>
  </sheetData>
  <mergeCells count="25">
    <mergeCell ref="O16:Q16"/>
    <mergeCell ref="N1:W1"/>
    <mergeCell ref="O2:Q2"/>
    <mergeCell ref="O3:Q3"/>
    <mergeCell ref="O4:Q4"/>
    <mergeCell ref="O5:Q5"/>
    <mergeCell ref="O6:Q6"/>
    <mergeCell ref="O7:Q7"/>
    <mergeCell ref="O8:Q8"/>
    <mergeCell ref="O19:S19"/>
    <mergeCell ref="O20:P20"/>
    <mergeCell ref="I2:L2"/>
    <mergeCell ref="B1:L1"/>
    <mergeCell ref="B2:F2"/>
    <mergeCell ref="B3:D10"/>
    <mergeCell ref="I9:I10"/>
    <mergeCell ref="O9:Q9"/>
    <mergeCell ref="O10:Q10"/>
    <mergeCell ref="O11:S11"/>
    <mergeCell ref="O17:Q17"/>
    <mergeCell ref="O18:S18"/>
    <mergeCell ref="O12:Q12"/>
    <mergeCell ref="O13:Q13"/>
    <mergeCell ref="O14:Q14"/>
    <mergeCell ref="O15:Q1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21"/>
  <sheetViews>
    <sheetView zoomScale="45" zoomScaleNormal="45" workbookViewId="0">
      <selection activeCell="N20" sqref="N20:W20"/>
    </sheetView>
  </sheetViews>
  <sheetFormatPr defaultColWidth="17.6640625" defaultRowHeight="44.4" customHeight="1" x14ac:dyDescent="0.35"/>
  <cols>
    <col min="1" max="22" width="17.6640625" style="1"/>
    <col min="23" max="23" width="35" style="1" customWidth="1"/>
    <col min="24" max="16384" width="17.6640625" style="1"/>
  </cols>
  <sheetData>
    <row r="1" spans="2:23" ht="44.4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44.4" customHeight="1" x14ac:dyDescent="0.35">
      <c r="B2" s="152"/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4.4" customHeight="1" x14ac:dyDescent="0.35">
      <c r="B3" s="164"/>
      <c r="C3" s="165"/>
      <c r="D3" s="17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54</v>
      </c>
      <c r="P3" s="125"/>
      <c r="Q3" s="125"/>
      <c r="R3" s="37">
        <f>K4*L4+K5*L5</f>
        <v>9200</v>
      </c>
      <c r="S3" s="32">
        <v>0.88400000000000001</v>
      </c>
      <c r="T3" s="35">
        <f>S3*R3</f>
        <v>8132.8</v>
      </c>
      <c r="U3" s="37">
        <v>128000</v>
      </c>
      <c r="V3" s="34">
        <f>U3*T3/1000</f>
        <v>1040998.4</v>
      </c>
      <c r="W3" s="119"/>
    </row>
    <row r="4" spans="2:23" ht="44.4" customHeight="1" x14ac:dyDescent="0.35">
      <c r="B4" s="166"/>
      <c r="C4" s="167"/>
      <c r="D4" s="175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CONCATENATE($G$2,"-",$D$11,"-","3318","-","1")</f>
        <v>--3318-1</v>
      </c>
      <c r="K4" s="3">
        <f>E4</f>
        <v>3600</v>
      </c>
      <c r="L4" s="3">
        <f>G4*2</f>
        <v>2</v>
      </c>
      <c r="N4" s="18">
        <f>N3+1</f>
        <v>2</v>
      </c>
      <c r="O4" s="124" t="s">
        <v>55</v>
      </c>
      <c r="P4" s="125"/>
      <c r="Q4" s="125"/>
      <c r="R4" s="37">
        <f>K7*L7+K8*L8</f>
        <v>14584</v>
      </c>
      <c r="S4" s="32">
        <v>1.081</v>
      </c>
      <c r="T4" s="35">
        <f t="shared" ref="T4:T5" si="0">S4*R4</f>
        <v>15765.304</v>
      </c>
      <c r="U4" s="37">
        <v>128000</v>
      </c>
      <c r="V4" s="34">
        <f t="shared" ref="V4:V7" si="1">U4*T4/1000</f>
        <v>2017958.912</v>
      </c>
      <c r="W4" s="83"/>
    </row>
    <row r="5" spans="2:23" ht="44.4" customHeight="1" x14ac:dyDescent="0.35">
      <c r="B5" s="166"/>
      <c r="C5" s="167"/>
      <c r="D5" s="175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tr">
        <f>CONCATENATE($G$2,"-",$D$11,"-","3318","-","2")</f>
        <v>--3318-2</v>
      </c>
      <c r="K5" s="3">
        <f>F4</f>
        <v>1000</v>
      </c>
      <c r="L5" s="3">
        <f>G4*2</f>
        <v>2</v>
      </c>
      <c r="N5" s="18">
        <f t="shared" ref="N5:N12" si="2">N4+1</f>
        <v>3</v>
      </c>
      <c r="O5" s="124" t="s">
        <v>56</v>
      </c>
      <c r="P5" s="125"/>
      <c r="Q5" s="125"/>
      <c r="R5" s="37">
        <f>R4</f>
        <v>14584</v>
      </c>
      <c r="S5" s="32">
        <v>0.27700000000000002</v>
      </c>
      <c r="T5" s="35">
        <f t="shared" si="0"/>
        <v>4039.7680000000005</v>
      </c>
      <c r="U5" s="37">
        <v>128000</v>
      </c>
      <c r="V5" s="34">
        <f t="shared" si="1"/>
        <v>517090.30400000006</v>
      </c>
      <c r="W5" s="83"/>
    </row>
    <row r="6" spans="2:23" ht="44.4" customHeight="1" x14ac:dyDescent="0.35">
      <c r="B6" s="166"/>
      <c r="C6" s="167"/>
      <c r="D6" s="175"/>
      <c r="E6" s="61"/>
      <c r="F6" s="20">
        <f>F4*E4/1000</f>
        <v>3600</v>
      </c>
      <c r="G6" s="91">
        <f>SUM(T3:T7)</f>
        <v>30880.827000000001</v>
      </c>
      <c r="H6" s="6" t="s">
        <v>21</v>
      </c>
      <c r="I6" s="3" t="s">
        <v>27</v>
      </c>
      <c r="J6" s="6" t="str">
        <f>CONCATENATE($G$2,"-",$D$11,"-","3313","-","1")</f>
        <v>--3313-1</v>
      </c>
      <c r="K6" s="3">
        <f>F4-40</f>
        <v>960</v>
      </c>
      <c r="L6" s="3">
        <f>G4*2</f>
        <v>2</v>
      </c>
      <c r="N6" s="18">
        <f t="shared" si="2"/>
        <v>4</v>
      </c>
      <c r="O6" s="124" t="s">
        <v>90</v>
      </c>
      <c r="P6" s="125"/>
      <c r="Q6" s="125"/>
      <c r="R6" s="37">
        <f>K9*L9</f>
        <v>885</v>
      </c>
      <c r="S6" s="32">
        <v>0.86299999999999999</v>
      </c>
      <c r="T6" s="35">
        <f t="shared" ref="T6" si="3">S6*R6</f>
        <v>763.755</v>
      </c>
      <c r="U6" s="37">
        <v>128000</v>
      </c>
      <c r="V6" s="34">
        <f t="shared" si="1"/>
        <v>97760.639999999999</v>
      </c>
      <c r="W6" s="84"/>
    </row>
    <row r="7" spans="2:23" ht="44.4" customHeight="1" x14ac:dyDescent="0.35">
      <c r="B7" s="166"/>
      <c r="C7" s="167"/>
      <c r="D7" s="175"/>
      <c r="E7" s="2"/>
      <c r="F7" s="2"/>
      <c r="G7" s="2"/>
      <c r="H7" s="6" t="s">
        <v>22</v>
      </c>
      <c r="I7" s="3" t="s">
        <v>17</v>
      </c>
      <c r="J7" s="6" t="str">
        <f>CONCATENATE($G$2,"-",$D$11,"-","3202","-","1")</f>
        <v>--3202-1</v>
      </c>
      <c r="K7" s="3">
        <f>ROUNDDOWN(IF((E4-105)/4&lt;0,"0",(E4-105)/4),0)</f>
        <v>873</v>
      </c>
      <c r="L7" s="3">
        <f>G4*8</f>
        <v>8</v>
      </c>
      <c r="N7" s="18">
        <f t="shared" si="2"/>
        <v>5</v>
      </c>
      <c r="O7" s="124" t="s">
        <v>88</v>
      </c>
      <c r="P7" s="125"/>
      <c r="Q7" s="125"/>
      <c r="R7" s="37">
        <f>K6*L6</f>
        <v>1920</v>
      </c>
      <c r="S7" s="32">
        <v>1.135</v>
      </c>
      <c r="T7" s="35">
        <f t="shared" ref="T7" si="4">S7*R7</f>
        <v>2179.1999999999998</v>
      </c>
      <c r="U7" s="37">
        <v>128000</v>
      </c>
      <c r="V7" s="34">
        <f t="shared" si="1"/>
        <v>278937.59999999998</v>
      </c>
      <c r="W7" s="46"/>
    </row>
    <row r="8" spans="2:23" ht="44.4" customHeight="1" x14ac:dyDescent="0.35">
      <c r="B8" s="166"/>
      <c r="C8" s="167"/>
      <c r="D8" s="175"/>
      <c r="E8" s="2"/>
      <c r="F8" s="2"/>
      <c r="G8" s="2"/>
      <c r="H8" s="6" t="s">
        <v>24</v>
      </c>
      <c r="I8" s="3" t="s">
        <v>18</v>
      </c>
      <c r="J8" s="6" t="str">
        <f>CONCATENATE($G$2,"-",$D$11,"-","3202","-","2")</f>
        <v>--3202-2</v>
      </c>
      <c r="K8" s="3">
        <f>IF(F4-40-10&lt;0,"0",F4-40-10)</f>
        <v>950</v>
      </c>
      <c r="L8" s="3">
        <f>G4*8</f>
        <v>8</v>
      </c>
      <c r="N8" s="18">
        <f t="shared" si="2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197637.29280000002</v>
      </c>
      <c r="W8" s="46"/>
    </row>
    <row r="9" spans="2:23" ht="44.4" customHeight="1" x14ac:dyDescent="0.35">
      <c r="B9" s="166"/>
      <c r="C9" s="167"/>
      <c r="D9" s="175"/>
      <c r="E9" s="2"/>
      <c r="F9" s="2"/>
      <c r="G9" s="2"/>
      <c r="H9" s="6" t="s">
        <v>25</v>
      </c>
      <c r="I9" s="3" t="s">
        <v>16</v>
      </c>
      <c r="J9" s="6" t="str">
        <f>CONCATENATE($G$2,"-",$D$11,"-","3323A","-","1")</f>
        <v>--3323A-1</v>
      </c>
      <c r="K9" s="6">
        <f>ROUNDDOWN(K8-28.2*2-8,0)</f>
        <v>885</v>
      </c>
      <c r="L9" s="3">
        <f>G4*1</f>
        <v>1</v>
      </c>
      <c r="N9" s="18">
        <f t="shared" si="2"/>
        <v>7</v>
      </c>
      <c r="O9" s="124" t="s">
        <v>84</v>
      </c>
      <c r="P9" s="125"/>
      <c r="Q9" s="125"/>
      <c r="R9" s="32"/>
      <c r="S9" s="32"/>
      <c r="T9" s="36">
        <v>4</v>
      </c>
      <c r="U9" s="37">
        <v>4400</v>
      </c>
      <c r="V9" s="34">
        <f t="shared" ref="V9:V11" si="5">U9*T9</f>
        <v>17600</v>
      </c>
      <c r="W9" s="18"/>
    </row>
    <row r="10" spans="2:23" ht="44.4" customHeight="1" x14ac:dyDescent="0.35">
      <c r="B10" s="166"/>
      <c r="C10" s="167"/>
      <c r="D10" s="175"/>
      <c r="E10" s="3"/>
      <c r="F10" s="3"/>
      <c r="G10" s="3"/>
      <c r="H10" s="3"/>
      <c r="I10" s="150" t="s">
        <v>80</v>
      </c>
      <c r="J10" s="3" t="s">
        <v>6</v>
      </c>
      <c r="K10" s="3" t="s">
        <v>7</v>
      </c>
      <c r="L10" s="5" t="s">
        <v>2</v>
      </c>
      <c r="N10" s="18">
        <f t="shared" si="2"/>
        <v>8</v>
      </c>
      <c r="O10" s="124" t="s">
        <v>83</v>
      </c>
      <c r="P10" s="125"/>
      <c r="Q10" s="125"/>
      <c r="R10" s="32"/>
      <c r="S10" s="32"/>
      <c r="T10" s="36">
        <f>4*4</f>
        <v>16</v>
      </c>
      <c r="U10" s="37">
        <v>5100</v>
      </c>
      <c r="V10" s="34">
        <f t="shared" si="5"/>
        <v>81600</v>
      </c>
      <c r="W10" s="29" t="s">
        <v>74</v>
      </c>
    </row>
    <row r="11" spans="2:23" ht="44.4" customHeight="1" x14ac:dyDescent="0.35">
      <c r="B11" s="168"/>
      <c r="C11" s="169"/>
      <c r="D11" s="176"/>
      <c r="E11" s="3"/>
      <c r="F11" s="3"/>
      <c r="G11" s="3"/>
      <c r="H11" s="3"/>
      <c r="I11" s="151"/>
      <c r="J11" s="3">
        <f>IF(K7-120&gt;0,K7-120,"0")</f>
        <v>753</v>
      </c>
      <c r="K11" s="3">
        <f>IF(K8-120&gt;0,K8-120,"0")</f>
        <v>830</v>
      </c>
      <c r="L11" s="3">
        <f>G4*4</f>
        <v>4</v>
      </c>
      <c r="N11" s="18">
        <f t="shared" si="2"/>
        <v>9</v>
      </c>
      <c r="O11" s="124" t="s">
        <v>62</v>
      </c>
      <c r="P11" s="125"/>
      <c r="Q11" s="125"/>
      <c r="R11" s="32"/>
      <c r="S11" s="32"/>
      <c r="T11" s="36">
        <f>T10*2+T9</f>
        <v>36</v>
      </c>
      <c r="U11" s="37">
        <v>100</v>
      </c>
      <c r="V11" s="34">
        <f t="shared" si="5"/>
        <v>3600</v>
      </c>
      <c r="W11" s="29" t="s">
        <v>75</v>
      </c>
    </row>
    <row r="12" spans="2:23" ht="44.4" customHeight="1" x14ac:dyDescent="0.35">
      <c r="N12" s="18">
        <f t="shared" si="2"/>
        <v>10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4253183.1488000005</v>
      </c>
      <c r="W12" s="18"/>
    </row>
    <row r="13" spans="2:23" ht="44.4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"/>
    </row>
    <row r="14" spans="2:23" ht="44.4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v>1</v>
      </c>
      <c r="O14" s="124" t="s">
        <v>67</v>
      </c>
      <c r="P14" s="125"/>
      <c r="Q14" s="125"/>
      <c r="R14" s="41">
        <f>R3+R4+R6+R7*2</f>
        <v>28509</v>
      </c>
      <c r="S14" s="2">
        <v>1</v>
      </c>
      <c r="T14" s="28"/>
      <c r="U14" s="41">
        <v>1000</v>
      </c>
      <c r="V14" s="41">
        <f>U14*R14*S14/1000</f>
        <v>28509</v>
      </c>
      <c r="W14" s="2"/>
    </row>
    <row r="15" spans="2:23" ht="44.4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>N14+1</f>
        <v>2</v>
      </c>
      <c r="O15" s="124" t="s">
        <v>48</v>
      </c>
      <c r="P15" s="125"/>
      <c r="Q15" s="125"/>
      <c r="R15" s="41">
        <f>R4*2</f>
        <v>29168</v>
      </c>
      <c r="S15" s="2">
        <v>1</v>
      </c>
      <c r="T15" s="28"/>
      <c r="U15" s="41">
        <v>1000</v>
      </c>
      <c r="V15" s="41">
        <f>U15*R15*S15/1000</f>
        <v>29168</v>
      </c>
      <c r="W15" s="2"/>
    </row>
    <row r="16" spans="2:23" ht="44.4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20" si="6">N15+1</f>
        <v>3</v>
      </c>
      <c r="O16" s="124" t="s">
        <v>73</v>
      </c>
      <c r="P16" s="125"/>
      <c r="Q16" s="125"/>
      <c r="R16" s="41"/>
      <c r="S16" s="2">
        <v>1</v>
      </c>
      <c r="T16" s="28"/>
      <c r="U16" s="41">
        <v>2500</v>
      </c>
      <c r="V16" s="41">
        <f>U16*S16</f>
        <v>2500</v>
      </c>
      <c r="W16" s="29" t="s">
        <v>76</v>
      </c>
    </row>
    <row r="17" spans="2:23" ht="44.4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6"/>
        <v>4</v>
      </c>
      <c r="O17" s="124" t="s">
        <v>69</v>
      </c>
      <c r="P17" s="125"/>
      <c r="Q17" s="126"/>
      <c r="R17" s="41"/>
      <c r="S17" s="61">
        <v>1</v>
      </c>
      <c r="T17" s="28"/>
      <c r="U17" s="41">
        <v>1000</v>
      </c>
      <c r="V17" s="41">
        <f t="shared" ref="V17:V18" si="7">U17*S17</f>
        <v>1000</v>
      </c>
      <c r="W17" s="29"/>
    </row>
    <row r="18" spans="2:23" ht="44.4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8">
        <f t="shared" si="6"/>
        <v>5</v>
      </c>
      <c r="O18" s="124" t="s">
        <v>71</v>
      </c>
      <c r="P18" s="125"/>
      <c r="Q18" s="126"/>
      <c r="R18" s="41"/>
      <c r="S18" s="2">
        <v>1</v>
      </c>
      <c r="T18" s="28"/>
      <c r="U18" s="41">
        <v>2000</v>
      </c>
      <c r="V18" s="41">
        <f t="shared" si="7"/>
        <v>2000</v>
      </c>
      <c r="W18" s="2"/>
    </row>
    <row r="19" spans="2:23" ht="44.4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18">
        <f t="shared" si="6"/>
        <v>6</v>
      </c>
      <c r="O19" s="144" t="s">
        <v>70</v>
      </c>
      <c r="P19" s="144"/>
      <c r="Q19" s="144"/>
      <c r="R19" s="144"/>
      <c r="S19" s="144"/>
      <c r="T19" s="38"/>
      <c r="U19" s="39"/>
      <c r="V19" s="40">
        <f>SUM(V14:V18)</f>
        <v>63177</v>
      </c>
      <c r="W19" s="2"/>
    </row>
    <row r="20" spans="2:23" ht="44.4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N20" s="115">
        <f t="shared" si="6"/>
        <v>7</v>
      </c>
      <c r="O20" s="145" t="s">
        <v>183</v>
      </c>
      <c r="P20" s="146"/>
      <c r="Q20" s="146"/>
      <c r="R20" s="146"/>
      <c r="S20" s="147"/>
      <c r="T20" s="116"/>
      <c r="U20" s="117"/>
      <c r="V20" s="118">
        <f>V12+V19</f>
        <v>4316360.1488000005</v>
      </c>
      <c r="W20" s="115"/>
    </row>
    <row r="21" spans="2:23" ht="44.4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N21" s="22"/>
      <c r="O21" s="160"/>
      <c r="P21" s="160"/>
      <c r="Q21" s="63"/>
      <c r="R21" s="64"/>
      <c r="S21" s="64"/>
      <c r="T21" s="65"/>
      <c r="U21" s="64"/>
      <c r="V21" s="66"/>
    </row>
  </sheetData>
  <mergeCells count="65">
    <mergeCell ref="O12:S12"/>
    <mergeCell ref="O18:Q18"/>
    <mergeCell ref="O19:S19"/>
    <mergeCell ref="O13:Q13"/>
    <mergeCell ref="O14:Q14"/>
    <mergeCell ref="O15:Q15"/>
    <mergeCell ref="O16:Q16"/>
    <mergeCell ref="O17:Q17"/>
    <mergeCell ref="O5:Q5"/>
    <mergeCell ref="O6:Q6"/>
    <mergeCell ref="B2:F2"/>
    <mergeCell ref="B3:D11"/>
    <mergeCell ref="I10:I11"/>
    <mergeCell ref="I2:L2"/>
    <mergeCell ref="O7:Q7"/>
    <mergeCell ref="O8:Q8"/>
    <mergeCell ref="O9:Q9"/>
    <mergeCell ref="O10:Q10"/>
    <mergeCell ref="O11:Q11"/>
    <mergeCell ref="B1:L1"/>
    <mergeCell ref="N1:W1"/>
    <mergeCell ref="O2:Q2"/>
    <mergeCell ref="O3:Q3"/>
    <mergeCell ref="O4:Q4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O20:S20"/>
    <mergeCell ref="O21:P21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Y28"/>
  <sheetViews>
    <sheetView topLeftCell="A13" zoomScale="45" zoomScaleNormal="45" workbookViewId="0">
      <selection activeCell="H7" sqref="H7"/>
    </sheetView>
  </sheetViews>
  <sheetFormatPr defaultColWidth="17.44140625" defaultRowHeight="36" customHeight="1" x14ac:dyDescent="0.35"/>
  <cols>
    <col min="1" max="2" width="17.44140625" style="1"/>
    <col min="3" max="3" width="17.44140625" style="22"/>
    <col min="4" max="13" width="17.44140625" style="1"/>
    <col min="14" max="14" width="11.21875" style="1" customWidth="1"/>
    <col min="15" max="22" width="17.44140625" style="1"/>
    <col min="23" max="23" width="35" style="1" customWidth="1"/>
    <col min="24" max="16384" width="17.44140625" style="1"/>
  </cols>
  <sheetData>
    <row r="1" spans="2:25" ht="36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5" ht="36" customHeight="1" x14ac:dyDescent="0.35">
      <c r="B2" s="130" t="s">
        <v>8</v>
      </c>
      <c r="C2" s="130"/>
      <c r="D2" s="130"/>
      <c r="E2" s="130"/>
      <c r="F2" s="130"/>
      <c r="G2" s="8"/>
      <c r="H2" s="131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5" ht="36" customHeight="1" x14ac:dyDescent="0.35">
      <c r="B3" s="157"/>
      <c r="C3" s="157"/>
      <c r="D3" s="157"/>
      <c r="E3" s="3" t="s">
        <v>0</v>
      </c>
      <c r="F3" s="3" t="s">
        <v>1</v>
      </c>
      <c r="G3" s="3" t="s">
        <v>2</v>
      </c>
      <c r="H3" s="131"/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93</v>
      </c>
      <c r="P3" s="125"/>
      <c r="Q3" s="125"/>
      <c r="R3" s="37">
        <f>K4*L4+K5*L5</f>
        <v>3800</v>
      </c>
      <c r="S3" s="88">
        <v>0.92200000000000004</v>
      </c>
      <c r="T3" s="35">
        <f>S3*R3</f>
        <v>3503.6000000000004</v>
      </c>
      <c r="U3" s="37">
        <v>130000</v>
      </c>
      <c r="V3" s="34">
        <f>U3*T3/1000</f>
        <v>455468.00000000006</v>
      </c>
      <c r="W3" s="177" t="s">
        <v>135</v>
      </c>
    </row>
    <row r="4" spans="2:25" ht="36" customHeight="1" x14ac:dyDescent="0.35">
      <c r="B4" s="157"/>
      <c r="C4" s="157"/>
      <c r="D4" s="157"/>
      <c r="E4" s="3">
        <v>1500</v>
      </c>
      <c r="F4" s="3">
        <v>400</v>
      </c>
      <c r="G4" s="3">
        <v>1</v>
      </c>
      <c r="H4" s="6" t="s">
        <v>19</v>
      </c>
      <c r="I4" s="3" t="s">
        <v>10</v>
      </c>
      <c r="J4" s="6" t="str">
        <f>CONCATENATE($G$2,"-",$D$9,"-","20532","-","1")</f>
        <v>--20532-1</v>
      </c>
      <c r="K4" s="3">
        <f>E4</f>
        <v>1500</v>
      </c>
      <c r="L4" s="3">
        <f>G4*2</f>
        <v>2</v>
      </c>
      <c r="N4" s="18">
        <f>N3+1</f>
        <v>2</v>
      </c>
      <c r="O4" s="124" t="s">
        <v>94</v>
      </c>
      <c r="P4" s="125"/>
      <c r="Q4" s="125"/>
      <c r="R4" s="37">
        <f>K6*L6+K7*L7</f>
        <v>4308</v>
      </c>
      <c r="S4" s="96">
        <v>0.79</v>
      </c>
      <c r="T4" s="35">
        <f t="shared" ref="T4:T7" si="0">S4*R4</f>
        <v>3403.32</v>
      </c>
      <c r="U4" s="37">
        <v>130000</v>
      </c>
      <c r="V4" s="34">
        <f t="shared" ref="V4:V7" si="1">U4*T4/1000</f>
        <v>442431.6</v>
      </c>
      <c r="W4" s="178"/>
    </row>
    <row r="5" spans="2:25" ht="36" customHeight="1" x14ac:dyDescent="0.35">
      <c r="B5" s="157"/>
      <c r="C5" s="157"/>
      <c r="D5" s="157"/>
      <c r="E5" s="43"/>
      <c r="F5" s="45" t="s">
        <v>47</v>
      </c>
      <c r="G5" s="45" t="s">
        <v>120</v>
      </c>
      <c r="H5" s="6" t="s">
        <v>20</v>
      </c>
      <c r="I5" s="3" t="s">
        <v>11</v>
      </c>
      <c r="J5" s="6" t="str">
        <f>CONCATENATE($G$2,"-",$D$9,"-","20532","-","2")</f>
        <v>--20532-2</v>
      </c>
      <c r="K5" s="3">
        <f>F4</f>
        <v>400</v>
      </c>
      <c r="L5" s="3">
        <f>G4*2</f>
        <v>2</v>
      </c>
      <c r="N5" s="18">
        <f t="shared" ref="N5:N11" si="2">N4+1</f>
        <v>3</v>
      </c>
      <c r="O5" s="124" t="s">
        <v>95</v>
      </c>
      <c r="P5" s="125"/>
      <c r="Q5" s="125"/>
      <c r="R5" s="37">
        <f>K7*2</f>
        <v>656</v>
      </c>
      <c r="S5" s="96">
        <v>0.34</v>
      </c>
      <c r="T5" s="35">
        <f t="shared" si="0"/>
        <v>223.04000000000002</v>
      </c>
      <c r="U5" s="37">
        <v>130000</v>
      </c>
      <c r="V5" s="34">
        <f t="shared" si="1"/>
        <v>28995.200000000004</v>
      </c>
      <c r="W5" s="178"/>
    </row>
    <row r="6" spans="2:25" ht="36" customHeight="1" x14ac:dyDescent="0.35">
      <c r="B6" s="157"/>
      <c r="C6" s="157"/>
      <c r="D6" s="157"/>
      <c r="E6" s="61"/>
      <c r="F6" s="20">
        <f>F4*E4/1000</f>
        <v>600</v>
      </c>
      <c r="G6" s="91">
        <f>SUM(T3:T7)</f>
        <v>7875.36</v>
      </c>
      <c r="H6" s="6" t="s">
        <v>21</v>
      </c>
      <c r="I6" s="3" t="s">
        <v>12</v>
      </c>
      <c r="J6" s="6" t="str">
        <f>CONCATENATE($G$2,"-",$D$9,"-","20526","-","1")</f>
        <v>--20526-1</v>
      </c>
      <c r="K6" s="3">
        <f>IF(E4/2-8&lt;9,"0",ROUNDDOWN(E4/2-1,0))</f>
        <v>749</v>
      </c>
      <c r="L6" s="3">
        <f>G4*4</f>
        <v>4</v>
      </c>
      <c r="N6" s="18">
        <f t="shared" si="2"/>
        <v>4</v>
      </c>
      <c r="O6" s="124" t="s">
        <v>136</v>
      </c>
      <c r="P6" s="125"/>
      <c r="Q6" s="125"/>
      <c r="R6" s="37">
        <f>K4*L4</f>
        <v>3000</v>
      </c>
      <c r="S6" s="96">
        <v>0.13500000000000001</v>
      </c>
      <c r="T6" s="35">
        <f t="shared" si="0"/>
        <v>405</v>
      </c>
      <c r="U6" s="37">
        <v>130000</v>
      </c>
      <c r="V6" s="34">
        <f t="shared" si="1"/>
        <v>52650</v>
      </c>
      <c r="W6" s="179"/>
    </row>
    <row r="7" spans="2:25" ht="36" customHeight="1" x14ac:dyDescent="0.35">
      <c r="B7" s="157"/>
      <c r="C7" s="157"/>
      <c r="D7" s="157"/>
      <c r="E7" s="2"/>
      <c r="F7" s="2"/>
      <c r="G7" s="2"/>
      <c r="H7" s="6" t="s">
        <v>22</v>
      </c>
      <c r="I7" s="3" t="s">
        <v>13</v>
      </c>
      <c r="J7" s="6" t="str">
        <f>CONCATENATE($G$2,"-",$D$9,"-","20526","-","2")</f>
        <v>--20526-2</v>
      </c>
      <c r="K7" s="3">
        <f>IF(F4-60&lt;61,"0",ROUNDDOWN(F4-72,0))</f>
        <v>328</v>
      </c>
      <c r="L7" s="3">
        <f>G4*4</f>
        <v>4</v>
      </c>
      <c r="N7" s="18">
        <f t="shared" si="2"/>
        <v>5</v>
      </c>
      <c r="O7" s="124" t="s">
        <v>137</v>
      </c>
      <c r="P7" s="125"/>
      <c r="Q7" s="125"/>
      <c r="R7" s="37">
        <f>K4*L4+K5*4</f>
        <v>4600</v>
      </c>
      <c r="S7" s="96">
        <v>7.3999999999999996E-2</v>
      </c>
      <c r="T7" s="35">
        <f t="shared" si="0"/>
        <v>340.4</v>
      </c>
      <c r="U7" s="37">
        <v>130000</v>
      </c>
      <c r="V7" s="34">
        <f t="shared" si="1"/>
        <v>44252</v>
      </c>
      <c r="W7" s="94"/>
    </row>
    <row r="8" spans="2:25" ht="36" customHeight="1" x14ac:dyDescent="0.35">
      <c r="B8" s="157"/>
      <c r="C8" s="157"/>
      <c r="D8" s="157"/>
      <c r="E8" s="3"/>
      <c r="F8" s="3"/>
      <c r="G8" s="3"/>
      <c r="H8" s="6" t="s">
        <v>24</v>
      </c>
      <c r="I8" s="131" t="s">
        <v>80</v>
      </c>
      <c r="J8" s="3" t="s">
        <v>6</v>
      </c>
      <c r="K8" s="3" t="s">
        <v>7</v>
      </c>
      <c r="L8" s="5" t="s">
        <v>2</v>
      </c>
      <c r="N8" s="18">
        <f t="shared" si="2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51189.840000000004</v>
      </c>
      <c r="W8" s="46"/>
    </row>
    <row r="9" spans="2:25" ht="36" customHeight="1" x14ac:dyDescent="0.35">
      <c r="B9" s="157"/>
      <c r="C9" s="157"/>
      <c r="D9" s="157"/>
      <c r="E9" s="3"/>
      <c r="F9" s="3"/>
      <c r="G9" s="3"/>
      <c r="H9" s="6" t="s">
        <v>25</v>
      </c>
      <c r="I9" s="131"/>
      <c r="J9" s="3">
        <f>IF(K6-100&gt;0,K6-100,"0")</f>
        <v>649</v>
      </c>
      <c r="K9" s="3">
        <f>IF(K7-100&gt;0,K7-100,"0")</f>
        <v>228</v>
      </c>
      <c r="L9" s="3">
        <f>G4*2</f>
        <v>2</v>
      </c>
      <c r="M9" s="26"/>
      <c r="N9" s="18">
        <f t="shared" si="2"/>
        <v>7</v>
      </c>
      <c r="O9" s="180" t="s">
        <v>138</v>
      </c>
      <c r="P9" s="181"/>
      <c r="Q9" s="181"/>
      <c r="R9" s="32"/>
      <c r="S9" s="32"/>
      <c r="T9" s="36">
        <v>4</v>
      </c>
      <c r="U9" s="48">
        <v>3700</v>
      </c>
      <c r="V9" s="34">
        <f t="shared" ref="V9:V10" si="3">U9*T9</f>
        <v>14800</v>
      </c>
      <c r="W9" s="18"/>
      <c r="X9" s="26"/>
    </row>
    <row r="10" spans="2:25" ht="36" customHeight="1" x14ac:dyDescent="0.35">
      <c r="B10" s="157"/>
      <c r="C10" s="157"/>
      <c r="D10" s="157"/>
      <c r="E10" s="3"/>
      <c r="F10" s="3"/>
      <c r="G10" s="3"/>
      <c r="H10" s="3"/>
      <c r="I10" s="3"/>
      <c r="J10" s="3"/>
      <c r="K10" s="3"/>
      <c r="L10" s="3"/>
      <c r="N10" s="18">
        <f t="shared" si="2"/>
        <v>8</v>
      </c>
      <c r="O10" s="180" t="s">
        <v>118</v>
      </c>
      <c r="P10" s="181"/>
      <c r="Q10" s="181"/>
      <c r="R10" s="32"/>
      <c r="S10" s="32"/>
      <c r="T10" s="36">
        <f>T9*2</f>
        <v>8</v>
      </c>
      <c r="U10" s="48">
        <v>3700</v>
      </c>
      <c r="V10" s="34">
        <f t="shared" si="3"/>
        <v>29600</v>
      </c>
      <c r="W10" s="29" t="s">
        <v>74</v>
      </c>
      <c r="Y10" s="26"/>
    </row>
    <row r="11" spans="2:25" s="26" customFormat="1" ht="36" customHeight="1" x14ac:dyDescent="0.35"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">
        <f>J9*K9*L9/1000000</f>
        <v>0.29594399999999998</v>
      </c>
      <c r="M11" s="1"/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1119386.6400000001</v>
      </c>
      <c r="W11" s="18"/>
      <c r="X11" s="1"/>
      <c r="Y11" s="1"/>
    </row>
    <row r="12" spans="2:25" ht="36" customHeight="1" x14ac:dyDescent="0.35">
      <c r="B12" s="127"/>
      <c r="C12" s="127"/>
      <c r="D12" s="141"/>
      <c r="E12" s="141"/>
      <c r="F12" s="141"/>
      <c r="G12" s="141"/>
      <c r="H12" s="141"/>
      <c r="I12" s="141"/>
      <c r="J12" s="127"/>
      <c r="K12" s="127"/>
      <c r="L12" s="118">
        <f>L11*285000</f>
        <v>84344.04</v>
      </c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5" ht="36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L13" s="1">
        <f>F6*200</f>
        <v>120000</v>
      </c>
      <c r="N13" s="18">
        <v>1</v>
      </c>
      <c r="O13" s="124" t="s">
        <v>96</v>
      </c>
      <c r="P13" s="125"/>
      <c r="Q13" s="125"/>
      <c r="R13" s="41">
        <f>R4+R5*2</f>
        <v>5620</v>
      </c>
      <c r="S13" s="2">
        <v>1</v>
      </c>
      <c r="T13" s="28"/>
      <c r="U13" s="41">
        <v>1000</v>
      </c>
      <c r="V13" s="41">
        <f>U13*R13*S13/1000</f>
        <v>5620</v>
      </c>
      <c r="W13" s="2"/>
    </row>
    <row r="14" spans="2:25" ht="36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L14" s="1">
        <v>255000</v>
      </c>
      <c r="N14" s="18">
        <f t="shared" ref="N14:N18" si="4">N13+1</f>
        <v>2</v>
      </c>
      <c r="O14" s="124" t="s">
        <v>97</v>
      </c>
      <c r="P14" s="125"/>
      <c r="Q14" s="125"/>
      <c r="R14" s="41"/>
      <c r="S14" s="2">
        <v>4</v>
      </c>
      <c r="T14" s="28"/>
      <c r="U14" s="41">
        <v>500</v>
      </c>
      <c r="V14" s="41">
        <f>U14*S14</f>
        <v>2000</v>
      </c>
      <c r="W14" s="29" t="s">
        <v>76</v>
      </c>
    </row>
    <row r="15" spans="2:25" ht="36" customHeight="1" x14ac:dyDescent="0.35">
      <c r="B15" s="127"/>
      <c r="C15" s="127"/>
      <c r="D15" s="127"/>
      <c r="E15" s="127"/>
      <c r="F15" s="127"/>
      <c r="G15" s="127"/>
      <c r="H15" s="141"/>
      <c r="I15" s="141"/>
      <c r="J15" s="127"/>
      <c r="K15" s="127"/>
      <c r="L15" s="23">
        <f>V18+L14+L13+L12</f>
        <v>1589350.6800000002</v>
      </c>
      <c r="N15" s="18">
        <f t="shared" si="4"/>
        <v>3</v>
      </c>
      <c r="O15" s="124" t="s">
        <v>69</v>
      </c>
      <c r="P15" s="125"/>
      <c r="Q15" s="126"/>
      <c r="R15" s="41"/>
      <c r="S15" s="61">
        <v>1</v>
      </c>
      <c r="T15" s="28"/>
      <c r="U15" s="41">
        <v>1000</v>
      </c>
      <c r="V15" s="41">
        <f t="shared" ref="V15:V16" si="5">U15*S15</f>
        <v>1000</v>
      </c>
      <c r="W15" s="29"/>
    </row>
    <row r="16" spans="2:25" ht="36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si="4"/>
        <v>4</v>
      </c>
      <c r="O16" s="124" t="s">
        <v>71</v>
      </c>
      <c r="P16" s="125"/>
      <c r="Q16" s="126"/>
      <c r="R16" s="41"/>
      <c r="S16" s="2">
        <v>1</v>
      </c>
      <c r="T16" s="28"/>
      <c r="U16" s="41">
        <v>2000</v>
      </c>
      <c r="V16" s="41">
        <f t="shared" si="5"/>
        <v>2000</v>
      </c>
      <c r="W16" s="2"/>
    </row>
    <row r="17" spans="2:25" ht="36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4"/>
        <v>5</v>
      </c>
      <c r="O17" s="144" t="s">
        <v>70</v>
      </c>
      <c r="P17" s="144"/>
      <c r="Q17" s="144"/>
      <c r="R17" s="144"/>
      <c r="S17" s="144"/>
      <c r="T17" s="38"/>
      <c r="U17" s="39"/>
      <c r="V17" s="40">
        <f>SUM(V13:V16)</f>
        <v>10620</v>
      </c>
      <c r="W17" s="2"/>
    </row>
    <row r="18" spans="2:25" ht="45.75" customHeight="1" x14ac:dyDescent="0.35">
      <c r="B18" s="127"/>
      <c r="C18" s="127"/>
      <c r="D18" s="127"/>
      <c r="E18" s="127"/>
      <c r="F18" s="127"/>
      <c r="G18" s="127"/>
      <c r="H18" s="148"/>
      <c r="I18" s="148"/>
      <c r="J18" s="127"/>
      <c r="K18" s="127"/>
      <c r="N18" s="115">
        <f t="shared" si="4"/>
        <v>6</v>
      </c>
      <c r="O18" s="145" t="s">
        <v>183</v>
      </c>
      <c r="P18" s="146"/>
      <c r="Q18" s="146"/>
      <c r="R18" s="146"/>
      <c r="S18" s="147"/>
      <c r="T18" s="116"/>
      <c r="U18" s="117"/>
      <c r="V18" s="118">
        <f>V11+V17</f>
        <v>1130006.6400000001</v>
      </c>
      <c r="W18" s="115"/>
    </row>
    <row r="19" spans="2:25" ht="36" customHeight="1" x14ac:dyDescent="0.35">
      <c r="C19" s="1"/>
    </row>
    <row r="20" spans="2:25" ht="36" customHeight="1" x14ac:dyDescent="0.35">
      <c r="C20" s="1"/>
    </row>
    <row r="21" spans="2:25" ht="36" customHeight="1" x14ac:dyDescent="0.35">
      <c r="C21" s="1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2:25" ht="36" customHeight="1" x14ac:dyDescent="0.35">
      <c r="C22" s="1"/>
    </row>
    <row r="23" spans="2:25" ht="36" customHeight="1" x14ac:dyDescent="0.35">
      <c r="C23" s="1"/>
      <c r="Y23" s="25"/>
    </row>
    <row r="24" spans="2:25" s="25" customFormat="1" ht="36" customHeight="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6" customHeight="1" x14ac:dyDescent="0.3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2:25" ht="36" customHeight="1" x14ac:dyDescent="0.35">
      <c r="C26" s="1"/>
    </row>
    <row r="27" spans="2:25" ht="36" customHeight="1" x14ac:dyDescent="0.35">
      <c r="C27" s="1"/>
    </row>
    <row r="28" spans="2:25" ht="36" customHeight="1" x14ac:dyDescent="0.35">
      <c r="C28" s="1"/>
    </row>
  </sheetData>
  <mergeCells count="59">
    <mergeCell ref="O8:Q8"/>
    <mergeCell ref="O9:Q9"/>
    <mergeCell ref="O10:Q10"/>
    <mergeCell ref="O11:S11"/>
    <mergeCell ref="O12:Q12"/>
    <mergeCell ref="O17:S17"/>
    <mergeCell ref="O13:Q13"/>
    <mergeCell ref="O14:Q14"/>
    <mergeCell ref="O15:Q15"/>
    <mergeCell ref="O16:Q16"/>
    <mergeCell ref="J12:K12"/>
    <mergeCell ref="J13:K13"/>
    <mergeCell ref="B14:C14"/>
    <mergeCell ref="D14:E14"/>
    <mergeCell ref="F14:G14"/>
    <mergeCell ref="H14:I14"/>
    <mergeCell ref="J14:K14"/>
    <mergeCell ref="I8:I9"/>
    <mergeCell ref="B3:D10"/>
    <mergeCell ref="I2:L2"/>
    <mergeCell ref="J17:K17"/>
    <mergeCell ref="B18:G18"/>
    <mergeCell ref="H18:I18"/>
    <mergeCell ref="J18:K18"/>
    <mergeCell ref="B15:G15"/>
    <mergeCell ref="H15:I15"/>
    <mergeCell ref="J15:K15"/>
    <mergeCell ref="B16:C16"/>
    <mergeCell ref="D16:E16"/>
    <mergeCell ref="F16:G16"/>
    <mergeCell ref="H16:I16"/>
    <mergeCell ref="J16:K16"/>
    <mergeCell ref="J11:K11"/>
    <mergeCell ref="F11:G11"/>
    <mergeCell ref="H11:I11"/>
    <mergeCell ref="B13:C13"/>
    <mergeCell ref="D13:E13"/>
    <mergeCell ref="F13:G13"/>
    <mergeCell ref="H13:I13"/>
    <mergeCell ref="B12:C12"/>
    <mergeCell ref="D12:E12"/>
    <mergeCell ref="F12:G12"/>
    <mergeCell ref="H12:I12"/>
    <mergeCell ref="O18:S18"/>
    <mergeCell ref="O6:Q6"/>
    <mergeCell ref="O7:Q7"/>
    <mergeCell ref="W3:W6"/>
    <mergeCell ref="B1:L1"/>
    <mergeCell ref="H2:H3"/>
    <mergeCell ref="B2:F2"/>
    <mergeCell ref="N1:W1"/>
    <mergeCell ref="O2:Q2"/>
    <mergeCell ref="O3:Q3"/>
    <mergeCell ref="O4:Q4"/>
    <mergeCell ref="O5:Q5"/>
    <mergeCell ref="B17:G17"/>
    <mergeCell ref="H17:I17"/>
    <mergeCell ref="B11:C11"/>
    <mergeCell ref="D11:E11"/>
  </mergeCells>
  <pageMargins left="0.25" right="0.25" top="0.75" bottom="0.75" header="0.3" footer="0.3"/>
  <pageSetup scale="6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23"/>
  <sheetViews>
    <sheetView topLeftCell="H1" zoomScale="57" zoomScaleNormal="57" workbookViewId="0">
      <selection activeCell="L24" sqref="L24"/>
    </sheetView>
  </sheetViews>
  <sheetFormatPr defaultColWidth="17.5546875" defaultRowHeight="31.95" customHeight="1" x14ac:dyDescent="0.35"/>
  <cols>
    <col min="1" max="13" width="17.5546875" style="1"/>
    <col min="14" max="14" width="11.21875" style="1" customWidth="1"/>
    <col min="15" max="22" width="17.44140625" style="1"/>
    <col min="23" max="23" width="35" style="1" customWidth="1"/>
    <col min="24" max="16384" width="17.5546875" style="1"/>
  </cols>
  <sheetData>
    <row r="1" spans="2:23" ht="31.95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31.95" customHeight="1" x14ac:dyDescent="0.35">
      <c r="B2" s="152"/>
      <c r="C2" s="153"/>
      <c r="D2" s="153"/>
      <c r="E2" s="153"/>
      <c r="F2" s="154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1.95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93</v>
      </c>
      <c r="P3" s="125"/>
      <c r="Q3" s="125"/>
      <c r="R3" s="37">
        <f>K4*L4+K5*L5</f>
        <v>9200</v>
      </c>
      <c r="S3" s="88">
        <v>0.92200000000000004</v>
      </c>
      <c r="T3" s="35">
        <f>S3*R3</f>
        <v>8482.4</v>
      </c>
      <c r="U3" s="37">
        <v>128000</v>
      </c>
      <c r="V3" s="34">
        <f>U3*T3/1000</f>
        <v>1085747.2</v>
      </c>
      <c r="W3" s="119"/>
    </row>
    <row r="4" spans="2:23" ht="31.95" customHeight="1" x14ac:dyDescent="0.35">
      <c r="B4" s="132"/>
      <c r="C4" s="133"/>
      <c r="D4" s="162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CONCATENATE($G$2,"-",$D$10,"-","20532","-","1")</f>
        <v>--20532-1</v>
      </c>
      <c r="K4" s="3">
        <f>E4</f>
        <v>3600</v>
      </c>
      <c r="L4" s="3">
        <f>G4*2</f>
        <v>2</v>
      </c>
      <c r="N4" s="18">
        <f>N3+1</f>
        <v>2</v>
      </c>
      <c r="O4" s="124" t="s">
        <v>94</v>
      </c>
      <c r="P4" s="125"/>
      <c r="Q4" s="125"/>
      <c r="R4" s="37">
        <f>K6*L6+K7*L7</f>
        <v>14648</v>
      </c>
      <c r="S4" s="96">
        <v>0.79</v>
      </c>
      <c r="T4" s="35">
        <f t="shared" ref="T4:T7" si="0">S4*R4</f>
        <v>11571.92</v>
      </c>
      <c r="U4" s="37">
        <v>128000</v>
      </c>
      <c r="V4" s="34">
        <f t="shared" ref="V4:V8" si="1">U4*T4/1000</f>
        <v>1481205.76</v>
      </c>
      <c r="W4" s="83"/>
    </row>
    <row r="5" spans="2:23" ht="31.95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tr">
        <f>CONCATENATE($G$2,"-",$D$10,"-","20532","-","2")</f>
        <v>--20532-2</v>
      </c>
      <c r="K5" s="3">
        <f>F4</f>
        <v>1000</v>
      </c>
      <c r="L5" s="3">
        <f>G4*2</f>
        <v>2</v>
      </c>
      <c r="N5" s="18">
        <f t="shared" ref="N5:N12" si="2">N4+1</f>
        <v>3</v>
      </c>
      <c r="O5" s="124" t="s">
        <v>95</v>
      </c>
      <c r="P5" s="125"/>
      <c r="Q5" s="125"/>
      <c r="R5" s="37">
        <f>K7*4</f>
        <v>3688</v>
      </c>
      <c r="S5" s="96">
        <v>0.34</v>
      </c>
      <c r="T5" s="35">
        <f t="shared" si="0"/>
        <v>1253.92</v>
      </c>
      <c r="U5" s="37">
        <v>128000</v>
      </c>
      <c r="V5" s="34">
        <f t="shared" si="1"/>
        <v>160501.76000000001</v>
      </c>
      <c r="W5" s="83"/>
    </row>
    <row r="6" spans="2:23" ht="31.95" customHeight="1" x14ac:dyDescent="0.35">
      <c r="B6" s="132"/>
      <c r="C6" s="133"/>
      <c r="D6" s="162"/>
      <c r="E6" s="61"/>
      <c r="F6" s="20">
        <f>F4*E4/1000</f>
        <v>3600</v>
      </c>
      <c r="G6" s="91">
        <f>SUM(T3:T8)</f>
        <v>23357.057999999997</v>
      </c>
      <c r="H6" s="6" t="s">
        <v>21</v>
      </c>
      <c r="I6" s="3" t="s">
        <v>12</v>
      </c>
      <c r="J6" s="6" t="str">
        <f>CONCATENATE($G$2,"-",$D$10,"-","20526","-","1")</f>
        <v>--20526-1</v>
      </c>
      <c r="K6" s="3">
        <f>IF(ROUNDDOWN((E4+39)/4,0)&lt;9,"0",ROUNDDOWN((E4+39)/4,0))</f>
        <v>909</v>
      </c>
      <c r="L6" s="3">
        <f>G4*8</f>
        <v>8</v>
      </c>
      <c r="N6" s="18">
        <f t="shared" si="2"/>
        <v>4</v>
      </c>
      <c r="O6" s="124" t="s">
        <v>136</v>
      </c>
      <c r="P6" s="125"/>
      <c r="Q6" s="125"/>
      <c r="R6" s="37">
        <f>K4*L4</f>
        <v>7200</v>
      </c>
      <c r="S6" s="96">
        <v>0.13500000000000001</v>
      </c>
      <c r="T6" s="35">
        <f t="shared" si="0"/>
        <v>972.00000000000011</v>
      </c>
      <c r="U6" s="37">
        <v>128000</v>
      </c>
      <c r="V6" s="34">
        <f t="shared" si="1"/>
        <v>124416.00000000001</v>
      </c>
      <c r="W6" s="84"/>
    </row>
    <row r="7" spans="2:23" ht="31.95" customHeight="1" x14ac:dyDescent="0.35">
      <c r="B7" s="132"/>
      <c r="C7" s="133"/>
      <c r="D7" s="162"/>
      <c r="E7" s="2"/>
      <c r="F7" s="2"/>
      <c r="G7" s="2"/>
      <c r="H7" s="6" t="s">
        <v>22</v>
      </c>
      <c r="I7" s="3" t="s">
        <v>13</v>
      </c>
      <c r="J7" s="6" t="str">
        <f>CONCATENATE($G$2,"-",$D$10,"-","20526","-","2")</f>
        <v>--20526-2</v>
      </c>
      <c r="K7" s="3">
        <f>IF(F4-78&lt;0,"0",F4-78)</f>
        <v>922</v>
      </c>
      <c r="L7" s="3">
        <f>G4*8</f>
        <v>8</v>
      </c>
      <c r="N7" s="18">
        <f t="shared" si="2"/>
        <v>5</v>
      </c>
      <c r="O7" s="124" t="s">
        <v>137</v>
      </c>
      <c r="P7" s="125"/>
      <c r="Q7" s="125"/>
      <c r="R7" s="37">
        <f>K4*L4+K5*4</f>
        <v>11200</v>
      </c>
      <c r="S7" s="96">
        <v>7.3999999999999996E-2</v>
      </c>
      <c r="T7" s="35">
        <f t="shared" si="0"/>
        <v>828.8</v>
      </c>
      <c r="U7" s="37">
        <v>128000</v>
      </c>
      <c r="V7" s="34">
        <f t="shared" si="1"/>
        <v>106086.39999999999</v>
      </c>
      <c r="W7" s="83"/>
    </row>
    <row r="8" spans="2:23" ht="31.95" customHeight="1" x14ac:dyDescent="0.35">
      <c r="B8" s="132"/>
      <c r="C8" s="133"/>
      <c r="D8" s="162"/>
      <c r="E8" s="2"/>
      <c r="F8" s="2"/>
      <c r="G8" s="2"/>
      <c r="H8" s="6" t="s">
        <v>24</v>
      </c>
      <c r="I8" s="3" t="s">
        <v>26</v>
      </c>
      <c r="J8" s="6" t="str">
        <f>CONCATENATE($G$2,"-",$D$10,"-","20528","-","1")</f>
        <v>--20528-1</v>
      </c>
      <c r="K8" s="6">
        <f>K7</f>
        <v>922</v>
      </c>
      <c r="L8" s="3">
        <f>G4</f>
        <v>1</v>
      </c>
      <c r="N8" s="18">
        <f t="shared" si="2"/>
        <v>6</v>
      </c>
      <c r="O8" s="124" t="s">
        <v>98</v>
      </c>
      <c r="P8" s="125"/>
      <c r="Q8" s="125"/>
      <c r="R8" s="37">
        <f>K8*L8</f>
        <v>922</v>
      </c>
      <c r="S8" s="88">
        <v>0.26900000000000002</v>
      </c>
      <c r="T8" s="35">
        <f t="shared" ref="T8" si="3">S8*R8</f>
        <v>248.01800000000003</v>
      </c>
      <c r="U8" s="37">
        <v>101000</v>
      </c>
      <c r="V8" s="34">
        <f t="shared" si="1"/>
        <v>25049.818000000003</v>
      </c>
      <c r="W8" s="83"/>
    </row>
    <row r="9" spans="2:23" ht="31.95" customHeight="1" x14ac:dyDescent="0.35">
      <c r="B9" s="132"/>
      <c r="C9" s="133"/>
      <c r="D9" s="162"/>
      <c r="E9" s="3"/>
      <c r="F9" s="3"/>
      <c r="G9" s="3"/>
      <c r="H9" s="3"/>
      <c r="I9" s="150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79</v>
      </c>
      <c r="P9" s="125"/>
      <c r="Q9" s="126"/>
      <c r="R9" s="37"/>
      <c r="S9" s="32"/>
      <c r="T9" s="81"/>
      <c r="U9" s="58">
        <v>0.05</v>
      </c>
      <c r="V9" s="37">
        <f>SUM(V3:V8)*U9</f>
        <v>149150.34689999997</v>
      </c>
      <c r="W9" s="46"/>
    </row>
    <row r="10" spans="2:23" ht="31.95" customHeight="1" x14ac:dyDescent="0.35">
      <c r="B10" s="134"/>
      <c r="C10" s="135"/>
      <c r="D10" s="163"/>
      <c r="E10" s="3"/>
      <c r="F10" s="3"/>
      <c r="G10" s="3"/>
      <c r="H10" s="3"/>
      <c r="I10" s="151"/>
      <c r="J10" s="3">
        <f>IF(K6-95&gt;0,K6-95,"0")</f>
        <v>814</v>
      </c>
      <c r="K10" s="3">
        <f>IF(K7-95&gt;0,K7-95,"0")</f>
        <v>827</v>
      </c>
      <c r="L10" s="3">
        <f>G4*4</f>
        <v>4</v>
      </c>
      <c r="N10" s="18">
        <f t="shared" si="2"/>
        <v>8</v>
      </c>
      <c r="O10" s="180" t="s">
        <v>138</v>
      </c>
      <c r="P10" s="181"/>
      <c r="Q10" s="181"/>
      <c r="R10" s="32"/>
      <c r="S10" s="32"/>
      <c r="T10" s="36">
        <v>4</v>
      </c>
      <c r="U10" s="48">
        <v>3700</v>
      </c>
      <c r="V10" s="34">
        <f t="shared" ref="V10:V11" si="4">U10*T10</f>
        <v>14800</v>
      </c>
      <c r="W10" s="18"/>
    </row>
    <row r="11" spans="2:23" ht="31.95" customHeight="1" x14ac:dyDescent="0.35">
      <c r="N11" s="18">
        <f t="shared" si="2"/>
        <v>9</v>
      </c>
      <c r="O11" s="180" t="s">
        <v>118</v>
      </c>
      <c r="P11" s="181"/>
      <c r="Q11" s="181"/>
      <c r="R11" s="32"/>
      <c r="S11" s="32"/>
      <c r="T11" s="36">
        <f>T10*4</f>
        <v>16</v>
      </c>
      <c r="U11" s="48">
        <v>3700</v>
      </c>
      <c r="V11" s="34">
        <f t="shared" si="4"/>
        <v>59200</v>
      </c>
      <c r="W11" s="29" t="s">
        <v>74</v>
      </c>
    </row>
    <row r="12" spans="2:23" ht="31.95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N12" s="18">
        <f t="shared" si="2"/>
        <v>10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3206157.2848999994</v>
      </c>
      <c r="W12" s="18"/>
    </row>
    <row r="13" spans="2:23" ht="31.95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"/>
    </row>
    <row r="14" spans="2:23" ht="31.95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v>1</v>
      </c>
      <c r="O14" s="124" t="s">
        <v>96</v>
      </c>
      <c r="P14" s="125"/>
      <c r="Q14" s="125"/>
      <c r="R14" s="41">
        <f>R4+R5*2</f>
        <v>22024</v>
      </c>
      <c r="S14" s="2">
        <v>1</v>
      </c>
      <c r="T14" s="28"/>
      <c r="U14" s="41">
        <v>1000</v>
      </c>
      <c r="V14" s="41">
        <f>U14*R14*S14/1000</f>
        <v>22024</v>
      </c>
      <c r="W14" s="2"/>
    </row>
    <row r="15" spans="2:23" ht="31.95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 t="shared" ref="N15:N19" si="5">N14+1</f>
        <v>2</v>
      </c>
      <c r="O15" s="124" t="s">
        <v>97</v>
      </c>
      <c r="P15" s="125"/>
      <c r="Q15" s="125"/>
      <c r="R15" s="41"/>
      <c r="S15" s="2">
        <v>6</v>
      </c>
      <c r="T15" s="28"/>
      <c r="U15" s="41">
        <v>500</v>
      </c>
      <c r="V15" s="41">
        <f>U15*S15</f>
        <v>3000</v>
      </c>
      <c r="W15" s="29" t="s">
        <v>76</v>
      </c>
    </row>
    <row r="16" spans="2:23" ht="31.95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N16" s="18">
        <f t="shared" si="5"/>
        <v>3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6">U16*S16</f>
        <v>1000</v>
      </c>
      <c r="W16" s="29"/>
    </row>
    <row r="17" spans="2:23" ht="31.95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5"/>
        <v>4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6"/>
        <v>2000</v>
      </c>
      <c r="W17" s="2"/>
    </row>
    <row r="18" spans="2:23" ht="31.95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N18" s="18">
        <f t="shared" si="5"/>
        <v>5</v>
      </c>
      <c r="O18" s="144" t="s">
        <v>70</v>
      </c>
      <c r="P18" s="144"/>
      <c r="Q18" s="144"/>
      <c r="R18" s="144"/>
      <c r="S18" s="144"/>
      <c r="T18" s="38"/>
      <c r="U18" s="39"/>
      <c r="V18" s="40">
        <f>SUM(V14:V17)</f>
        <v>28024</v>
      </c>
      <c r="W18" s="2"/>
    </row>
    <row r="19" spans="2:23" ht="31.95" customHeight="1" x14ac:dyDescent="0.35">
      <c r="B19" s="127"/>
      <c r="C19" s="127"/>
      <c r="D19" s="127"/>
      <c r="E19" s="127"/>
      <c r="F19" s="127"/>
      <c r="G19" s="127"/>
      <c r="H19" s="148"/>
      <c r="I19" s="148"/>
      <c r="J19" s="127"/>
      <c r="K19" s="127"/>
      <c r="N19" s="115">
        <f t="shared" si="5"/>
        <v>6</v>
      </c>
      <c r="O19" s="145" t="s">
        <v>183</v>
      </c>
      <c r="P19" s="146"/>
      <c r="Q19" s="146"/>
      <c r="R19" s="146"/>
      <c r="S19" s="147"/>
      <c r="T19" s="116"/>
      <c r="U19" s="117"/>
      <c r="V19" s="118">
        <f>V12+V18</f>
        <v>3234181.2848999994</v>
      </c>
      <c r="W19" s="115"/>
    </row>
    <row r="20" spans="2:23" ht="31.95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</row>
    <row r="23" spans="2:23" ht="31.95" customHeight="1" x14ac:dyDescent="0.35">
      <c r="N23" s="25"/>
      <c r="O23" s="25"/>
      <c r="P23" s="25"/>
      <c r="Q23" s="25"/>
      <c r="R23" s="25"/>
      <c r="S23" s="25"/>
      <c r="T23" s="25"/>
      <c r="U23" s="25"/>
      <c r="V23" s="25"/>
      <c r="W23" s="25"/>
    </row>
  </sheetData>
  <mergeCells count="63">
    <mergeCell ref="O15:Q15"/>
    <mergeCell ref="O16:Q16"/>
    <mergeCell ref="O17:Q17"/>
    <mergeCell ref="B20:C20"/>
    <mergeCell ref="D20:E20"/>
    <mergeCell ref="F20:G20"/>
    <mergeCell ref="H20:I20"/>
    <mergeCell ref="J20:K20"/>
    <mergeCell ref="B18:G18"/>
    <mergeCell ref="H18:I18"/>
    <mergeCell ref="J18:K18"/>
    <mergeCell ref="B19:G19"/>
    <mergeCell ref="H19:I19"/>
    <mergeCell ref="J19:K19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2:F2"/>
    <mergeCell ref="B1:L1"/>
    <mergeCell ref="I9:I10"/>
    <mergeCell ref="I2:L2"/>
    <mergeCell ref="B3:D10"/>
    <mergeCell ref="O19:S19"/>
    <mergeCell ref="N1:W1"/>
    <mergeCell ref="O2:Q2"/>
    <mergeCell ref="O3:Q3"/>
    <mergeCell ref="O12:S12"/>
    <mergeCell ref="O8:Q8"/>
    <mergeCell ref="O4:Q4"/>
    <mergeCell ref="O5:Q5"/>
    <mergeCell ref="O9:Q9"/>
    <mergeCell ref="O10:Q10"/>
    <mergeCell ref="O11:Q11"/>
    <mergeCell ref="O6:Q6"/>
    <mergeCell ref="O7:Q7"/>
    <mergeCell ref="O18:S18"/>
    <mergeCell ref="O13:Q13"/>
    <mergeCell ref="O14:Q14"/>
  </mergeCells>
  <pageMargins left="0.7" right="0.7" top="0.75" bottom="0.75" header="0.3" footer="0.3"/>
  <pageSetup scale="6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23"/>
  <sheetViews>
    <sheetView topLeftCell="E1" zoomScale="43" zoomScaleNormal="43" workbookViewId="0">
      <selection activeCell="V19" sqref="V19"/>
    </sheetView>
  </sheetViews>
  <sheetFormatPr defaultColWidth="17.21875" defaultRowHeight="39.6" customHeight="1" x14ac:dyDescent="0.35"/>
  <cols>
    <col min="1" max="1" width="10.5546875" style="1" customWidth="1"/>
    <col min="2" max="9" width="17.21875" style="1"/>
    <col min="10" max="10" width="20.44140625" style="1" customWidth="1"/>
    <col min="11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4" ht="39.6" customHeight="1" x14ac:dyDescent="0.35">
      <c r="B2" s="152" t="s">
        <v>8</v>
      </c>
      <c r="C2" s="153"/>
      <c r="D2" s="153"/>
      <c r="E2" s="153"/>
      <c r="F2" s="154"/>
      <c r="G2" s="8" t="s">
        <v>36</v>
      </c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4" ht="39.6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4000</v>
      </c>
      <c r="S3" s="32">
        <v>1.1339999999999999</v>
      </c>
      <c r="T3" s="89">
        <f>S3*R3</f>
        <v>4536</v>
      </c>
      <c r="U3" s="37">
        <v>128000</v>
      </c>
      <c r="V3" s="34">
        <f>U3*T3/1000</f>
        <v>580608</v>
      </c>
      <c r="W3" s="119"/>
    </row>
    <row r="4" spans="2:24" ht="39.6" customHeight="1" x14ac:dyDescent="0.35">
      <c r="B4" s="132"/>
      <c r="C4" s="133"/>
      <c r="D4" s="162"/>
      <c r="E4" s="3">
        <v>1800</v>
      </c>
      <c r="F4" s="3">
        <v>2000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AH--D1541A-1</v>
      </c>
      <c r="K4" s="3">
        <f>E4-36</f>
        <v>1764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1764</v>
      </c>
      <c r="S4" s="32">
        <v>1.4590000000000001</v>
      </c>
      <c r="T4" s="89">
        <f t="shared" ref="T4:T6" si="0">S4*R4</f>
        <v>2573.6759999999999</v>
      </c>
      <c r="U4" s="37">
        <v>128000</v>
      </c>
      <c r="V4" s="34">
        <f t="shared" ref="V4:V9" si="1">U4*T4/1000</f>
        <v>329430.52799999999</v>
      </c>
      <c r="W4" s="83"/>
    </row>
    <row r="5" spans="2:24" ht="39.6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tr">
        <f>CONCATENATE($G$2,"-",$D$12,"-","D17182","-","1")</f>
        <v>AH--D17182-1</v>
      </c>
      <c r="K5" s="3">
        <f>E4-36</f>
        <v>1764</v>
      </c>
      <c r="L5" s="3">
        <f>G4*1</f>
        <v>1</v>
      </c>
      <c r="N5" s="18">
        <f t="shared" ref="N5:N12" si="2">N4+1</f>
        <v>3</v>
      </c>
      <c r="O5" s="124" t="s">
        <v>101</v>
      </c>
      <c r="P5" s="125"/>
      <c r="Q5" s="125"/>
      <c r="R5" s="37">
        <f>R4</f>
        <v>1764</v>
      </c>
      <c r="S5" s="32">
        <v>1.3069999999999999</v>
      </c>
      <c r="T5" s="89">
        <f t="shared" si="0"/>
        <v>2305.5479999999998</v>
      </c>
      <c r="U5" s="37">
        <v>128000</v>
      </c>
      <c r="V5" s="34">
        <f t="shared" si="1"/>
        <v>295110.14399999997</v>
      </c>
      <c r="W5" s="83"/>
    </row>
    <row r="6" spans="2:24" ht="39.6" customHeight="1" x14ac:dyDescent="0.35">
      <c r="B6" s="132"/>
      <c r="C6" s="133"/>
      <c r="D6" s="162"/>
      <c r="E6" s="61"/>
      <c r="F6" s="20">
        <f>F4*E4/1000</f>
        <v>3600</v>
      </c>
      <c r="G6" s="91">
        <f>SUM(T3:T9)</f>
        <v>22351.867999999999</v>
      </c>
      <c r="H6" s="6" t="s">
        <v>21</v>
      </c>
      <c r="I6" s="3" t="s">
        <v>11</v>
      </c>
      <c r="J6" s="6" t="str">
        <f>CONCATENATE($G$2,"-",$D$12,"-","D1543A","-","2")</f>
        <v>AH--D1543A-2</v>
      </c>
      <c r="K6" s="3">
        <f>F4</f>
        <v>2000</v>
      </c>
      <c r="L6" s="3">
        <f>G4*2</f>
        <v>2</v>
      </c>
      <c r="N6" s="18">
        <f t="shared" si="2"/>
        <v>4</v>
      </c>
      <c r="O6" s="124" t="s">
        <v>102</v>
      </c>
      <c r="P6" s="125"/>
      <c r="Q6" s="125"/>
      <c r="R6" s="37">
        <f>K10*L10</f>
        <v>3906</v>
      </c>
      <c r="S6" s="32">
        <v>1.0980000000000001</v>
      </c>
      <c r="T6" s="89">
        <f t="shared" si="0"/>
        <v>4288.7880000000005</v>
      </c>
      <c r="U6" s="37">
        <v>128000</v>
      </c>
      <c r="V6" s="34">
        <f t="shared" si="1"/>
        <v>548964.86399999994</v>
      </c>
      <c r="W6" s="84"/>
    </row>
    <row r="7" spans="2:24" ht="39.6" customHeight="1" x14ac:dyDescent="0.35">
      <c r="B7" s="132"/>
      <c r="C7" s="133"/>
      <c r="D7" s="162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AH--D1544A-1</v>
      </c>
      <c r="K7" s="3">
        <f>ROUNDDOWN(E4/2-77,0)</f>
        <v>823</v>
      </c>
      <c r="L7" s="3">
        <f>G4*2</f>
        <v>2</v>
      </c>
      <c r="N7" s="18">
        <f t="shared" si="2"/>
        <v>5</v>
      </c>
      <c r="O7" s="124" t="s">
        <v>103</v>
      </c>
      <c r="P7" s="125"/>
      <c r="Q7" s="125"/>
      <c r="R7" s="37">
        <f>K9*L9</f>
        <v>3906</v>
      </c>
      <c r="S7" s="32">
        <v>1.2729999999999999</v>
      </c>
      <c r="T7" s="89">
        <f t="shared" ref="T7:T9" si="3">S7*R7</f>
        <v>4972.3379999999997</v>
      </c>
      <c r="U7" s="37">
        <v>128000</v>
      </c>
      <c r="V7" s="34">
        <f t="shared" si="1"/>
        <v>636459.26399999997</v>
      </c>
      <c r="W7" s="83"/>
    </row>
    <row r="8" spans="2:24" ht="39.6" customHeight="1" x14ac:dyDescent="0.35">
      <c r="B8" s="132"/>
      <c r="C8" s="133"/>
      <c r="D8" s="162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AH--D1545A-1</v>
      </c>
      <c r="K8" s="3">
        <f>ROUNDDOWN(E4/2-77,0)</f>
        <v>823</v>
      </c>
      <c r="L8" s="3">
        <f>G4*2</f>
        <v>2</v>
      </c>
      <c r="N8" s="18">
        <f t="shared" si="2"/>
        <v>6</v>
      </c>
      <c r="O8" s="124" t="s">
        <v>104</v>
      </c>
      <c r="P8" s="125"/>
      <c r="Q8" s="125"/>
      <c r="R8" s="37">
        <f>K7*L7</f>
        <v>1646</v>
      </c>
      <c r="S8" s="32">
        <v>0.99</v>
      </c>
      <c r="T8" s="89">
        <f t="shared" si="3"/>
        <v>1629.54</v>
      </c>
      <c r="U8" s="37">
        <v>128000</v>
      </c>
      <c r="V8" s="34">
        <f t="shared" si="1"/>
        <v>208581.12</v>
      </c>
      <c r="W8" s="83"/>
    </row>
    <row r="9" spans="2:24" ht="39.6" customHeight="1" x14ac:dyDescent="0.35">
      <c r="B9" s="132"/>
      <c r="C9" s="133"/>
      <c r="D9" s="162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AH--D1546A-2</v>
      </c>
      <c r="K9" s="3">
        <f>F4-47</f>
        <v>1953</v>
      </c>
      <c r="L9" s="3">
        <f>G4*2</f>
        <v>2</v>
      </c>
      <c r="N9" s="18">
        <f t="shared" si="2"/>
        <v>7</v>
      </c>
      <c r="O9" s="124" t="s">
        <v>105</v>
      </c>
      <c r="P9" s="125"/>
      <c r="Q9" s="125"/>
      <c r="R9" s="37">
        <f>K8*L8</f>
        <v>1646</v>
      </c>
      <c r="S9" s="32">
        <v>1.2430000000000001</v>
      </c>
      <c r="T9" s="89">
        <f t="shared" si="3"/>
        <v>2045.9780000000001</v>
      </c>
      <c r="U9" s="37">
        <v>128000</v>
      </c>
      <c r="V9" s="34">
        <f t="shared" si="1"/>
        <v>261885.18400000001</v>
      </c>
      <c r="W9" s="84"/>
    </row>
    <row r="10" spans="2:24" ht="39.6" customHeight="1" x14ac:dyDescent="0.35">
      <c r="B10" s="132"/>
      <c r="C10" s="133"/>
      <c r="D10" s="162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AH--D1547A-2</v>
      </c>
      <c r="K10" s="3">
        <f>F4-47</f>
        <v>1953</v>
      </c>
      <c r="L10" s="3">
        <f>G4*2</f>
        <v>2</v>
      </c>
      <c r="N10" s="18">
        <f>N6+1</f>
        <v>5</v>
      </c>
      <c r="O10" s="124" t="s">
        <v>79</v>
      </c>
      <c r="P10" s="125"/>
      <c r="Q10" s="126"/>
      <c r="R10" s="37"/>
      <c r="S10" s="32"/>
      <c r="T10" s="81"/>
      <c r="U10" s="58">
        <v>0.05</v>
      </c>
      <c r="V10" s="37">
        <f>SUM(V3:V9)*U10</f>
        <v>143051.9552</v>
      </c>
      <c r="W10" s="46"/>
    </row>
    <row r="11" spans="2:24" ht="39.6" customHeight="1" x14ac:dyDescent="0.35">
      <c r="B11" s="132"/>
      <c r="C11" s="133"/>
      <c r="D11" s="162"/>
      <c r="E11" s="3"/>
      <c r="F11" s="3"/>
      <c r="G11" s="3"/>
      <c r="H11" s="3"/>
      <c r="I11" s="150" t="s">
        <v>80</v>
      </c>
      <c r="J11" s="3" t="s">
        <v>6</v>
      </c>
      <c r="K11" s="3" t="s">
        <v>7</v>
      </c>
      <c r="L11" s="5" t="s">
        <v>2</v>
      </c>
      <c r="N11" s="18">
        <f t="shared" si="2"/>
        <v>6</v>
      </c>
      <c r="O11" s="124" t="s">
        <v>106</v>
      </c>
      <c r="P11" s="125"/>
      <c r="Q11" s="125"/>
      <c r="R11" s="32"/>
      <c r="S11" s="32"/>
      <c r="T11" s="36">
        <v>2</v>
      </c>
      <c r="U11" s="37">
        <v>15000</v>
      </c>
      <c r="V11" s="34">
        <f t="shared" ref="V11" si="4">U11*T11</f>
        <v>30000</v>
      </c>
      <c r="W11" s="18"/>
    </row>
    <row r="12" spans="2:24" ht="39.6" customHeight="1" x14ac:dyDescent="0.35">
      <c r="B12" s="134"/>
      <c r="C12" s="135"/>
      <c r="D12" s="163"/>
      <c r="E12" s="3"/>
      <c r="F12" s="3"/>
      <c r="G12" s="3"/>
      <c r="H12" s="3"/>
      <c r="I12" s="151"/>
      <c r="J12" s="3">
        <f>ROUNDDOWN(E4/2-90,0)</f>
        <v>810</v>
      </c>
      <c r="K12" s="3">
        <f>K9-100</f>
        <v>1853</v>
      </c>
      <c r="L12" s="3">
        <f>G4*2</f>
        <v>2</v>
      </c>
      <c r="N12" s="18">
        <f t="shared" si="2"/>
        <v>7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3034091.0592</v>
      </c>
      <c r="W12" s="18"/>
      <c r="X12" s="2"/>
    </row>
    <row r="13" spans="2:24" ht="39.6" customHeight="1" x14ac:dyDescent="0.35"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9" t="s">
        <v>76</v>
      </c>
    </row>
    <row r="14" spans="2:24" ht="39.6" customHeight="1" x14ac:dyDescent="0.35">
      <c r="N14" s="18">
        <v>1</v>
      </c>
      <c r="O14" s="124" t="s">
        <v>96</v>
      </c>
      <c r="P14" s="125"/>
      <c r="Q14" s="125"/>
      <c r="R14" s="41">
        <f>R6+R7+R8+R9*2</f>
        <v>12750</v>
      </c>
      <c r="S14" s="2">
        <v>1</v>
      </c>
      <c r="T14" s="28"/>
      <c r="U14" s="41">
        <v>1000</v>
      </c>
      <c r="V14" s="41">
        <f>U14*R14*S14/1000</f>
        <v>12750</v>
      </c>
      <c r="W14" s="29"/>
    </row>
    <row r="15" spans="2:24" ht="39.6" customHeight="1" x14ac:dyDescent="0.35"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N15" s="18">
        <v>2</v>
      </c>
      <c r="O15" s="124" t="s">
        <v>69</v>
      </c>
      <c r="P15" s="125"/>
      <c r="Q15" s="126"/>
      <c r="R15" s="41"/>
      <c r="S15" s="61">
        <v>1</v>
      </c>
      <c r="T15" s="28"/>
      <c r="U15" s="41">
        <v>1000</v>
      </c>
      <c r="V15" s="41">
        <f t="shared" ref="V15:V16" si="5">U15*S15</f>
        <v>1000</v>
      </c>
      <c r="W15" s="2"/>
    </row>
    <row r="16" spans="2:24" ht="39.6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18" si="6">N15+1</f>
        <v>3</v>
      </c>
      <c r="O16" s="124" t="s">
        <v>71</v>
      </c>
      <c r="P16" s="125"/>
      <c r="Q16" s="126"/>
      <c r="R16" s="41"/>
      <c r="S16" s="2">
        <v>1</v>
      </c>
      <c r="T16" s="28"/>
      <c r="U16" s="41">
        <v>2000</v>
      </c>
      <c r="V16" s="41">
        <f t="shared" si="5"/>
        <v>2000</v>
      </c>
      <c r="W16" s="2"/>
    </row>
    <row r="17" spans="2:23" ht="39.6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6"/>
        <v>4</v>
      </c>
      <c r="O17" s="144" t="s">
        <v>70</v>
      </c>
      <c r="P17" s="144"/>
      <c r="Q17" s="144"/>
      <c r="R17" s="144"/>
      <c r="S17" s="144"/>
      <c r="T17" s="38"/>
      <c r="U17" s="39"/>
      <c r="V17" s="40">
        <f>SUM(V14:V16)</f>
        <v>15750</v>
      </c>
      <c r="W17" s="2"/>
    </row>
    <row r="18" spans="2:23" ht="39.6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15">
        <f t="shared" si="6"/>
        <v>5</v>
      </c>
      <c r="O18" s="145" t="s">
        <v>183</v>
      </c>
      <c r="P18" s="146"/>
      <c r="Q18" s="146"/>
      <c r="R18" s="146"/>
      <c r="S18" s="147"/>
      <c r="T18" s="116"/>
      <c r="U18" s="117"/>
      <c r="V18" s="118">
        <f>V12+V17</f>
        <v>3049841.0592</v>
      </c>
      <c r="W18" s="115"/>
    </row>
    <row r="19" spans="2:23" ht="39.6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</row>
    <row r="20" spans="2:23" ht="39.6" customHeight="1" x14ac:dyDescent="0.35">
      <c r="B20" s="127"/>
      <c r="C20" s="127"/>
      <c r="D20" s="141"/>
      <c r="E20" s="141"/>
      <c r="F20" s="141"/>
      <c r="G20" s="141"/>
      <c r="H20" s="141"/>
      <c r="I20" s="141"/>
      <c r="J20" s="127"/>
      <c r="K20" s="127"/>
    </row>
    <row r="21" spans="2:23" ht="39.6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</row>
    <row r="22" spans="2:23" ht="39.6" customHeight="1" x14ac:dyDescent="0.35">
      <c r="B22" s="127"/>
      <c r="C22" s="127"/>
      <c r="D22" s="127"/>
      <c r="E22" s="127"/>
      <c r="F22" s="127"/>
      <c r="G22" s="127"/>
      <c r="H22" s="148"/>
      <c r="I22" s="148"/>
      <c r="J22" s="127"/>
      <c r="K22" s="127"/>
    </row>
    <row r="23" spans="2:23" ht="39.6" customHeight="1" x14ac:dyDescent="0.35">
      <c r="B23" s="127"/>
      <c r="C23" s="127"/>
      <c r="D23" s="127"/>
      <c r="E23" s="127"/>
      <c r="F23" s="127"/>
      <c r="G23" s="127"/>
      <c r="H23" s="141"/>
      <c r="I23" s="141"/>
      <c r="J23" s="127"/>
      <c r="K23" s="127"/>
    </row>
  </sheetData>
  <mergeCells count="62">
    <mergeCell ref="O10:Q10"/>
    <mergeCell ref="O11:Q11"/>
    <mergeCell ref="O12:S12"/>
    <mergeCell ref="O16:Q16"/>
    <mergeCell ref="O17:S17"/>
    <mergeCell ref="O13:Q13"/>
    <mergeCell ref="O14:Q14"/>
    <mergeCell ref="O15:Q15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O18:S18"/>
    <mergeCell ref="B1:L1"/>
    <mergeCell ref="I11:I12"/>
    <mergeCell ref="I2:L2"/>
    <mergeCell ref="O7:Q7"/>
    <mergeCell ref="O8:Q8"/>
    <mergeCell ref="O9:Q9"/>
    <mergeCell ref="B2:F2"/>
    <mergeCell ref="B3:D12"/>
    <mergeCell ref="N1:W1"/>
    <mergeCell ref="O2:Q2"/>
    <mergeCell ref="O3:Q3"/>
    <mergeCell ref="O4:Q4"/>
    <mergeCell ref="O5:Q5"/>
    <mergeCell ref="O6:Q6"/>
    <mergeCell ref="B15:C15"/>
  </mergeCells>
  <pageMargins left="0.25" right="0.25" top="0.75" bottom="0.75" header="0.3" footer="0.3"/>
  <pageSetup scale="7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23"/>
  <sheetViews>
    <sheetView topLeftCell="F1" zoomScale="50" zoomScaleNormal="50" workbookViewId="0">
      <selection activeCell="V19" sqref="V19"/>
    </sheetView>
  </sheetViews>
  <sheetFormatPr defaultColWidth="17.44140625" defaultRowHeight="29.4" customHeight="1" x14ac:dyDescent="0.35"/>
  <cols>
    <col min="1" max="13" width="17.44140625" style="1"/>
    <col min="14" max="21" width="17.21875" style="1"/>
    <col min="22" max="22" width="21.44140625" style="1" bestFit="1" customWidth="1"/>
    <col min="23" max="23" width="35.21875" style="1" customWidth="1"/>
    <col min="24" max="16384" width="17.44140625" style="1"/>
  </cols>
  <sheetData>
    <row r="1" spans="2:23" ht="29.4" customHeight="1" x14ac:dyDescent="0.4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7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29.4" customHeight="1" x14ac:dyDescent="0.35">
      <c r="B2" s="152"/>
      <c r="C2" s="153"/>
      <c r="D2" s="153"/>
      <c r="E2" s="153"/>
      <c r="F2" s="154"/>
      <c r="G2" s="14"/>
      <c r="H2" s="7"/>
      <c r="I2" s="152" t="s">
        <v>9</v>
      </c>
      <c r="J2" s="153"/>
      <c r="K2" s="153"/>
      <c r="L2" s="153"/>
      <c r="M2" s="79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29.4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4000</v>
      </c>
      <c r="S3" s="32">
        <v>1.367</v>
      </c>
      <c r="T3" s="89">
        <f>S3*R3</f>
        <v>5468</v>
      </c>
      <c r="U3" s="37">
        <v>128000</v>
      </c>
      <c r="V3" s="34">
        <f>U3*T3/1000</f>
        <v>699904</v>
      </c>
      <c r="W3" s="119"/>
    </row>
    <row r="4" spans="2:23" ht="29.4" customHeight="1" x14ac:dyDescent="0.35">
      <c r="B4" s="132"/>
      <c r="C4" s="133"/>
      <c r="D4" s="162"/>
      <c r="E4" s="3">
        <v>2700</v>
      </c>
      <c r="F4" s="3">
        <v>2000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2664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2664</v>
      </c>
      <c r="S4" s="32">
        <v>1.9590000000000001</v>
      </c>
      <c r="T4" s="89">
        <f t="shared" ref="T4:T9" si="0">S4*R4</f>
        <v>5218.7759999999998</v>
      </c>
      <c r="U4" s="37">
        <v>128000</v>
      </c>
      <c r="V4" s="34">
        <f t="shared" ref="V4:V9" si="1">U4*T4/1000</f>
        <v>668003.32799999998</v>
      </c>
      <c r="W4" s="83"/>
    </row>
    <row r="5" spans="2:23" ht="29.4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tr">
        <f>CONCATENATE($G$2,"-",$D$12,"-","D17182","-","1")</f>
        <v>--D17182-1</v>
      </c>
      <c r="K5" s="3">
        <f>E4-36</f>
        <v>2664</v>
      </c>
      <c r="L5" s="3">
        <f>G4*1</f>
        <v>1</v>
      </c>
      <c r="N5" s="18">
        <f t="shared" ref="N5:N12" si="2">N4+1</f>
        <v>3</v>
      </c>
      <c r="O5" s="124" t="s">
        <v>101</v>
      </c>
      <c r="P5" s="125"/>
      <c r="Q5" s="125"/>
      <c r="R5" s="37">
        <f>R4</f>
        <v>2664</v>
      </c>
      <c r="S5" s="32">
        <v>2.2949999999999999</v>
      </c>
      <c r="T5" s="89">
        <f t="shared" si="0"/>
        <v>6113.88</v>
      </c>
      <c r="U5" s="37">
        <v>128000</v>
      </c>
      <c r="V5" s="34">
        <f t="shared" si="1"/>
        <v>782576.64000000001</v>
      </c>
      <c r="W5" s="83"/>
    </row>
    <row r="6" spans="2:23" ht="29.4" customHeight="1" x14ac:dyDescent="0.35">
      <c r="B6" s="132"/>
      <c r="C6" s="133"/>
      <c r="D6" s="162"/>
      <c r="E6" s="61"/>
      <c r="F6" s="20">
        <f>F4*E4/1000</f>
        <v>5400</v>
      </c>
      <c r="G6" s="91">
        <f>SUM(T3:T9)</f>
        <v>35859.544999999998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2000</v>
      </c>
      <c r="L6" s="3">
        <f>G4*2</f>
        <v>2</v>
      </c>
      <c r="N6" s="18">
        <f t="shared" si="2"/>
        <v>4</v>
      </c>
      <c r="O6" s="124" t="s">
        <v>102</v>
      </c>
      <c r="P6" s="125"/>
      <c r="Q6" s="125"/>
      <c r="R6" s="37">
        <f>K10*L10</f>
        <v>7740</v>
      </c>
      <c r="S6" s="32">
        <v>1.0980000000000001</v>
      </c>
      <c r="T6" s="89">
        <f t="shared" si="0"/>
        <v>8498.52</v>
      </c>
      <c r="U6" s="37">
        <v>128000</v>
      </c>
      <c r="V6" s="34">
        <f t="shared" si="1"/>
        <v>1087810.5600000001</v>
      </c>
      <c r="W6" s="84"/>
    </row>
    <row r="7" spans="2:23" ht="29.4" customHeight="1" x14ac:dyDescent="0.35">
      <c r="B7" s="132"/>
      <c r="C7" s="133"/>
      <c r="D7" s="162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ROUNDDOWN((E4-176)/3,0)</f>
        <v>841</v>
      </c>
      <c r="L7" s="3">
        <f>G4*3</f>
        <v>3</v>
      </c>
      <c r="N7" s="18">
        <f t="shared" si="2"/>
        <v>5</v>
      </c>
      <c r="O7" s="124" t="s">
        <v>103</v>
      </c>
      <c r="P7" s="125"/>
      <c r="Q7" s="125"/>
      <c r="R7" s="37">
        <f>K9*L9</f>
        <v>3870</v>
      </c>
      <c r="S7" s="32">
        <v>1.2729999999999999</v>
      </c>
      <c r="T7" s="89">
        <f t="shared" si="0"/>
        <v>4926.5099999999993</v>
      </c>
      <c r="U7" s="37">
        <v>128000</v>
      </c>
      <c r="V7" s="34">
        <f t="shared" si="1"/>
        <v>630593.27999999991</v>
      </c>
      <c r="W7" s="83"/>
    </row>
    <row r="8" spans="2:23" ht="29.4" customHeight="1" x14ac:dyDescent="0.35">
      <c r="B8" s="132"/>
      <c r="C8" s="133"/>
      <c r="D8" s="162"/>
      <c r="E8" s="2"/>
      <c r="F8" s="2"/>
      <c r="G8" s="2"/>
      <c r="H8" s="6" t="s">
        <v>24</v>
      </c>
      <c r="I8" s="3" t="s">
        <v>31</v>
      </c>
      <c r="J8" s="6" t="str">
        <f>CONCATENATE($G$2,"-",$D$12,"-","D1555A","-","1")</f>
        <v>--D1555A-1</v>
      </c>
      <c r="K8" s="3">
        <f>K7</f>
        <v>841</v>
      </c>
      <c r="L8" s="3">
        <f>G4*3</f>
        <v>3</v>
      </c>
      <c r="N8" s="18">
        <f t="shared" si="2"/>
        <v>6</v>
      </c>
      <c r="O8" s="124" t="s">
        <v>104</v>
      </c>
      <c r="P8" s="125"/>
      <c r="Q8" s="125"/>
      <c r="R8" s="37">
        <f>K7*L7</f>
        <v>2523</v>
      </c>
      <c r="S8" s="32">
        <v>0.99</v>
      </c>
      <c r="T8" s="89">
        <f t="shared" si="0"/>
        <v>2497.77</v>
      </c>
      <c r="U8" s="37">
        <v>128000</v>
      </c>
      <c r="V8" s="34">
        <f t="shared" si="1"/>
        <v>319714.56</v>
      </c>
      <c r="W8" s="83"/>
    </row>
    <row r="9" spans="2:23" ht="29.4" customHeight="1" x14ac:dyDescent="0.35">
      <c r="B9" s="132"/>
      <c r="C9" s="133"/>
      <c r="D9" s="162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F4-65</f>
        <v>1935</v>
      </c>
      <c r="L9" s="3">
        <f>G4*2</f>
        <v>2</v>
      </c>
      <c r="N9" s="18">
        <f t="shared" si="2"/>
        <v>7</v>
      </c>
      <c r="O9" s="124" t="s">
        <v>105</v>
      </c>
      <c r="P9" s="125"/>
      <c r="Q9" s="125"/>
      <c r="R9" s="37">
        <f>K8*L8</f>
        <v>2523</v>
      </c>
      <c r="S9" s="32">
        <v>1.2430000000000001</v>
      </c>
      <c r="T9" s="89">
        <f t="shared" si="0"/>
        <v>3136.0890000000004</v>
      </c>
      <c r="U9" s="37">
        <v>128000</v>
      </c>
      <c r="V9" s="34">
        <f t="shared" si="1"/>
        <v>401419.39200000005</v>
      </c>
      <c r="W9" s="84"/>
    </row>
    <row r="10" spans="2:23" ht="29.4" customHeight="1" x14ac:dyDescent="0.35">
      <c r="B10" s="132"/>
      <c r="C10" s="133"/>
      <c r="D10" s="162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F4-65</f>
        <v>1935</v>
      </c>
      <c r="L10" s="3">
        <f>G4*4</f>
        <v>4</v>
      </c>
      <c r="N10" s="18">
        <f>N6+1</f>
        <v>5</v>
      </c>
      <c r="O10" s="124" t="s">
        <v>79</v>
      </c>
      <c r="P10" s="125"/>
      <c r="Q10" s="126"/>
      <c r="R10" s="37"/>
      <c r="S10" s="32"/>
      <c r="T10" s="81"/>
      <c r="U10" s="58">
        <v>0.05</v>
      </c>
      <c r="V10" s="37">
        <f>SUM(V3:V9)*U10</f>
        <v>229501.08799999999</v>
      </c>
      <c r="W10" s="46"/>
    </row>
    <row r="11" spans="2:23" ht="29.4" customHeight="1" x14ac:dyDescent="0.35">
      <c r="B11" s="132"/>
      <c r="C11" s="133"/>
      <c r="D11" s="162"/>
      <c r="E11" s="3"/>
      <c r="F11" s="3"/>
      <c r="G11" s="3"/>
      <c r="H11" s="6" t="s">
        <v>107</v>
      </c>
      <c r="I11" s="150" t="s">
        <v>80</v>
      </c>
      <c r="J11" s="3" t="s">
        <v>6</v>
      </c>
      <c r="K11" s="3" t="s">
        <v>7</v>
      </c>
      <c r="L11" s="5" t="s">
        <v>2</v>
      </c>
      <c r="N11" s="18">
        <f t="shared" si="2"/>
        <v>6</v>
      </c>
      <c r="O11" s="124" t="s">
        <v>106</v>
      </c>
      <c r="P11" s="125"/>
      <c r="Q11" s="125"/>
      <c r="R11" s="32"/>
      <c r="S11" s="32"/>
      <c r="T11" s="36">
        <v>3</v>
      </c>
      <c r="U11" s="37">
        <v>15000</v>
      </c>
      <c r="V11" s="34">
        <f t="shared" ref="V11" si="3">U11*T11</f>
        <v>45000</v>
      </c>
      <c r="W11" s="18"/>
    </row>
    <row r="12" spans="2:23" ht="29.4" customHeight="1" x14ac:dyDescent="0.35">
      <c r="B12" s="134"/>
      <c r="C12" s="135"/>
      <c r="D12" s="163"/>
      <c r="E12" s="3"/>
      <c r="F12" s="3"/>
      <c r="G12" s="3"/>
      <c r="H12" s="6" t="s">
        <v>108</v>
      </c>
      <c r="I12" s="151"/>
      <c r="J12" s="3">
        <f>K8-10</f>
        <v>831</v>
      </c>
      <c r="K12" s="3">
        <f>K9-91</f>
        <v>1844</v>
      </c>
      <c r="L12" s="3">
        <f>G4*3</f>
        <v>3</v>
      </c>
      <c r="N12" s="18">
        <f t="shared" si="2"/>
        <v>7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4864522.8479999993</v>
      </c>
      <c r="W12" s="18"/>
    </row>
    <row r="13" spans="2:23" ht="29.4" customHeight="1" x14ac:dyDescent="0.35"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9" t="s">
        <v>76</v>
      </c>
    </row>
    <row r="14" spans="2:23" ht="29.4" customHeight="1" x14ac:dyDescent="0.35">
      <c r="N14" s="18">
        <v>1</v>
      </c>
      <c r="O14" s="124" t="s">
        <v>96</v>
      </c>
      <c r="P14" s="125"/>
      <c r="Q14" s="125"/>
      <c r="R14" s="41">
        <f>R6+R7+R8+R9*2</f>
        <v>19179</v>
      </c>
      <c r="S14" s="2">
        <v>1</v>
      </c>
      <c r="T14" s="28"/>
      <c r="U14" s="41">
        <v>1000</v>
      </c>
      <c r="V14" s="41">
        <f>U14*R14*S14/1000</f>
        <v>19179</v>
      </c>
      <c r="W14" s="29"/>
    </row>
    <row r="15" spans="2:23" ht="29.4" customHeight="1" x14ac:dyDescent="0.35"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N15" s="18">
        <v>2</v>
      </c>
      <c r="O15" s="124" t="s">
        <v>69</v>
      </c>
      <c r="P15" s="125"/>
      <c r="Q15" s="126"/>
      <c r="R15" s="41"/>
      <c r="S15" s="61">
        <v>1</v>
      </c>
      <c r="T15" s="28"/>
      <c r="U15" s="41">
        <v>1000</v>
      </c>
      <c r="V15" s="41">
        <f t="shared" ref="V15:V16" si="4">U15*S15</f>
        <v>1000</v>
      </c>
      <c r="W15" s="2"/>
    </row>
    <row r="16" spans="2:23" ht="29.4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18" si="5">N15+1</f>
        <v>3</v>
      </c>
      <c r="O16" s="124" t="s">
        <v>71</v>
      </c>
      <c r="P16" s="125"/>
      <c r="Q16" s="126"/>
      <c r="R16" s="41"/>
      <c r="S16" s="2">
        <v>1</v>
      </c>
      <c r="T16" s="28"/>
      <c r="U16" s="41">
        <v>2000</v>
      </c>
      <c r="V16" s="41">
        <f t="shared" si="4"/>
        <v>2000</v>
      </c>
      <c r="W16" s="2"/>
    </row>
    <row r="17" spans="2:23" ht="29.4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5"/>
        <v>4</v>
      </c>
      <c r="O17" s="144" t="s">
        <v>70</v>
      </c>
      <c r="P17" s="144"/>
      <c r="Q17" s="144"/>
      <c r="R17" s="144"/>
      <c r="S17" s="144"/>
      <c r="T17" s="38"/>
      <c r="U17" s="39"/>
      <c r="V17" s="40">
        <f>SUM(V14:V16)</f>
        <v>22179</v>
      </c>
      <c r="W17" s="2"/>
    </row>
    <row r="18" spans="2:23" ht="29.4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15">
        <f t="shared" si="5"/>
        <v>5</v>
      </c>
      <c r="O18" s="145" t="s">
        <v>183</v>
      </c>
      <c r="P18" s="146"/>
      <c r="Q18" s="146"/>
      <c r="R18" s="146"/>
      <c r="S18" s="147"/>
      <c r="T18" s="116"/>
      <c r="U18" s="117"/>
      <c r="V18" s="118">
        <f>V12+V17</f>
        <v>4886701.8479999993</v>
      </c>
      <c r="W18" s="115"/>
    </row>
    <row r="19" spans="2:23" ht="29.4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</row>
    <row r="20" spans="2:23" ht="29.4" customHeight="1" x14ac:dyDescent="0.35">
      <c r="B20" s="127"/>
      <c r="C20" s="127"/>
      <c r="D20" s="141"/>
      <c r="E20" s="141"/>
      <c r="F20" s="141"/>
      <c r="G20" s="141"/>
      <c r="H20" s="141"/>
      <c r="I20" s="141"/>
      <c r="J20" s="127"/>
      <c r="K20" s="127"/>
    </row>
    <row r="21" spans="2:23" ht="29.4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</row>
    <row r="22" spans="2:23" ht="29.4" customHeight="1" x14ac:dyDescent="0.35">
      <c r="B22" s="127"/>
      <c r="C22" s="127"/>
      <c r="D22" s="127"/>
      <c r="E22" s="127"/>
      <c r="F22" s="127"/>
      <c r="G22" s="127"/>
      <c r="H22" s="148"/>
      <c r="I22" s="148"/>
      <c r="J22" s="127"/>
      <c r="K22" s="127"/>
    </row>
    <row r="23" spans="2:23" ht="29.4" customHeight="1" x14ac:dyDescent="0.35">
      <c r="B23" s="127"/>
      <c r="C23" s="127"/>
      <c r="D23" s="127"/>
      <c r="E23" s="127"/>
      <c r="F23" s="127"/>
      <c r="G23" s="127"/>
      <c r="H23" s="141"/>
      <c r="I23" s="141"/>
      <c r="J23" s="127"/>
      <c r="K23" s="127"/>
    </row>
  </sheetData>
  <mergeCells count="62">
    <mergeCell ref="B19:G19"/>
    <mergeCell ref="H19:I19"/>
    <mergeCell ref="J19:K19"/>
    <mergeCell ref="B21:G21"/>
    <mergeCell ref="H21:I21"/>
    <mergeCell ref="J21:K21"/>
    <mergeCell ref="B20:C20"/>
    <mergeCell ref="D20:E20"/>
    <mergeCell ref="F20:G20"/>
    <mergeCell ref="H20:I20"/>
    <mergeCell ref="J20:K20"/>
    <mergeCell ref="B22:G22"/>
    <mergeCell ref="H22:I22"/>
    <mergeCell ref="J22:K22"/>
    <mergeCell ref="B23:C23"/>
    <mergeCell ref="D23:E23"/>
    <mergeCell ref="F23:G23"/>
    <mergeCell ref="H23:I23"/>
    <mergeCell ref="J23:K23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:L1"/>
    <mergeCell ref="B15:C15"/>
    <mergeCell ref="D15:E15"/>
    <mergeCell ref="F15:G15"/>
    <mergeCell ref="H15:I15"/>
    <mergeCell ref="J15:K15"/>
    <mergeCell ref="B2:F2"/>
    <mergeCell ref="I11:I12"/>
    <mergeCell ref="B3:D12"/>
    <mergeCell ref="I2:L2"/>
    <mergeCell ref="O11:Q11"/>
    <mergeCell ref="O12:S12"/>
    <mergeCell ref="O13:Q13"/>
    <mergeCell ref="N1:W1"/>
    <mergeCell ref="O2:Q2"/>
    <mergeCell ref="O3:Q3"/>
    <mergeCell ref="O4:Q4"/>
    <mergeCell ref="O5:Q5"/>
    <mergeCell ref="O6:Q6"/>
    <mergeCell ref="O7:Q7"/>
    <mergeCell ref="O8:Q8"/>
    <mergeCell ref="O9:Q9"/>
    <mergeCell ref="O10:Q10"/>
    <mergeCell ref="O18:S18"/>
    <mergeCell ref="O14:Q14"/>
    <mergeCell ref="O15:Q15"/>
    <mergeCell ref="O16:Q16"/>
    <mergeCell ref="O17:S17"/>
  </mergeCells>
  <pageMargins left="0.7" right="0.7" top="0.75" bottom="0.75" header="0.3" footer="0.3"/>
  <pageSetup scale="6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tabSelected="1" zoomScale="49" zoomScaleNormal="49" workbookViewId="0">
      <selection activeCell="U7" sqref="U7"/>
    </sheetView>
  </sheetViews>
  <sheetFormatPr defaultColWidth="17" defaultRowHeight="31.2" customHeight="1" x14ac:dyDescent="0.35"/>
  <cols>
    <col min="1" max="13" width="17" style="1"/>
    <col min="14" max="22" width="17.21875" style="1"/>
    <col min="23" max="23" width="35.21875" style="1" customWidth="1"/>
    <col min="24" max="16384" width="17" style="1"/>
  </cols>
  <sheetData>
    <row r="1" spans="2:23" ht="31.2" customHeight="1" x14ac:dyDescent="0.45">
      <c r="B1" s="182"/>
      <c r="C1" s="182"/>
      <c r="D1" s="182"/>
      <c r="E1" s="182"/>
      <c r="F1" s="182"/>
      <c r="G1" s="182"/>
      <c r="H1" s="182"/>
      <c r="I1" s="183"/>
      <c r="J1" s="183"/>
      <c r="K1" s="183"/>
      <c r="L1" s="183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31.2" customHeight="1" x14ac:dyDescent="0.35">
      <c r="B2" s="152"/>
      <c r="C2" s="153"/>
      <c r="D2" s="153"/>
      <c r="E2" s="153"/>
      <c r="F2" s="154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1.2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5280</v>
      </c>
      <c r="S3" s="32">
        <v>1.1339999999999999</v>
      </c>
      <c r="T3" s="89">
        <f>S3*R3</f>
        <v>5987.5199999999995</v>
      </c>
      <c r="U3" s="37">
        <v>130000</v>
      </c>
      <c r="V3" s="34">
        <f>U3*T3/1000</f>
        <v>778377.59999999986</v>
      </c>
      <c r="W3" s="177" t="s">
        <v>135</v>
      </c>
    </row>
    <row r="4" spans="2:23" ht="31.2" customHeight="1" x14ac:dyDescent="0.35">
      <c r="B4" s="132"/>
      <c r="C4" s="133"/>
      <c r="D4" s="162"/>
      <c r="E4" s="3">
        <v>3990</v>
      </c>
      <c r="F4" s="3">
        <v>2640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3954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3954</v>
      </c>
      <c r="S4" s="32">
        <v>1.4590000000000001</v>
      </c>
      <c r="T4" s="89">
        <f t="shared" ref="T4:T9" si="0">S4*R4</f>
        <v>5768.8860000000004</v>
      </c>
      <c r="U4" s="37">
        <v>130000</v>
      </c>
      <c r="V4" s="34">
        <f t="shared" ref="V4:V9" si="1">U4*T4/1000</f>
        <v>749955.18</v>
      </c>
      <c r="W4" s="178"/>
    </row>
    <row r="5" spans="2:23" ht="31.2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tr">
        <f>CONCATENATE($G$2,"-",$D$12,"-","D1942A","-","1")</f>
        <v>--D1942A-1</v>
      </c>
      <c r="K5" s="3">
        <f>E4-36</f>
        <v>3954</v>
      </c>
      <c r="L5" s="3">
        <f>G4*1</f>
        <v>1</v>
      </c>
      <c r="N5" s="18">
        <f t="shared" ref="N5:N13" si="2">N4+1</f>
        <v>3</v>
      </c>
      <c r="O5" s="124" t="s">
        <v>101</v>
      </c>
      <c r="P5" s="125"/>
      <c r="Q5" s="125"/>
      <c r="R5" s="37">
        <f>R4</f>
        <v>3954</v>
      </c>
      <c r="S5" s="32">
        <v>1.3069999999999999</v>
      </c>
      <c r="T5" s="89">
        <f t="shared" si="0"/>
        <v>5167.8779999999997</v>
      </c>
      <c r="U5" s="37">
        <v>130000</v>
      </c>
      <c r="V5" s="34">
        <f t="shared" si="1"/>
        <v>671824.14</v>
      </c>
      <c r="W5" s="178"/>
    </row>
    <row r="6" spans="2:23" ht="31.2" customHeight="1" x14ac:dyDescent="0.35">
      <c r="B6" s="132"/>
      <c r="C6" s="133"/>
      <c r="D6" s="162"/>
      <c r="E6" s="61"/>
      <c r="F6" s="20">
        <f>F4*E4/1000</f>
        <v>10533.6</v>
      </c>
      <c r="G6" s="91">
        <f>SUM(T3:T10)</f>
        <v>59755.34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2640</v>
      </c>
      <c r="L6" s="3">
        <f>G4*2</f>
        <v>2</v>
      </c>
      <c r="N6" s="18">
        <f t="shared" si="2"/>
        <v>4</v>
      </c>
      <c r="O6" s="124" t="s">
        <v>102</v>
      </c>
      <c r="P6" s="125"/>
      <c r="Q6" s="125"/>
      <c r="R6" s="37">
        <f>K9*L9</f>
        <v>10372</v>
      </c>
      <c r="S6" s="32">
        <v>1.0980000000000001</v>
      </c>
      <c r="T6" s="89">
        <f t="shared" si="0"/>
        <v>11388.456</v>
      </c>
      <c r="U6" s="37">
        <v>130000</v>
      </c>
      <c r="V6" s="34">
        <f t="shared" si="1"/>
        <v>1480499.28</v>
      </c>
      <c r="W6" s="179"/>
    </row>
    <row r="7" spans="2:23" ht="31.2" customHeight="1" x14ac:dyDescent="0.35">
      <c r="B7" s="132"/>
      <c r="C7" s="133"/>
      <c r="D7" s="162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K8</f>
        <v>931</v>
      </c>
      <c r="L7" s="3">
        <f>G4*8</f>
        <v>8</v>
      </c>
      <c r="N7" s="18">
        <f t="shared" si="2"/>
        <v>5</v>
      </c>
      <c r="O7" s="124" t="s">
        <v>103</v>
      </c>
      <c r="P7" s="125"/>
      <c r="Q7" s="125"/>
      <c r="R7" s="37">
        <f>K10*L10</f>
        <v>10372</v>
      </c>
      <c r="S7" s="32">
        <v>1.2729999999999999</v>
      </c>
      <c r="T7" s="89">
        <f t="shared" si="0"/>
        <v>13203.555999999999</v>
      </c>
      <c r="U7" s="37">
        <v>130000</v>
      </c>
      <c r="V7" s="34">
        <f t="shared" si="1"/>
        <v>1716462.2799999998</v>
      </c>
      <c r="W7" s="83"/>
    </row>
    <row r="8" spans="2:23" ht="31.2" customHeight="1" x14ac:dyDescent="0.35">
      <c r="B8" s="132"/>
      <c r="C8" s="133"/>
      <c r="D8" s="162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--D1545A-1</v>
      </c>
      <c r="K8" s="3">
        <f>ROUNDDOWN((E4-(73+20)*2-96)/4+4,0)</f>
        <v>931</v>
      </c>
      <c r="L8" s="3">
        <f>G4*8</f>
        <v>8</v>
      </c>
      <c r="N8" s="18">
        <f t="shared" si="2"/>
        <v>6</v>
      </c>
      <c r="O8" s="124" t="s">
        <v>104</v>
      </c>
      <c r="P8" s="125"/>
      <c r="Q8" s="125"/>
      <c r="R8" s="37">
        <f>K7*L7</f>
        <v>7448</v>
      </c>
      <c r="S8" s="32">
        <v>0.99</v>
      </c>
      <c r="T8" s="89">
        <f t="shared" si="0"/>
        <v>7373.5199999999995</v>
      </c>
      <c r="U8" s="37">
        <v>130000</v>
      </c>
      <c r="V8" s="34">
        <f t="shared" si="1"/>
        <v>958557.59999999986</v>
      </c>
      <c r="W8" s="83"/>
    </row>
    <row r="9" spans="2:23" ht="31.2" customHeight="1" x14ac:dyDescent="0.35">
      <c r="B9" s="132"/>
      <c r="C9" s="133"/>
      <c r="D9" s="162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F4-47</f>
        <v>2593</v>
      </c>
      <c r="L9" s="3">
        <f>G4*4</f>
        <v>4</v>
      </c>
      <c r="N9" s="18">
        <f t="shared" si="2"/>
        <v>7</v>
      </c>
      <c r="O9" s="124" t="s">
        <v>105</v>
      </c>
      <c r="P9" s="125"/>
      <c r="Q9" s="125"/>
      <c r="R9" s="37">
        <f>K8*L8</f>
        <v>7448</v>
      </c>
      <c r="S9" s="32">
        <v>1.2430000000000001</v>
      </c>
      <c r="T9" s="89">
        <f t="shared" si="0"/>
        <v>9257.8640000000014</v>
      </c>
      <c r="U9" s="37">
        <v>130000</v>
      </c>
      <c r="V9" s="34">
        <f t="shared" si="1"/>
        <v>1203522.3200000003</v>
      </c>
      <c r="W9" s="84"/>
    </row>
    <row r="10" spans="2:23" ht="31.2" customHeight="1" x14ac:dyDescent="0.35">
      <c r="B10" s="132"/>
      <c r="C10" s="133"/>
      <c r="D10" s="162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F4-47</f>
        <v>2593</v>
      </c>
      <c r="L10" s="3">
        <f>G4*4</f>
        <v>4</v>
      </c>
      <c r="N10" s="18">
        <f t="shared" si="2"/>
        <v>8</v>
      </c>
      <c r="O10" s="124" t="s">
        <v>98</v>
      </c>
      <c r="P10" s="125"/>
      <c r="Q10" s="125"/>
      <c r="R10" s="37">
        <f>K9*1</f>
        <v>2593</v>
      </c>
      <c r="S10" s="32">
        <v>0.62</v>
      </c>
      <c r="T10" s="89">
        <f t="shared" ref="T10" si="3">S10*R10</f>
        <v>1607.66</v>
      </c>
      <c r="U10" s="37">
        <v>130000</v>
      </c>
      <c r="V10" s="34">
        <f t="shared" ref="V10" si="4">U10*T10/1000</f>
        <v>208995.8</v>
      </c>
      <c r="W10" s="46"/>
    </row>
    <row r="11" spans="2:23" ht="31.2" customHeight="1" x14ac:dyDescent="0.35">
      <c r="B11" s="132"/>
      <c r="C11" s="133"/>
      <c r="D11" s="162"/>
      <c r="E11" s="3"/>
      <c r="F11" s="3"/>
      <c r="G11" s="3"/>
      <c r="H11" s="3"/>
      <c r="I11" s="150" t="s">
        <v>80</v>
      </c>
      <c r="J11" s="3" t="s">
        <v>6</v>
      </c>
      <c r="K11" s="3" t="s">
        <v>7</v>
      </c>
      <c r="L11" s="5" t="s">
        <v>2</v>
      </c>
      <c r="N11" s="18">
        <f t="shared" si="2"/>
        <v>9</v>
      </c>
      <c r="O11" s="124" t="s">
        <v>79</v>
      </c>
      <c r="P11" s="125"/>
      <c r="Q11" s="126"/>
      <c r="R11" s="37"/>
      <c r="S11" s="32"/>
      <c r="T11" s="81"/>
      <c r="U11" s="58">
        <v>0.05</v>
      </c>
      <c r="V11" s="37">
        <f>SUM(V3:V10)*U11</f>
        <v>388409.71</v>
      </c>
      <c r="W11" s="46"/>
    </row>
    <row r="12" spans="2:23" ht="31.2" customHeight="1" x14ac:dyDescent="0.35">
      <c r="B12" s="134"/>
      <c r="C12" s="135"/>
      <c r="D12" s="163"/>
      <c r="E12" s="3"/>
      <c r="F12" s="3"/>
      <c r="G12" s="3"/>
      <c r="H12" s="3"/>
      <c r="I12" s="151"/>
      <c r="J12" s="3">
        <f>ROUNDDOWN(E4/4-80,0)</f>
        <v>917</v>
      </c>
      <c r="K12" s="3">
        <f>K9-100</f>
        <v>2493</v>
      </c>
      <c r="L12" s="3">
        <f>G4*4</f>
        <v>4</v>
      </c>
      <c r="N12" s="18">
        <f t="shared" si="2"/>
        <v>10</v>
      </c>
      <c r="O12" s="124" t="s">
        <v>106</v>
      </c>
      <c r="P12" s="125"/>
      <c r="Q12" s="125"/>
      <c r="R12" s="32"/>
      <c r="S12" s="32"/>
      <c r="T12" s="36">
        <v>4</v>
      </c>
      <c r="U12" s="37">
        <v>15000</v>
      </c>
      <c r="V12" s="34">
        <f>U12*T12</f>
        <v>60000</v>
      </c>
      <c r="W12" s="18"/>
    </row>
    <row r="13" spans="2:23" ht="31.2" customHeight="1" x14ac:dyDescent="0.35">
      <c r="N13" s="18">
        <f t="shared" si="2"/>
        <v>11</v>
      </c>
      <c r="O13" s="138" t="s">
        <v>66</v>
      </c>
      <c r="P13" s="139"/>
      <c r="Q13" s="139"/>
      <c r="R13" s="139"/>
      <c r="S13" s="140"/>
      <c r="T13" s="38"/>
      <c r="U13" s="39"/>
      <c r="V13" s="40">
        <f>SUM(V3:V12)</f>
        <v>8216603.9100000001</v>
      </c>
      <c r="W13" s="18"/>
    </row>
    <row r="14" spans="2:23" ht="31.2" customHeight="1" x14ac:dyDescent="0.35">
      <c r="N14" s="27" t="s">
        <v>14</v>
      </c>
      <c r="O14" s="129" t="s">
        <v>52</v>
      </c>
      <c r="P14" s="129"/>
      <c r="Q14" s="129"/>
      <c r="R14" s="27" t="s">
        <v>53</v>
      </c>
      <c r="S14" s="33" t="s">
        <v>59</v>
      </c>
      <c r="T14" s="33"/>
      <c r="U14" s="27" t="s">
        <v>45</v>
      </c>
      <c r="V14" s="27" t="s">
        <v>46</v>
      </c>
      <c r="W14" s="29" t="s">
        <v>76</v>
      </c>
    </row>
    <row r="15" spans="2:23" ht="31.2" customHeight="1" x14ac:dyDescent="0.35"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N15" s="18">
        <v>1</v>
      </c>
      <c r="O15" s="124" t="s">
        <v>96</v>
      </c>
      <c r="P15" s="125"/>
      <c r="Q15" s="125"/>
      <c r="R15" s="41">
        <f>R6+R7+R8+R9*2</f>
        <v>43088</v>
      </c>
      <c r="S15" s="2">
        <v>1</v>
      </c>
      <c r="T15" s="28"/>
      <c r="U15" s="41">
        <v>1000</v>
      </c>
      <c r="V15" s="41">
        <f>U15*R15*S15/1000</f>
        <v>43088</v>
      </c>
      <c r="W15" s="29"/>
    </row>
    <row r="16" spans="2:23" ht="31.2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v>2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5">U16*S16</f>
        <v>1000</v>
      </c>
      <c r="W16" s="2"/>
    </row>
    <row r="17" spans="2:23" ht="31.2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ref="N17:N19" si="6">N16+1</f>
        <v>3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5"/>
        <v>2000</v>
      </c>
      <c r="W17" s="2"/>
    </row>
    <row r="18" spans="2:23" ht="31.2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8">
        <f t="shared" si="6"/>
        <v>4</v>
      </c>
      <c r="O18" s="144" t="s">
        <v>70</v>
      </c>
      <c r="P18" s="144"/>
      <c r="Q18" s="144"/>
      <c r="R18" s="144"/>
      <c r="S18" s="144"/>
      <c r="T18" s="38"/>
      <c r="U18" s="39"/>
      <c r="V18" s="40">
        <f>SUM(V15:V17)</f>
        <v>46088</v>
      </c>
      <c r="W18" s="2"/>
    </row>
    <row r="19" spans="2:23" ht="31.2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115">
        <f t="shared" si="6"/>
        <v>5</v>
      </c>
      <c r="O19" s="145" t="s">
        <v>183</v>
      </c>
      <c r="P19" s="146"/>
      <c r="Q19" s="146"/>
      <c r="R19" s="146"/>
      <c r="S19" s="147"/>
      <c r="T19" s="116"/>
      <c r="U19" s="117"/>
      <c r="V19" s="118">
        <f>V13+V18</f>
        <v>8262691.9100000001</v>
      </c>
      <c r="W19" s="115"/>
    </row>
    <row r="20" spans="2:23" ht="31.2" customHeight="1" x14ac:dyDescent="0.35">
      <c r="B20" s="127"/>
      <c r="C20" s="127"/>
      <c r="D20" s="141"/>
      <c r="E20" s="141"/>
      <c r="F20" s="141"/>
      <c r="G20" s="141"/>
      <c r="H20" s="141"/>
      <c r="I20" s="141"/>
      <c r="J20" s="127"/>
      <c r="K20" s="127"/>
      <c r="V20" s="1">
        <f>F6*300</f>
        <v>3160080</v>
      </c>
    </row>
    <row r="21" spans="2:23" ht="31.2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V21" s="118">
        <f>J12*K12*L12*0.22</f>
        <v>2011751.28</v>
      </c>
    </row>
    <row r="22" spans="2:23" ht="31.2" customHeight="1" x14ac:dyDescent="0.35">
      <c r="B22" s="127"/>
      <c r="C22" s="127"/>
      <c r="D22" s="127"/>
      <c r="E22" s="127"/>
      <c r="F22" s="127"/>
      <c r="G22" s="127"/>
      <c r="H22" s="148"/>
      <c r="I22" s="148"/>
      <c r="J22" s="127"/>
      <c r="K22" s="127"/>
      <c r="U22" s="1">
        <v>1864000</v>
      </c>
      <c r="V22" s="23">
        <f>V21+V20+V19+U22</f>
        <v>15298523.190000001</v>
      </c>
    </row>
    <row r="23" spans="2:23" ht="31.2" customHeight="1" x14ac:dyDescent="0.35">
      <c r="B23" s="127"/>
      <c r="C23" s="127"/>
      <c r="D23" s="127"/>
      <c r="E23" s="127"/>
      <c r="F23" s="127"/>
      <c r="G23" s="127"/>
      <c r="H23" s="141"/>
      <c r="I23" s="141"/>
      <c r="J23" s="127"/>
      <c r="K23" s="127"/>
      <c r="V23" s="121">
        <f>V22/F6</f>
        <v>1452.3546736158578</v>
      </c>
    </row>
  </sheetData>
  <mergeCells count="64">
    <mergeCell ref="O15:Q15"/>
    <mergeCell ref="O16:Q16"/>
    <mergeCell ref="O17:Q17"/>
    <mergeCell ref="O18:S18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J15:K15"/>
    <mergeCell ref="B1:L1"/>
    <mergeCell ref="I2:L2"/>
    <mergeCell ref="I11:I12"/>
    <mergeCell ref="B3:D12"/>
    <mergeCell ref="B2:F2"/>
    <mergeCell ref="B15:C15"/>
    <mergeCell ref="D15:E15"/>
    <mergeCell ref="F15:G15"/>
    <mergeCell ref="H15:I15"/>
    <mergeCell ref="O19:S19"/>
    <mergeCell ref="N1:W1"/>
    <mergeCell ref="O2:Q2"/>
    <mergeCell ref="O3:Q3"/>
    <mergeCell ref="O13:S13"/>
    <mergeCell ref="O4:Q4"/>
    <mergeCell ref="O5:Q5"/>
    <mergeCell ref="O6:Q6"/>
    <mergeCell ref="O7:Q7"/>
    <mergeCell ref="O8:Q8"/>
    <mergeCell ref="O9:Q9"/>
    <mergeCell ref="O11:Q11"/>
    <mergeCell ref="O12:Q12"/>
    <mergeCell ref="O10:Q10"/>
    <mergeCell ref="W3:W6"/>
    <mergeCell ref="O14:Q1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25"/>
  <sheetViews>
    <sheetView zoomScale="50" zoomScaleNormal="50" workbookViewId="0">
      <selection activeCell="F14" sqref="F14:G14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34.200000000000003" customHeight="1" x14ac:dyDescent="0.35">
      <c r="B2" s="152" t="s">
        <v>8</v>
      </c>
      <c r="C2" s="153"/>
      <c r="D2" s="153"/>
      <c r="E2" s="153"/>
      <c r="F2" s="154"/>
      <c r="G2" s="13"/>
      <c r="H2" s="7"/>
      <c r="I2" s="152" t="s">
        <v>9</v>
      </c>
      <c r="J2" s="153"/>
      <c r="K2" s="153"/>
      <c r="L2" s="153"/>
      <c r="M2" s="2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4.20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3892</v>
      </c>
      <c r="S3" s="88">
        <v>1.0269999999999999</v>
      </c>
      <c r="T3" s="35">
        <f>S3*R3</f>
        <v>3997.0839999999998</v>
      </c>
      <c r="U3" s="37">
        <v>128000</v>
      </c>
      <c r="V3" s="34">
        <f>U3*T3/1000</f>
        <v>511626.75199999998</v>
      </c>
      <c r="W3" s="184"/>
    </row>
    <row r="4" spans="2:23" ht="34.200000000000003" customHeight="1" x14ac:dyDescent="0.35">
      <c r="B4" s="132"/>
      <c r="C4" s="133"/>
      <c r="D4" s="133"/>
      <c r="E4" s="3">
        <v>3600</v>
      </c>
      <c r="F4" s="3">
        <v>2000</v>
      </c>
      <c r="G4" s="3">
        <v>1</v>
      </c>
      <c r="H4" s="6" t="s">
        <v>19</v>
      </c>
      <c r="I4" s="3" t="s">
        <v>29</v>
      </c>
      <c r="J4" s="6" t="str">
        <f>CONCATENATE($G$2,"-",$D$10,"-","F1411","-","1")</f>
        <v>--F1411-1</v>
      </c>
      <c r="K4" s="3">
        <f>E4</f>
        <v>3600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3600</v>
      </c>
      <c r="S4" s="88">
        <v>3.1070000000000002</v>
      </c>
      <c r="T4" s="35">
        <f t="shared" ref="T4:T6" si="0">S4*R4</f>
        <v>11185.2</v>
      </c>
      <c r="U4" s="37">
        <v>128000</v>
      </c>
      <c r="V4" s="34">
        <f t="shared" ref="V4:V8" si="1">U4*T4/1000</f>
        <v>1431705.6000000001</v>
      </c>
      <c r="W4" s="178"/>
    </row>
    <row r="5" spans="2:23" ht="34.20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tr">
        <f>CONCATENATE($G$2,"-",$D$10,"-","C5409","-","1")</f>
        <v>--C5409-1</v>
      </c>
      <c r="K5" s="3">
        <f>E4-38.5*2</f>
        <v>3523</v>
      </c>
      <c r="L5" s="3">
        <f>G4*1</f>
        <v>1</v>
      </c>
      <c r="N5" s="18">
        <f t="shared" ref="N5:N13" si="2">N4+1</f>
        <v>3</v>
      </c>
      <c r="O5" s="124" t="s">
        <v>101</v>
      </c>
      <c r="P5" s="125"/>
      <c r="Q5" s="125"/>
      <c r="R5" s="37">
        <f>R4</f>
        <v>3600</v>
      </c>
      <c r="S5" s="88">
        <v>1.351</v>
      </c>
      <c r="T5" s="35">
        <f t="shared" si="0"/>
        <v>4863.6000000000004</v>
      </c>
      <c r="U5" s="37">
        <v>128000</v>
      </c>
      <c r="V5" s="34">
        <f t="shared" si="1"/>
        <v>622540.80000000005</v>
      </c>
      <c r="W5" s="178"/>
    </row>
    <row r="6" spans="2:23" ht="34.200000000000003" customHeight="1" x14ac:dyDescent="0.35">
      <c r="B6" s="132"/>
      <c r="C6" s="133"/>
      <c r="D6" s="133"/>
      <c r="E6" s="61"/>
      <c r="F6" s="20">
        <f>F4*E4/1000</f>
        <v>7200</v>
      </c>
      <c r="G6" s="91">
        <f>SUM(T3:T8)</f>
        <v>54075.413999999997</v>
      </c>
      <c r="H6" s="6" t="s">
        <v>21</v>
      </c>
      <c r="I6" s="3" t="s">
        <v>11</v>
      </c>
      <c r="J6" s="6" t="str">
        <f>CONCATENATE($G$2,"-",$D$10,"-","F1412","-","2")</f>
        <v>--F1412-2</v>
      </c>
      <c r="K6" s="3">
        <f>F4-54</f>
        <v>1946</v>
      </c>
      <c r="L6" s="3">
        <f>G4*2</f>
        <v>2</v>
      </c>
      <c r="N6" s="18">
        <f t="shared" si="2"/>
        <v>4</v>
      </c>
      <c r="O6" s="124" t="s">
        <v>109</v>
      </c>
      <c r="P6" s="125"/>
      <c r="Q6" s="125"/>
      <c r="R6" s="37">
        <f>K7*L7+K8*L8</f>
        <v>22424</v>
      </c>
      <c r="S6" s="88">
        <v>1.254</v>
      </c>
      <c r="T6" s="35">
        <f t="shared" si="0"/>
        <v>28119.696</v>
      </c>
      <c r="U6" s="37">
        <v>128000</v>
      </c>
      <c r="V6" s="34">
        <f t="shared" si="1"/>
        <v>3599321.088</v>
      </c>
      <c r="W6" s="178"/>
    </row>
    <row r="7" spans="2:23" ht="34.200000000000003" customHeight="1" x14ac:dyDescent="0.35">
      <c r="B7" s="132"/>
      <c r="C7" s="133"/>
      <c r="D7" s="133"/>
      <c r="E7" s="2"/>
      <c r="F7" s="2"/>
      <c r="G7" s="2"/>
      <c r="H7" s="6" t="s">
        <v>22</v>
      </c>
      <c r="I7" s="3" t="s">
        <v>37</v>
      </c>
      <c r="J7" s="6" t="str">
        <f>CONCATENATE($G$2,"-",$D$10,"-","F1415","-","1")</f>
        <v>--F1415-1</v>
      </c>
      <c r="K7" s="3">
        <f>ROUNDDOWN((E4-117)/4,0)</f>
        <v>870</v>
      </c>
      <c r="L7" s="3">
        <f>G4*8</f>
        <v>8</v>
      </c>
      <c r="N7" s="18">
        <f t="shared" si="2"/>
        <v>5</v>
      </c>
      <c r="O7" s="124" t="s">
        <v>56</v>
      </c>
      <c r="P7" s="125"/>
      <c r="Q7" s="125"/>
      <c r="R7" s="37">
        <f>R6</f>
        <v>22424</v>
      </c>
      <c r="S7" s="88">
        <v>0.222</v>
      </c>
      <c r="T7" s="35">
        <f t="shared" ref="T7:T8" si="3">S7*R7</f>
        <v>4978.1279999999997</v>
      </c>
      <c r="U7" s="37">
        <v>128000</v>
      </c>
      <c r="V7" s="34">
        <f t="shared" si="1"/>
        <v>637200.38399999996</v>
      </c>
      <c r="W7" s="178"/>
    </row>
    <row r="8" spans="2:23" ht="34.200000000000003" customHeight="1" x14ac:dyDescent="0.35">
      <c r="B8" s="132"/>
      <c r="C8" s="133"/>
      <c r="D8" s="133"/>
      <c r="E8" s="2"/>
      <c r="F8" s="2"/>
      <c r="G8" s="2"/>
      <c r="H8" s="6" t="s">
        <v>25</v>
      </c>
      <c r="I8" s="3" t="s">
        <v>38</v>
      </c>
      <c r="J8" s="6" t="str">
        <f>CONCATENATE($G$2,"-",$D$10,"-","F1415","-","2")</f>
        <v>--F1415-2</v>
      </c>
      <c r="K8" s="3">
        <f>F4-55-12</f>
        <v>1933</v>
      </c>
      <c r="L8" s="3">
        <f>G4*8</f>
        <v>8</v>
      </c>
      <c r="N8" s="18">
        <f t="shared" si="2"/>
        <v>6</v>
      </c>
      <c r="O8" s="124" t="s">
        <v>110</v>
      </c>
      <c r="P8" s="125"/>
      <c r="Q8" s="125"/>
      <c r="R8" s="37">
        <f>K8*2</f>
        <v>3866</v>
      </c>
      <c r="S8" s="88">
        <v>0.24099999999999999</v>
      </c>
      <c r="T8" s="35">
        <f t="shared" si="3"/>
        <v>931.70600000000002</v>
      </c>
      <c r="U8" s="37">
        <v>128000</v>
      </c>
      <c r="V8" s="34">
        <f t="shared" si="1"/>
        <v>119258.368</v>
      </c>
      <c r="W8" s="179"/>
    </row>
    <row r="9" spans="2:23" ht="34.200000000000003" customHeight="1" x14ac:dyDescent="0.35">
      <c r="B9" s="132"/>
      <c r="C9" s="133"/>
      <c r="D9" s="133"/>
      <c r="E9" s="3"/>
      <c r="F9" s="3"/>
      <c r="G9" s="3"/>
      <c r="H9" s="6" t="s">
        <v>28</v>
      </c>
      <c r="I9" s="172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79</v>
      </c>
      <c r="P9" s="125"/>
      <c r="Q9" s="126"/>
      <c r="R9" s="37"/>
      <c r="S9" s="32"/>
      <c r="T9" s="81"/>
      <c r="U9" s="58">
        <v>0.05</v>
      </c>
      <c r="V9" s="37">
        <f>SUM(V3:V8)*U9</f>
        <v>346082.6496</v>
      </c>
      <c r="W9" s="46"/>
    </row>
    <row r="10" spans="2:23" ht="34.200000000000003" customHeight="1" x14ac:dyDescent="0.35">
      <c r="B10" s="134"/>
      <c r="C10" s="135"/>
      <c r="D10" s="135"/>
      <c r="E10" s="3"/>
      <c r="F10" s="3"/>
      <c r="G10" s="3"/>
      <c r="H10" s="6" t="s">
        <v>107</v>
      </c>
      <c r="I10" s="173"/>
      <c r="J10" s="3">
        <f>K7-115</f>
        <v>755</v>
      </c>
      <c r="K10" s="3">
        <f>K8-115</f>
        <v>1818</v>
      </c>
      <c r="L10" s="3">
        <f>G4*4</f>
        <v>4</v>
      </c>
      <c r="N10" s="18">
        <f t="shared" si="2"/>
        <v>8</v>
      </c>
      <c r="O10" s="124" t="s">
        <v>111</v>
      </c>
      <c r="P10" s="125"/>
      <c r="Q10" s="125"/>
      <c r="R10" s="32"/>
      <c r="S10" s="32"/>
      <c r="T10" s="36">
        <v>2</v>
      </c>
      <c r="U10" s="48">
        <v>7000</v>
      </c>
      <c r="V10" s="34">
        <f t="shared" ref="V10:V12" si="4">U10*T10</f>
        <v>14000</v>
      </c>
      <c r="W10" s="18"/>
    </row>
    <row r="11" spans="2:23" ht="34.200000000000003" customHeight="1" x14ac:dyDescent="0.35">
      <c r="N11" s="18">
        <f t="shared" si="2"/>
        <v>9</v>
      </c>
      <c r="O11" s="124" t="s">
        <v>112</v>
      </c>
      <c r="P11" s="125"/>
      <c r="Q11" s="125"/>
      <c r="R11" s="32"/>
      <c r="S11" s="32"/>
      <c r="T11" s="36">
        <f>4*4</f>
        <v>16</v>
      </c>
      <c r="U11" s="48">
        <v>13000</v>
      </c>
      <c r="V11" s="34">
        <f t="shared" si="4"/>
        <v>208000</v>
      </c>
      <c r="W11" s="29" t="s">
        <v>74</v>
      </c>
    </row>
    <row r="12" spans="2:23" ht="34.200000000000003" customHeight="1" x14ac:dyDescent="0.35">
      <c r="E12" s="4"/>
      <c r="G12" s="12"/>
      <c r="N12" s="18">
        <f t="shared" si="2"/>
        <v>10</v>
      </c>
      <c r="O12" s="124" t="s">
        <v>62</v>
      </c>
      <c r="P12" s="125"/>
      <c r="Q12" s="125"/>
      <c r="R12" s="32"/>
      <c r="S12" s="32"/>
      <c r="T12" s="36">
        <f>T11</f>
        <v>16</v>
      </c>
      <c r="U12" s="37">
        <v>100</v>
      </c>
      <c r="V12" s="34">
        <f t="shared" si="4"/>
        <v>1600</v>
      </c>
      <c r="W12" s="29" t="s">
        <v>114</v>
      </c>
    </row>
    <row r="13" spans="2:23" ht="34.200000000000003" customHeight="1" x14ac:dyDescent="0.35">
      <c r="E13" s="4"/>
      <c r="G13" s="12"/>
      <c r="N13" s="18">
        <f t="shared" si="2"/>
        <v>11</v>
      </c>
      <c r="O13" s="138" t="s">
        <v>66</v>
      </c>
      <c r="P13" s="139"/>
      <c r="Q13" s="139"/>
      <c r="R13" s="139"/>
      <c r="S13" s="140"/>
      <c r="T13" s="38"/>
      <c r="U13" s="39"/>
      <c r="V13" s="40">
        <f>SUM(V3:V12)</f>
        <v>7491335.6415999997</v>
      </c>
      <c r="W13" s="18"/>
    </row>
    <row r="14" spans="2:23" ht="34.200000000000003" customHeight="1" x14ac:dyDescent="0.35"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N14" s="27" t="s">
        <v>14</v>
      </c>
      <c r="O14" s="129" t="s">
        <v>52</v>
      </c>
      <c r="P14" s="129"/>
      <c r="Q14" s="129"/>
      <c r="R14" s="27" t="s">
        <v>53</v>
      </c>
      <c r="S14" s="33" t="s">
        <v>59</v>
      </c>
      <c r="T14" s="33"/>
      <c r="U14" s="27" t="s">
        <v>45</v>
      </c>
      <c r="V14" s="27" t="s">
        <v>46</v>
      </c>
      <c r="W14" s="2"/>
    </row>
    <row r="15" spans="2:23" ht="34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v>1</v>
      </c>
      <c r="O15" s="124" t="s">
        <v>113</v>
      </c>
      <c r="P15" s="125"/>
      <c r="Q15" s="125"/>
      <c r="R15" s="41">
        <f>R6+R8*2</f>
        <v>30156</v>
      </c>
      <c r="S15" s="2">
        <v>1</v>
      </c>
      <c r="T15" s="28"/>
      <c r="U15" s="41">
        <v>1000</v>
      </c>
      <c r="V15" s="41">
        <f>U15*R15*S15/1000</f>
        <v>30156</v>
      </c>
      <c r="W15" s="2"/>
    </row>
    <row r="16" spans="2:23" ht="34.200000000000003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M16" s="12"/>
      <c r="N16" s="18">
        <f>N15+1</f>
        <v>2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5">U16*S16</f>
        <v>1000</v>
      </c>
      <c r="W16" s="29"/>
    </row>
    <row r="17" spans="2:23" ht="34.200000000000003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M17" s="12"/>
      <c r="N17" s="18">
        <f t="shared" ref="N17:N19" si="6">N16+1</f>
        <v>3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5"/>
        <v>2000</v>
      </c>
      <c r="W17" s="2"/>
    </row>
    <row r="18" spans="2:23" ht="34.200000000000003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M18" s="12"/>
      <c r="N18" s="18">
        <f t="shared" si="6"/>
        <v>4</v>
      </c>
      <c r="O18" s="144" t="s">
        <v>70</v>
      </c>
      <c r="P18" s="144"/>
      <c r="Q18" s="144"/>
      <c r="R18" s="144"/>
      <c r="S18" s="144"/>
      <c r="T18" s="38"/>
      <c r="U18" s="39"/>
      <c r="V18" s="40">
        <f>SUM(V15:V17)</f>
        <v>33156</v>
      </c>
      <c r="W18" s="2"/>
    </row>
    <row r="19" spans="2:23" ht="34.200000000000003" customHeight="1" x14ac:dyDescent="0.35">
      <c r="B19" s="127"/>
      <c r="C19" s="127"/>
      <c r="D19" s="141"/>
      <c r="E19" s="141"/>
      <c r="F19" s="141"/>
      <c r="G19" s="141"/>
      <c r="H19" s="141"/>
      <c r="I19" s="141"/>
      <c r="J19" s="127"/>
      <c r="K19" s="127"/>
      <c r="M19" s="12"/>
      <c r="N19" s="115">
        <f t="shared" si="6"/>
        <v>5</v>
      </c>
      <c r="O19" s="145" t="s">
        <v>183</v>
      </c>
      <c r="P19" s="146"/>
      <c r="Q19" s="146"/>
      <c r="R19" s="146"/>
      <c r="S19" s="147"/>
      <c r="T19" s="116"/>
      <c r="U19" s="117"/>
      <c r="V19" s="118">
        <f>V13+V18</f>
        <v>7524491.6415999997</v>
      </c>
      <c r="W19" s="115"/>
    </row>
    <row r="20" spans="2:23" ht="34.200000000000003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  <c r="M20" s="12"/>
    </row>
    <row r="21" spans="2:23" ht="34.200000000000003" customHeight="1" x14ac:dyDescent="0.35">
      <c r="B21" s="127"/>
      <c r="C21" s="127"/>
      <c r="D21" s="127"/>
      <c r="E21" s="127"/>
      <c r="F21" s="127"/>
      <c r="G21" s="127"/>
      <c r="H21" s="148"/>
      <c r="I21" s="148"/>
      <c r="J21" s="127"/>
      <c r="K21" s="127"/>
      <c r="M21" s="12"/>
    </row>
    <row r="22" spans="2:23" ht="34.200000000000003" customHeight="1" x14ac:dyDescent="0.35">
      <c r="B22" s="127"/>
      <c r="C22" s="127"/>
      <c r="D22" s="127"/>
      <c r="E22" s="127"/>
      <c r="F22" s="127"/>
      <c r="G22" s="127"/>
      <c r="H22" s="141"/>
      <c r="I22" s="141"/>
      <c r="J22" s="127"/>
      <c r="K22" s="127"/>
      <c r="M22" s="12"/>
    </row>
    <row r="23" spans="2:23" ht="34.200000000000003" customHeight="1" x14ac:dyDescent="0.35">
      <c r="E23" s="4"/>
      <c r="G23" s="12"/>
      <c r="M23" s="12"/>
    </row>
    <row r="24" spans="2:23" ht="34.200000000000003" customHeight="1" x14ac:dyDescent="0.35">
      <c r="E24" s="4"/>
      <c r="G24" s="12"/>
    </row>
    <row r="25" spans="2:23" ht="34.200000000000003" customHeight="1" x14ac:dyDescent="0.35">
      <c r="E25" s="4"/>
      <c r="G25" s="12"/>
    </row>
  </sheetData>
  <mergeCells count="64">
    <mergeCell ref="O18:S18"/>
    <mergeCell ref="O14:Q14"/>
    <mergeCell ref="O15:Q15"/>
    <mergeCell ref="O16:Q16"/>
    <mergeCell ref="O10:Q10"/>
    <mergeCell ref="O11:Q11"/>
    <mergeCell ref="O12:Q12"/>
    <mergeCell ref="O13:S13"/>
    <mergeCell ref="O17:Q17"/>
    <mergeCell ref="B22:C22"/>
    <mergeCell ref="D22:E22"/>
    <mergeCell ref="F22:G22"/>
    <mergeCell ref="H22:I22"/>
    <mergeCell ref="J22:K22"/>
    <mergeCell ref="B20:G20"/>
    <mergeCell ref="H20:I20"/>
    <mergeCell ref="J20:K20"/>
    <mergeCell ref="B21:G21"/>
    <mergeCell ref="H21:I21"/>
    <mergeCell ref="J21:K21"/>
    <mergeCell ref="B18:G18"/>
    <mergeCell ref="H18:I18"/>
    <mergeCell ref="J18:K18"/>
    <mergeCell ref="B19:C19"/>
    <mergeCell ref="D19:E19"/>
    <mergeCell ref="F19:G19"/>
    <mergeCell ref="H19:I19"/>
    <mergeCell ref="J19:K19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O19:S19"/>
    <mergeCell ref="B3:D10"/>
    <mergeCell ref="I9:I10"/>
    <mergeCell ref="B1:L1"/>
    <mergeCell ref="O7:Q7"/>
    <mergeCell ref="O8:Q8"/>
    <mergeCell ref="B2:F2"/>
    <mergeCell ref="I2:L2"/>
    <mergeCell ref="N1:W1"/>
    <mergeCell ref="O2:Q2"/>
    <mergeCell ref="O3:Q3"/>
    <mergeCell ref="O4:Q4"/>
    <mergeCell ref="O5:Q5"/>
    <mergeCell ref="O6:Q6"/>
    <mergeCell ref="W3:W8"/>
    <mergeCell ref="O9:Q9"/>
  </mergeCells>
  <pageMargins left="0.25" right="0.25" top="0.75" bottom="0.75" header="0.3" footer="0.3"/>
  <pageSetup paperSize="9" scale="5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27"/>
  <sheetViews>
    <sheetView topLeftCell="D1" zoomScale="45" zoomScaleNormal="45" workbookViewId="0">
      <selection activeCell="M16" sqref="M16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34.200000000000003" customHeight="1" x14ac:dyDescent="0.35">
      <c r="B2" s="152" t="s">
        <v>8</v>
      </c>
      <c r="C2" s="153"/>
      <c r="D2" s="153"/>
      <c r="E2" s="153"/>
      <c r="F2" s="154"/>
      <c r="G2" s="13"/>
      <c r="H2" s="7"/>
      <c r="I2" s="152" t="s">
        <v>9</v>
      </c>
      <c r="J2" s="153"/>
      <c r="K2" s="153"/>
      <c r="L2" s="153"/>
      <c r="M2" s="2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4.20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K4*L4</f>
        <v>778</v>
      </c>
      <c r="S3" s="88">
        <v>0.80200000000000005</v>
      </c>
      <c r="T3" s="35">
        <f>S3*R3</f>
        <v>623.95600000000002</v>
      </c>
      <c r="U3" s="37">
        <v>130000</v>
      </c>
      <c r="V3" s="34">
        <f>U3*T3/1000</f>
        <v>81114.28</v>
      </c>
      <c r="W3" s="82"/>
    </row>
    <row r="4" spans="2:23" ht="34.200000000000003" customHeight="1" x14ac:dyDescent="0.35">
      <c r="B4" s="132"/>
      <c r="C4" s="133"/>
      <c r="D4" s="133"/>
      <c r="E4" s="3">
        <v>3370</v>
      </c>
      <c r="F4" s="3">
        <v>389</v>
      </c>
      <c r="G4" s="3">
        <v>1</v>
      </c>
      <c r="H4" s="6" t="s">
        <v>19</v>
      </c>
      <c r="I4" s="3" t="s">
        <v>11</v>
      </c>
      <c r="J4" s="6" t="s">
        <v>126</v>
      </c>
      <c r="K4" s="3">
        <f>F4</f>
        <v>389</v>
      </c>
      <c r="L4" s="3">
        <v>2</v>
      </c>
      <c r="N4" s="18">
        <f>N3+1</f>
        <v>2</v>
      </c>
      <c r="O4" s="124" t="s">
        <v>121</v>
      </c>
      <c r="P4" s="125"/>
      <c r="Q4" s="125"/>
      <c r="R4" s="37">
        <f>K5*L5</f>
        <v>6740</v>
      </c>
      <c r="S4" s="88">
        <v>0.80200000000000005</v>
      </c>
      <c r="T4" s="35">
        <f t="shared" ref="T4:T5" si="0">S4*R4</f>
        <v>5405.4800000000005</v>
      </c>
      <c r="U4" s="37">
        <v>130000</v>
      </c>
      <c r="V4" s="34">
        <f t="shared" ref="V4:V5" si="1">U4*T4/1000</f>
        <v>702712.40000000014</v>
      </c>
      <c r="W4" s="83"/>
    </row>
    <row r="5" spans="2:23" ht="34.20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6" t="s">
        <v>20</v>
      </c>
      <c r="I5" s="3" t="s">
        <v>10</v>
      </c>
      <c r="J5" s="6" t="s">
        <v>127</v>
      </c>
      <c r="K5" s="3">
        <f>E4</f>
        <v>3370</v>
      </c>
      <c r="L5" s="3">
        <v>2</v>
      </c>
      <c r="N5" s="18">
        <f t="shared" ref="N5:N15" si="2">N4+1</f>
        <v>3</v>
      </c>
      <c r="O5" s="124" t="s">
        <v>125</v>
      </c>
      <c r="P5" s="125"/>
      <c r="Q5" s="125"/>
      <c r="R5" s="37">
        <f>R3+R4</f>
        <v>7518</v>
      </c>
      <c r="S5" s="88">
        <v>0.27100000000000002</v>
      </c>
      <c r="T5" s="35">
        <f t="shared" si="0"/>
        <v>2037.3780000000002</v>
      </c>
      <c r="U5" s="37">
        <v>130000</v>
      </c>
      <c r="V5" s="34">
        <f t="shared" si="1"/>
        <v>264859.14</v>
      </c>
      <c r="W5" s="83"/>
    </row>
    <row r="6" spans="2:23" ht="34.200000000000003" customHeight="1" x14ac:dyDescent="0.35">
      <c r="B6" s="132"/>
      <c r="C6" s="133"/>
      <c r="D6" s="133"/>
      <c r="E6" s="61"/>
      <c r="F6" s="20">
        <f>F4*E4/1000</f>
        <v>1310.93</v>
      </c>
      <c r="G6" s="91">
        <f>SUM(T3:T5)</f>
        <v>8066.8140000000003</v>
      </c>
      <c r="H6" s="6" t="s">
        <v>21</v>
      </c>
      <c r="I6" s="3" t="s">
        <v>124</v>
      </c>
      <c r="J6" s="6" t="s">
        <v>128</v>
      </c>
      <c r="K6" s="3">
        <f>E4</f>
        <v>3370</v>
      </c>
      <c r="L6" s="3">
        <v>1</v>
      </c>
      <c r="N6" s="18">
        <f t="shared" si="2"/>
        <v>4</v>
      </c>
      <c r="O6" s="124" t="s">
        <v>79</v>
      </c>
      <c r="P6" s="125"/>
      <c r="Q6" s="126"/>
      <c r="R6" s="37"/>
      <c r="S6" s="32"/>
      <c r="T6" s="81"/>
      <c r="U6" s="58">
        <v>0.05</v>
      </c>
      <c r="V6" s="37">
        <f>SUM(V3:V5)*U6</f>
        <v>52434.291000000019</v>
      </c>
      <c r="W6" s="46"/>
    </row>
    <row r="7" spans="2:23" ht="34.200000000000003" customHeight="1" x14ac:dyDescent="0.35">
      <c r="B7" s="132"/>
      <c r="C7" s="133"/>
      <c r="D7" s="133"/>
      <c r="E7" s="61"/>
      <c r="F7" s="20"/>
      <c r="G7" s="91"/>
      <c r="H7" s="6" t="s">
        <v>21</v>
      </c>
      <c r="I7" s="172" t="s">
        <v>80</v>
      </c>
      <c r="J7" s="3" t="s">
        <v>6</v>
      </c>
      <c r="K7" s="3" t="s">
        <v>7</v>
      </c>
      <c r="L7" s="5" t="s">
        <v>2</v>
      </c>
      <c r="N7" s="18">
        <f t="shared" si="2"/>
        <v>5</v>
      </c>
      <c r="O7" s="124" t="s">
        <v>123</v>
      </c>
      <c r="P7" s="125"/>
      <c r="Q7" s="125"/>
      <c r="R7" s="32"/>
      <c r="S7" s="32"/>
      <c r="T7" s="36">
        <v>4</v>
      </c>
      <c r="U7" s="48">
        <v>4200</v>
      </c>
      <c r="V7" s="34">
        <f>U7*T7</f>
        <v>16800</v>
      </c>
      <c r="W7" s="29" t="s">
        <v>122</v>
      </c>
    </row>
    <row r="8" spans="2:23" ht="34.200000000000003" customHeight="1" x14ac:dyDescent="0.35">
      <c r="B8" s="134"/>
      <c r="C8" s="135"/>
      <c r="D8" s="135"/>
      <c r="E8" s="3"/>
      <c r="F8" s="3"/>
      <c r="G8" s="3"/>
      <c r="H8" s="6" t="s">
        <v>22</v>
      </c>
      <c r="I8" s="173"/>
      <c r="J8" s="3">
        <f>K4-75</f>
        <v>314</v>
      </c>
      <c r="K8" s="3">
        <f>K5-75</f>
        <v>3295</v>
      </c>
      <c r="L8" s="3">
        <f>G4</f>
        <v>1</v>
      </c>
      <c r="N8" s="18">
        <f t="shared" si="2"/>
        <v>6</v>
      </c>
      <c r="O8" s="124" t="s">
        <v>62</v>
      </c>
      <c r="P8" s="125"/>
      <c r="Q8" s="125"/>
      <c r="R8" s="32"/>
      <c r="S8" s="32"/>
      <c r="T8" s="36">
        <v>4</v>
      </c>
      <c r="U8" s="37">
        <v>100</v>
      </c>
      <c r="V8" s="34">
        <f t="shared" ref="V8" si="3">U8*T8</f>
        <v>400</v>
      </c>
      <c r="W8" s="29" t="s">
        <v>114</v>
      </c>
    </row>
    <row r="9" spans="2:23" ht="34.200000000000003" customHeight="1" x14ac:dyDescent="0.35">
      <c r="L9" s="1">
        <f>J8*K8</f>
        <v>1034630</v>
      </c>
      <c r="N9" s="18">
        <f t="shared" si="2"/>
        <v>7</v>
      </c>
      <c r="O9" s="138" t="s">
        <v>66</v>
      </c>
      <c r="P9" s="139"/>
      <c r="Q9" s="139"/>
      <c r="R9" s="139"/>
      <c r="S9" s="140"/>
      <c r="T9" s="38"/>
      <c r="U9" s="39"/>
      <c r="V9" s="40">
        <f>SUM(V3:V8)</f>
        <v>1118320.1110000003</v>
      </c>
      <c r="W9" s="18"/>
    </row>
    <row r="10" spans="2:23" ht="34.200000000000003" customHeight="1" x14ac:dyDescent="0.35">
      <c r="L10" s="118">
        <f>L9*220/1000</f>
        <v>227618.6</v>
      </c>
      <c r="N10" s="18">
        <f t="shared" si="2"/>
        <v>8</v>
      </c>
      <c r="O10" s="129" t="s">
        <v>52</v>
      </c>
      <c r="P10" s="129"/>
      <c r="Q10" s="129"/>
      <c r="R10" s="27" t="s">
        <v>53</v>
      </c>
      <c r="S10" s="33" t="s">
        <v>59</v>
      </c>
      <c r="T10" s="33"/>
      <c r="U10" s="27" t="s">
        <v>45</v>
      </c>
      <c r="V10" s="27" t="s">
        <v>46</v>
      </c>
      <c r="W10" s="2"/>
    </row>
    <row r="11" spans="2:23" ht="34.200000000000003" customHeight="1" x14ac:dyDescent="0.35">
      <c r="E11" s="4"/>
      <c r="G11" s="12"/>
      <c r="L11" s="23">
        <f>V15+V27+L10+L12</f>
        <v>1774468.2110000004</v>
      </c>
      <c r="N11" s="18">
        <f t="shared" si="2"/>
        <v>9</v>
      </c>
      <c r="O11" s="124" t="s">
        <v>48</v>
      </c>
      <c r="P11" s="125"/>
      <c r="Q11" s="125"/>
      <c r="R11" s="41">
        <f>R3+R4*2</f>
        <v>14258</v>
      </c>
      <c r="S11" s="2">
        <v>1</v>
      </c>
      <c r="T11" s="28"/>
      <c r="U11" s="41">
        <v>1000</v>
      </c>
      <c r="V11" s="41">
        <f>U11*R11*S11/1000</f>
        <v>14258</v>
      </c>
      <c r="W11" s="2"/>
    </row>
    <row r="12" spans="2:23" ht="34.200000000000003" customHeight="1" x14ac:dyDescent="0.35">
      <c r="E12" s="4"/>
      <c r="G12" s="12"/>
      <c r="L12" s="1">
        <f>F6*150</f>
        <v>196639.5</v>
      </c>
      <c r="N12" s="18">
        <f t="shared" si="2"/>
        <v>10</v>
      </c>
      <c r="O12" s="124" t="s">
        <v>69</v>
      </c>
      <c r="P12" s="125"/>
      <c r="Q12" s="126"/>
      <c r="R12" s="41"/>
      <c r="S12" s="61">
        <v>1</v>
      </c>
      <c r="T12" s="28"/>
      <c r="U12" s="41">
        <v>1000</v>
      </c>
      <c r="V12" s="41">
        <f t="shared" ref="V12:V13" si="4">U12*S12</f>
        <v>1000</v>
      </c>
      <c r="W12" s="29"/>
    </row>
    <row r="13" spans="2:23" ht="34.20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18">
        <f t="shared" si="2"/>
        <v>11</v>
      </c>
      <c r="O13" s="124" t="s">
        <v>71</v>
      </c>
      <c r="P13" s="125"/>
      <c r="Q13" s="126"/>
      <c r="R13" s="41"/>
      <c r="S13" s="2">
        <v>1</v>
      </c>
      <c r="T13" s="28"/>
      <c r="U13" s="41">
        <v>2000</v>
      </c>
      <c r="V13" s="41">
        <f t="shared" si="4"/>
        <v>2000</v>
      </c>
      <c r="W13" s="2"/>
    </row>
    <row r="14" spans="2:23" ht="34.20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f t="shared" si="2"/>
        <v>12</v>
      </c>
      <c r="O14" s="144" t="s">
        <v>70</v>
      </c>
      <c r="P14" s="144"/>
      <c r="Q14" s="144"/>
      <c r="R14" s="144"/>
      <c r="S14" s="144"/>
      <c r="T14" s="38"/>
      <c r="U14" s="39"/>
      <c r="V14" s="40">
        <f>SUM(V11:V13)</f>
        <v>17258</v>
      </c>
      <c r="W14" s="2"/>
    </row>
    <row r="15" spans="2:23" ht="34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15">
        <f t="shared" si="2"/>
        <v>13</v>
      </c>
      <c r="O15" s="145" t="s">
        <v>183</v>
      </c>
      <c r="P15" s="146"/>
      <c r="Q15" s="146"/>
      <c r="R15" s="146"/>
      <c r="S15" s="147"/>
      <c r="T15" s="116"/>
      <c r="U15" s="117"/>
      <c r="V15" s="118">
        <f>V9+V14</f>
        <v>1135578.1110000003</v>
      </c>
      <c r="W15" s="115"/>
    </row>
    <row r="16" spans="2:23" ht="34.200000000000003" customHeight="1" x14ac:dyDescent="0.4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M16" s="12"/>
      <c r="N16" s="128" t="s">
        <v>65</v>
      </c>
      <c r="O16" s="128"/>
      <c r="P16" s="128"/>
      <c r="Q16" s="128"/>
      <c r="R16" s="128"/>
      <c r="S16" s="128"/>
      <c r="T16" s="128"/>
      <c r="U16" s="128"/>
      <c r="V16" s="128"/>
      <c r="W16" s="128"/>
    </row>
    <row r="17" spans="2:23" ht="34.20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M17" s="12"/>
      <c r="N17" s="27" t="s">
        <v>14</v>
      </c>
      <c r="O17" s="129" t="s">
        <v>52</v>
      </c>
      <c r="P17" s="129"/>
      <c r="Q17" s="129"/>
      <c r="R17" s="27" t="s">
        <v>53</v>
      </c>
      <c r="S17" s="33" t="s">
        <v>63</v>
      </c>
      <c r="T17" s="33" t="s">
        <v>64</v>
      </c>
      <c r="U17" s="27" t="s">
        <v>45</v>
      </c>
      <c r="V17" s="27" t="s">
        <v>46</v>
      </c>
      <c r="W17" s="27" t="s">
        <v>39</v>
      </c>
    </row>
    <row r="18" spans="2:23" ht="34.20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M18" s="12"/>
      <c r="N18" s="18">
        <v>1</v>
      </c>
      <c r="O18" s="124" t="s">
        <v>167</v>
      </c>
      <c r="P18" s="125"/>
      <c r="Q18" s="125"/>
      <c r="R18" s="37">
        <v>1000</v>
      </c>
      <c r="S18" s="88">
        <v>0.98799999999999999</v>
      </c>
      <c r="T18" s="35">
        <f>S18*R18</f>
        <v>988</v>
      </c>
      <c r="U18" s="37">
        <v>128000</v>
      </c>
      <c r="V18" s="34">
        <f>U18*T18/1000</f>
        <v>126464</v>
      </c>
      <c r="W18" s="82"/>
    </row>
    <row r="19" spans="2:23" ht="34.20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M19" s="12"/>
      <c r="N19" s="18">
        <v>2</v>
      </c>
      <c r="O19" s="124" t="s">
        <v>125</v>
      </c>
      <c r="P19" s="125"/>
      <c r="Q19" s="125"/>
      <c r="R19" s="37">
        <f>R18*2</f>
        <v>2000</v>
      </c>
      <c r="S19" s="88">
        <v>0.27100000000000002</v>
      </c>
      <c r="T19" s="35">
        <f t="shared" ref="T19" si="5">S19*R19</f>
        <v>542</v>
      </c>
      <c r="U19" s="37">
        <v>128000</v>
      </c>
      <c r="V19" s="34">
        <f t="shared" ref="V19" si="6">U19*T19/1000</f>
        <v>69376</v>
      </c>
      <c r="W19" s="83"/>
    </row>
    <row r="20" spans="2:23" ht="34.20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M20" s="12"/>
      <c r="N20" s="18">
        <f t="shared" ref="N20:N27" si="7">N19+1</f>
        <v>3</v>
      </c>
      <c r="O20" s="124" t="s">
        <v>79</v>
      </c>
      <c r="P20" s="125"/>
      <c r="Q20" s="126"/>
      <c r="R20" s="37"/>
      <c r="S20" s="32"/>
      <c r="T20" s="81"/>
      <c r="U20" s="58">
        <v>0.05</v>
      </c>
      <c r="V20" s="37">
        <f>SUM(V18:V19)*U20</f>
        <v>9792</v>
      </c>
      <c r="W20" s="46"/>
    </row>
    <row r="21" spans="2:23" ht="34.20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M21" s="12"/>
      <c r="N21" s="18">
        <f t="shared" si="7"/>
        <v>4</v>
      </c>
      <c r="O21" s="138" t="s">
        <v>66</v>
      </c>
      <c r="P21" s="139"/>
      <c r="Q21" s="139"/>
      <c r="R21" s="139"/>
      <c r="S21" s="140"/>
      <c r="T21" s="38"/>
      <c r="U21" s="39"/>
      <c r="V21" s="40">
        <f>SUM(V18:V20)</f>
        <v>205632</v>
      </c>
      <c r="W21" s="18"/>
    </row>
    <row r="22" spans="2:23" ht="34.200000000000003" customHeight="1" x14ac:dyDescent="0.35">
      <c r="E22" s="4"/>
      <c r="G22" s="12"/>
      <c r="M22" s="12"/>
      <c r="N22" s="18">
        <f t="shared" si="7"/>
        <v>5</v>
      </c>
      <c r="O22" s="129" t="s">
        <v>52</v>
      </c>
      <c r="P22" s="129"/>
      <c r="Q22" s="129"/>
      <c r="R22" s="27" t="s">
        <v>53</v>
      </c>
      <c r="S22" s="33" t="s">
        <v>59</v>
      </c>
      <c r="T22" s="33"/>
      <c r="U22" s="27" t="s">
        <v>45</v>
      </c>
      <c r="V22" s="27" t="s">
        <v>46</v>
      </c>
      <c r="W22" s="2"/>
    </row>
    <row r="23" spans="2:23" ht="34.200000000000003" customHeight="1" x14ac:dyDescent="0.35">
      <c r="E23" s="4"/>
      <c r="G23" s="12"/>
      <c r="M23" s="12"/>
      <c r="N23" s="18">
        <f t="shared" si="7"/>
        <v>6</v>
      </c>
      <c r="O23" s="124" t="s">
        <v>48</v>
      </c>
      <c r="P23" s="125"/>
      <c r="Q23" s="125"/>
      <c r="R23" s="41">
        <f>R18*2+R19*2</f>
        <v>6000</v>
      </c>
      <c r="S23" s="2">
        <v>1</v>
      </c>
      <c r="T23" s="28"/>
      <c r="U23" s="41">
        <v>1000</v>
      </c>
      <c r="V23" s="41">
        <f>U23*R23*S23/1000</f>
        <v>6000</v>
      </c>
      <c r="W23" s="2"/>
    </row>
    <row r="24" spans="2:23" ht="34.200000000000003" customHeight="1" x14ac:dyDescent="0.35">
      <c r="E24" s="4"/>
      <c r="G24" s="12"/>
      <c r="N24" s="18">
        <f t="shared" si="7"/>
        <v>7</v>
      </c>
      <c r="O24" s="124" t="s">
        <v>69</v>
      </c>
      <c r="P24" s="125"/>
      <c r="Q24" s="126"/>
      <c r="R24" s="41"/>
      <c r="S24" s="61">
        <v>1</v>
      </c>
      <c r="T24" s="28"/>
      <c r="U24" s="41">
        <v>1000</v>
      </c>
      <c r="V24" s="41">
        <f t="shared" ref="V24:V25" si="8">U24*S24</f>
        <v>1000</v>
      </c>
      <c r="W24" s="29"/>
    </row>
    <row r="25" spans="2:23" ht="34.200000000000003" customHeight="1" x14ac:dyDescent="0.35">
      <c r="N25" s="18">
        <f t="shared" si="7"/>
        <v>8</v>
      </c>
      <c r="O25" s="124" t="s">
        <v>71</v>
      </c>
      <c r="P25" s="125"/>
      <c r="Q25" s="126"/>
      <c r="R25" s="41"/>
      <c r="S25" s="2">
        <v>1</v>
      </c>
      <c r="T25" s="28"/>
      <c r="U25" s="41">
        <v>2000</v>
      </c>
      <c r="V25" s="41">
        <f t="shared" si="8"/>
        <v>2000</v>
      </c>
      <c r="W25" s="2"/>
    </row>
    <row r="26" spans="2:23" ht="34.200000000000003" customHeight="1" x14ac:dyDescent="0.35">
      <c r="N26" s="18">
        <f t="shared" si="7"/>
        <v>9</v>
      </c>
      <c r="O26" s="144" t="s">
        <v>70</v>
      </c>
      <c r="P26" s="144"/>
      <c r="Q26" s="144"/>
      <c r="R26" s="144"/>
      <c r="S26" s="144"/>
      <c r="T26" s="38"/>
      <c r="U26" s="39"/>
      <c r="V26" s="40">
        <f>SUM(V23:V25)</f>
        <v>9000</v>
      </c>
      <c r="W26" s="2"/>
    </row>
    <row r="27" spans="2:23" ht="34.200000000000003" customHeight="1" x14ac:dyDescent="0.35">
      <c r="N27" s="115">
        <f t="shared" si="7"/>
        <v>10</v>
      </c>
      <c r="O27" s="145" t="s">
        <v>183</v>
      </c>
      <c r="P27" s="146"/>
      <c r="Q27" s="146"/>
      <c r="R27" s="146"/>
      <c r="S27" s="147"/>
      <c r="T27" s="116"/>
      <c r="U27" s="117"/>
      <c r="V27" s="118">
        <f>V21+V26</f>
        <v>214632</v>
      </c>
      <c r="W27" s="115"/>
    </row>
  </sheetData>
  <mergeCells count="71">
    <mergeCell ref="O24:Q24"/>
    <mergeCell ref="O25:Q25"/>
    <mergeCell ref="O26:S26"/>
    <mergeCell ref="O20:Q20"/>
    <mergeCell ref="O22:Q22"/>
    <mergeCell ref="O21:S21"/>
    <mergeCell ref="O23:Q23"/>
    <mergeCell ref="N16:W16"/>
    <mergeCell ref="O17:Q17"/>
    <mergeCell ref="O18:Q18"/>
    <mergeCell ref="O19:Q19"/>
    <mergeCell ref="O5:Q5"/>
    <mergeCell ref="O6:Q6"/>
    <mergeCell ref="O11:Q11"/>
    <mergeCell ref="O7:Q7"/>
    <mergeCell ref="O8:Q8"/>
    <mergeCell ref="O9:S9"/>
    <mergeCell ref="O10:Q10"/>
    <mergeCell ref="O12:Q12"/>
    <mergeCell ref="O13:Q13"/>
    <mergeCell ref="B1:L1"/>
    <mergeCell ref="N1:W1"/>
    <mergeCell ref="B2:F2"/>
    <mergeCell ref="I2:L2"/>
    <mergeCell ref="O2:Q2"/>
    <mergeCell ref="I7:I8"/>
    <mergeCell ref="B3:D8"/>
    <mergeCell ref="O3:Q3"/>
    <mergeCell ref="O4:Q4"/>
    <mergeCell ref="B14:C14"/>
    <mergeCell ref="D14:E14"/>
    <mergeCell ref="F14:G14"/>
    <mergeCell ref="H14:I14"/>
    <mergeCell ref="J14:K14"/>
    <mergeCell ref="O14:S14"/>
    <mergeCell ref="B13:C13"/>
    <mergeCell ref="D13:E13"/>
    <mergeCell ref="F13:G13"/>
    <mergeCell ref="H13:I13"/>
    <mergeCell ref="J13:K13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5:K15"/>
    <mergeCell ref="B18:C18"/>
    <mergeCell ref="D18:E18"/>
    <mergeCell ref="F18:G18"/>
    <mergeCell ref="H18:I18"/>
    <mergeCell ref="J18:K18"/>
    <mergeCell ref="O27:S27"/>
    <mergeCell ref="O15:S15"/>
    <mergeCell ref="B21:C21"/>
    <mergeCell ref="D21:E21"/>
    <mergeCell ref="F21:G21"/>
    <mergeCell ref="H21:I21"/>
    <mergeCell ref="J21:K21"/>
    <mergeCell ref="B20:G20"/>
    <mergeCell ref="H20:I20"/>
    <mergeCell ref="J20:K20"/>
    <mergeCell ref="B17:G17"/>
    <mergeCell ref="H17:I17"/>
    <mergeCell ref="J17:K17"/>
    <mergeCell ref="B19:G19"/>
    <mergeCell ref="H19:I19"/>
    <mergeCell ref="J19:K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23"/>
  <sheetViews>
    <sheetView zoomScale="46" zoomScaleNormal="46" workbookViewId="0">
      <selection activeCell="N12" sqref="N12:W12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34.200000000000003" customHeight="1" x14ac:dyDescent="0.35">
      <c r="B2" s="152" t="s">
        <v>8</v>
      </c>
      <c r="C2" s="153"/>
      <c r="D2" s="153"/>
      <c r="E2" s="153"/>
      <c r="F2" s="154"/>
      <c r="G2" s="13"/>
      <c r="H2" s="7"/>
      <c r="I2" s="152" t="s">
        <v>9</v>
      </c>
      <c r="J2" s="153"/>
      <c r="K2" s="153"/>
      <c r="L2" s="153"/>
      <c r="M2" s="2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4.20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K4*L4</f>
        <v>2000</v>
      </c>
      <c r="S3" s="88">
        <v>0.28999999999999998</v>
      </c>
      <c r="T3" s="35">
        <f>S3*R3</f>
        <v>580</v>
      </c>
      <c r="U3" s="37">
        <v>133000</v>
      </c>
      <c r="V3" s="34">
        <f>U3*T3/1000</f>
        <v>77140</v>
      </c>
      <c r="W3" s="82"/>
    </row>
    <row r="4" spans="2:23" ht="34.200000000000003" customHeight="1" x14ac:dyDescent="0.35">
      <c r="B4" s="132"/>
      <c r="C4" s="133"/>
      <c r="D4" s="133"/>
      <c r="E4" s="3">
        <v>1000</v>
      </c>
      <c r="F4" s="3">
        <v>1000</v>
      </c>
      <c r="G4" s="3">
        <v>1</v>
      </c>
      <c r="H4" s="6" t="s">
        <v>19</v>
      </c>
      <c r="I4" s="3" t="s">
        <v>129</v>
      </c>
      <c r="J4" s="6" t="s">
        <v>133</v>
      </c>
      <c r="K4" s="3">
        <f>E4</f>
        <v>1000</v>
      </c>
      <c r="L4" s="3">
        <v>2</v>
      </c>
      <c r="N4" s="18">
        <f>N3+1</f>
        <v>2</v>
      </c>
      <c r="O4" s="124" t="s">
        <v>132</v>
      </c>
      <c r="P4" s="125"/>
      <c r="Q4" s="125"/>
      <c r="R4" s="37">
        <f>K5*L5</f>
        <v>2000</v>
      </c>
      <c r="S4" s="88">
        <v>0.28999999999999998</v>
      </c>
      <c r="T4" s="35">
        <f t="shared" ref="T4" si="0">S4*R4</f>
        <v>580</v>
      </c>
      <c r="U4" s="37">
        <v>133000</v>
      </c>
      <c r="V4" s="34">
        <f t="shared" ref="V4:V5" si="1">U4*T4/1000</f>
        <v>77140</v>
      </c>
      <c r="W4" s="83"/>
    </row>
    <row r="5" spans="2:23" ht="34.20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6" t="s">
        <v>20</v>
      </c>
      <c r="I5" s="3" t="s">
        <v>130</v>
      </c>
      <c r="J5" s="6" t="s">
        <v>133</v>
      </c>
      <c r="K5" s="3">
        <f>F4</f>
        <v>1000</v>
      </c>
      <c r="L5" s="3">
        <v>2</v>
      </c>
      <c r="N5" s="18">
        <f t="shared" ref="N5:N7" si="2">N4+1</f>
        <v>3</v>
      </c>
      <c r="O5" s="124" t="s">
        <v>131</v>
      </c>
      <c r="P5" s="125"/>
      <c r="Q5" s="125"/>
      <c r="R5" s="37">
        <f>K6*L6</f>
        <v>19800</v>
      </c>
      <c r="S5" s="88">
        <v>0.317</v>
      </c>
      <c r="T5" s="35">
        <f>S5*R5</f>
        <v>6276.6</v>
      </c>
      <c r="U5" s="37">
        <v>133000</v>
      </c>
      <c r="V5" s="34">
        <f t="shared" si="1"/>
        <v>834787.8</v>
      </c>
      <c r="W5" s="83"/>
    </row>
    <row r="6" spans="2:23" ht="34.200000000000003" customHeight="1" x14ac:dyDescent="0.35">
      <c r="B6" s="134"/>
      <c r="C6" s="135"/>
      <c r="D6" s="135"/>
      <c r="E6" s="61"/>
      <c r="F6" s="20">
        <f>F4*E4/1000</f>
        <v>1000</v>
      </c>
      <c r="G6" s="91">
        <f>SUM(T3:T5)</f>
        <v>7436.6</v>
      </c>
      <c r="H6" s="6" t="s">
        <v>21</v>
      </c>
      <c r="I6" s="3" t="s">
        <v>131</v>
      </c>
      <c r="J6" s="6" t="s">
        <v>134</v>
      </c>
      <c r="K6" s="3">
        <f>E4-10</f>
        <v>990</v>
      </c>
      <c r="L6" s="3">
        <f>F4/50</f>
        <v>20</v>
      </c>
      <c r="N6" s="18">
        <f t="shared" si="2"/>
        <v>4</v>
      </c>
      <c r="O6" s="124" t="s">
        <v>79</v>
      </c>
      <c r="P6" s="125"/>
      <c r="Q6" s="126"/>
      <c r="R6" s="37"/>
      <c r="S6" s="32"/>
      <c r="T6" s="81"/>
      <c r="U6" s="58">
        <v>0.05</v>
      </c>
      <c r="V6" s="37">
        <f>SUM(V3:V5)*U6</f>
        <v>49453.390000000007</v>
      </c>
      <c r="W6" s="46"/>
    </row>
    <row r="7" spans="2:23" ht="34.200000000000003" customHeight="1" x14ac:dyDescent="0.35">
      <c r="N7" s="18">
        <f t="shared" si="2"/>
        <v>5</v>
      </c>
      <c r="O7" s="138" t="s">
        <v>66</v>
      </c>
      <c r="P7" s="139"/>
      <c r="Q7" s="139"/>
      <c r="R7" s="139"/>
      <c r="S7" s="140"/>
      <c r="T7" s="38"/>
      <c r="U7" s="39"/>
      <c r="V7" s="40">
        <f>SUM(V3:V6)</f>
        <v>1038521.1900000001</v>
      </c>
      <c r="W7" s="18"/>
    </row>
    <row r="8" spans="2:23" ht="34.200000000000003" customHeight="1" x14ac:dyDescent="0.35">
      <c r="E8" s="4"/>
      <c r="G8" s="12"/>
      <c r="N8" s="27" t="s">
        <v>14</v>
      </c>
      <c r="O8" s="129" t="s">
        <v>52</v>
      </c>
      <c r="P8" s="129"/>
      <c r="Q8" s="129"/>
      <c r="R8" s="27" t="s">
        <v>53</v>
      </c>
      <c r="S8" s="33" t="s">
        <v>59</v>
      </c>
      <c r="T8" s="33"/>
      <c r="U8" s="27" t="s">
        <v>45</v>
      </c>
      <c r="V8" s="27" t="s">
        <v>46</v>
      </c>
      <c r="W8" s="2"/>
    </row>
    <row r="9" spans="2:23" ht="34.200000000000003" customHeight="1" x14ac:dyDescent="0.35">
      <c r="E9" s="4"/>
      <c r="G9" s="12"/>
      <c r="N9" s="18">
        <v>1</v>
      </c>
      <c r="O9" s="124" t="s">
        <v>69</v>
      </c>
      <c r="P9" s="125"/>
      <c r="Q9" s="126"/>
      <c r="R9" s="41"/>
      <c r="S9" s="61">
        <v>10</v>
      </c>
      <c r="T9" s="28"/>
      <c r="U9" s="41">
        <v>1000</v>
      </c>
      <c r="V9" s="41">
        <f t="shared" ref="V9:V10" si="3">U9*S9</f>
        <v>10000</v>
      </c>
      <c r="W9" s="29"/>
    </row>
    <row r="10" spans="2:23" ht="34.200000000000003" customHeight="1" x14ac:dyDescent="0.35"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N10" s="18">
        <f t="shared" ref="N10:N12" si="4">N9+1</f>
        <v>2</v>
      </c>
      <c r="O10" s="124" t="s">
        <v>71</v>
      </c>
      <c r="P10" s="125"/>
      <c r="Q10" s="126"/>
      <c r="R10" s="41"/>
      <c r="S10" s="2">
        <v>1</v>
      </c>
      <c r="T10" s="28"/>
      <c r="U10" s="41">
        <v>2000</v>
      </c>
      <c r="V10" s="41">
        <f t="shared" si="3"/>
        <v>2000</v>
      </c>
      <c r="W10" s="2"/>
    </row>
    <row r="11" spans="2:23" ht="34.200000000000003" customHeight="1" x14ac:dyDescent="0.35">
      <c r="B11" s="127"/>
      <c r="C11" s="127"/>
      <c r="D11" s="141"/>
      <c r="E11" s="141"/>
      <c r="F11" s="141"/>
      <c r="G11" s="141"/>
      <c r="H11" s="141"/>
      <c r="I11" s="141"/>
      <c r="J11" s="127"/>
      <c r="K11" s="127"/>
      <c r="N11" s="18">
        <f t="shared" si="4"/>
        <v>3</v>
      </c>
      <c r="O11" s="144" t="s">
        <v>70</v>
      </c>
      <c r="P11" s="144"/>
      <c r="Q11" s="144"/>
      <c r="R11" s="144"/>
      <c r="S11" s="144"/>
      <c r="T11" s="38"/>
      <c r="U11" s="39"/>
      <c r="V11" s="40">
        <f>SUM(V9:V10)</f>
        <v>12000</v>
      </c>
      <c r="W11" s="2"/>
    </row>
    <row r="12" spans="2:23" ht="34.200000000000003" customHeight="1" x14ac:dyDescent="0.35">
      <c r="B12" s="127"/>
      <c r="C12" s="127"/>
      <c r="D12" s="141"/>
      <c r="E12" s="141"/>
      <c r="F12" s="141"/>
      <c r="G12" s="141"/>
      <c r="H12" s="141"/>
      <c r="I12" s="141"/>
      <c r="J12" s="127"/>
      <c r="K12" s="127"/>
      <c r="N12" s="115">
        <f t="shared" si="4"/>
        <v>4</v>
      </c>
      <c r="O12" s="145" t="s">
        <v>183</v>
      </c>
      <c r="P12" s="146"/>
      <c r="Q12" s="146"/>
      <c r="R12" s="146"/>
      <c r="S12" s="147"/>
      <c r="T12" s="116"/>
      <c r="U12" s="117"/>
      <c r="V12" s="118">
        <f>V7+V11</f>
        <v>1050521.19</v>
      </c>
      <c r="W12" s="115"/>
    </row>
    <row r="13" spans="2:23" ht="34.200000000000003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</row>
    <row r="14" spans="2:23" ht="34.200000000000003" customHeight="1" x14ac:dyDescent="0.35">
      <c r="B14" s="127"/>
      <c r="C14" s="127"/>
      <c r="D14" s="127"/>
      <c r="E14" s="127"/>
      <c r="F14" s="127"/>
      <c r="G14" s="127"/>
      <c r="H14" s="141"/>
      <c r="I14" s="141"/>
      <c r="J14" s="127"/>
      <c r="K14" s="127"/>
    </row>
    <row r="15" spans="2:23" ht="34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</row>
    <row r="16" spans="2:23" ht="34.200000000000003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M16" s="12"/>
    </row>
    <row r="17" spans="2:13" ht="34.200000000000003" customHeight="1" x14ac:dyDescent="0.35">
      <c r="B17" s="127"/>
      <c r="C17" s="127"/>
      <c r="D17" s="127"/>
      <c r="E17" s="127"/>
      <c r="F17" s="127"/>
      <c r="G17" s="127"/>
      <c r="H17" s="148"/>
      <c r="I17" s="148"/>
      <c r="J17" s="127"/>
      <c r="K17" s="127"/>
      <c r="M17" s="12"/>
    </row>
    <row r="18" spans="2:13" ht="34.200000000000003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M18" s="12"/>
    </row>
    <row r="19" spans="2:13" ht="34.200000000000003" customHeight="1" x14ac:dyDescent="0.35">
      <c r="E19" s="4"/>
      <c r="G19" s="12"/>
      <c r="M19" s="12"/>
    </row>
    <row r="20" spans="2:13" ht="34.200000000000003" customHeight="1" x14ac:dyDescent="0.35">
      <c r="E20" s="4"/>
      <c r="G20" s="12"/>
      <c r="M20" s="12"/>
    </row>
    <row r="21" spans="2:13" ht="34.200000000000003" customHeight="1" x14ac:dyDescent="0.35">
      <c r="E21" s="4"/>
      <c r="G21" s="12"/>
      <c r="M21" s="12"/>
    </row>
    <row r="22" spans="2:13" ht="34.200000000000003" customHeight="1" x14ac:dyDescent="0.35">
      <c r="M22" s="12"/>
    </row>
    <row r="23" spans="2:13" ht="34.200000000000003" customHeight="1" x14ac:dyDescent="0.35">
      <c r="M23" s="12"/>
    </row>
  </sheetData>
  <mergeCells count="55">
    <mergeCell ref="O3:Q3"/>
    <mergeCell ref="O4:Q4"/>
    <mergeCell ref="O5:Q5"/>
    <mergeCell ref="O6:Q6"/>
    <mergeCell ref="B1:L1"/>
    <mergeCell ref="N1:W1"/>
    <mergeCell ref="B2:F2"/>
    <mergeCell ref="I2:L2"/>
    <mergeCell ref="O2:Q2"/>
    <mergeCell ref="B3:D6"/>
    <mergeCell ref="O7:S7"/>
    <mergeCell ref="B10:C10"/>
    <mergeCell ref="D10:E10"/>
    <mergeCell ref="F10:G10"/>
    <mergeCell ref="H10:I10"/>
    <mergeCell ref="J10:K10"/>
    <mergeCell ref="O8:Q8"/>
    <mergeCell ref="O9:Q9"/>
    <mergeCell ref="O10:Q10"/>
    <mergeCell ref="B11:C11"/>
    <mergeCell ref="D11:E11"/>
    <mergeCell ref="F11:G11"/>
    <mergeCell ref="H11:I11"/>
    <mergeCell ref="J11:K11"/>
    <mergeCell ref="O11:S11"/>
    <mergeCell ref="B15:C15"/>
    <mergeCell ref="D15:E15"/>
    <mergeCell ref="F15:G15"/>
    <mergeCell ref="H15:I15"/>
    <mergeCell ref="J15:K15"/>
    <mergeCell ref="B13:C13"/>
    <mergeCell ref="D13:E13"/>
    <mergeCell ref="F13:G13"/>
    <mergeCell ref="H13:I13"/>
    <mergeCell ref="J13:K13"/>
    <mergeCell ref="B14:G14"/>
    <mergeCell ref="H14:I14"/>
    <mergeCell ref="J14:K14"/>
    <mergeCell ref="B12:C12"/>
    <mergeCell ref="D12:E12"/>
    <mergeCell ref="O12:S12"/>
    <mergeCell ref="B18:C18"/>
    <mergeCell ref="D18:E18"/>
    <mergeCell ref="F18:G18"/>
    <mergeCell ref="H18:I18"/>
    <mergeCell ref="J18:K18"/>
    <mergeCell ref="B16:G16"/>
    <mergeCell ref="H16:I16"/>
    <mergeCell ref="J16:K16"/>
    <mergeCell ref="B17:G17"/>
    <mergeCell ref="H17:I17"/>
    <mergeCell ref="J17:K17"/>
    <mergeCell ref="F12:G12"/>
    <mergeCell ref="H12:I12"/>
    <mergeCell ref="J12:K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Y78"/>
  <sheetViews>
    <sheetView topLeftCell="E1" zoomScale="49" zoomScaleNormal="49" workbookViewId="0">
      <selection activeCell="P16" sqref="P16:Y16"/>
    </sheetView>
  </sheetViews>
  <sheetFormatPr defaultColWidth="17" defaultRowHeight="19.2" x14ac:dyDescent="0.35"/>
  <cols>
    <col min="1" max="24" width="17" style="1"/>
    <col min="25" max="25" width="35.21875" style="1" customWidth="1"/>
    <col min="26" max="16384" width="17" style="1"/>
  </cols>
  <sheetData>
    <row r="1" spans="2:25" ht="31.2" customHeight="1" x14ac:dyDescent="0.45">
      <c r="B1" s="182"/>
      <c r="C1" s="182"/>
      <c r="D1" s="182"/>
      <c r="E1" s="182"/>
      <c r="F1" s="182"/>
      <c r="G1" s="182"/>
      <c r="H1" s="182"/>
      <c r="I1" s="183"/>
      <c r="J1" s="183"/>
      <c r="K1" s="183"/>
      <c r="L1" s="183"/>
      <c r="P1" s="128" t="s">
        <v>65</v>
      </c>
      <c r="Q1" s="128"/>
      <c r="R1" s="128"/>
      <c r="S1" s="128"/>
      <c r="T1" s="128"/>
      <c r="U1" s="128"/>
      <c r="V1" s="128"/>
      <c r="W1" s="128"/>
      <c r="X1" s="128"/>
      <c r="Y1" s="128"/>
    </row>
    <row r="2" spans="2:25" ht="59.4" customHeight="1" x14ac:dyDescent="0.35">
      <c r="B2" s="152" t="s">
        <v>169</v>
      </c>
      <c r="C2" s="153"/>
      <c r="D2" s="153"/>
      <c r="E2" s="153"/>
      <c r="F2" s="154"/>
      <c r="G2" s="8"/>
      <c r="H2" s="7"/>
      <c r="I2" s="152" t="s">
        <v>9</v>
      </c>
      <c r="J2" s="153"/>
      <c r="K2" s="153"/>
      <c r="L2" s="153"/>
      <c r="M2" s="153"/>
      <c r="N2" s="154"/>
      <c r="P2" s="27" t="s">
        <v>14</v>
      </c>
      <c r="Q2" s="129" t="s">
        <v>52</v>
      </c>
      <c r="R2" s="129"/>
      <c r="S2" s="129"/>
      <c r="T2" s="27" t="s">
        <v>53</v>
      </c>
      <c r="U2" s="33" t="s">
        <v>63</v>
      </c>
      <c r="V2" s="33" t="s">
        <v>64</v>
      </c>
      <c r="W2" s="27" t="s">
        <v>45</v>
      </c>
      <c r="X2" s="27" t="s">
        <v>46</v>
      </c>
      <c r="Y2" s="27" t="s">
        <v>39</v>
      </c>
    </row>
    <row r="3" spans="2:25" ht="31.2" customHeight="1" x14ac:dyDescent="0.35">
      <c r="B3" s="97"/>
      <c r="C3" s="98"/>
      <c r="D3" s="99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M3" s="185" t="s">
        <v>39</v>
      </c>
      <c r="N3" s="186"/>
      <c r="P3" s="18">
        <v>1</v>
      </c>
      <c r="Q3" s="124" t="s">
        <v>99</v>
      </c>
      <c r="R3" s="125"/>
      <c r="S3" s="125"/>
      <c r="T3" s="37">
        <f>K5*L5</f>
        <v>3890</v>
      </c>
      <c r="U3" s="32">
        <v>1.853</v>
      </c>
      <c r="V3" s="89">
        <f>U3*T3</f>
        <v>7208.17</v>
      </c>
      <c r="W3" s="37">
        <v>133000</v>
      </c>
      <c r="X3" s="34">
        <f>W3*V3/1000</f>
        <v>958686.61</v>
      </c>
      <c r="Y3" s="177"/>
    </row>
    <row r="4" spans="2:25" ht="31.2" customHeight="1" x14ac:dyDescent="0.35">
      <c r="B4" s="100"/>
      <c r="D4" s="101"/>
      <c r="E4" s="3">
        <v>800</v>
      </c>
      <c r="F4" s="3">
        <v>2000</v>
      </c>
      <c r="G4" s="3">
        <v>1</v>
      </c>
      <c r="H4" s="6" t="s">
        <v>19</v>
      </c>
      <c r="I4" s="3" t="s">
        <v>29</v>
      </c>
      <c r="J4" s="6" t="s">
        <v>141</v>
      </c>
      <c r="K4" s="3">
        <f>E4</f>
        <v>800</v>
      </c>
      <c r="L4" s="3">
        <f>G4*1</f>
        <v>1</v>
      </c>
      <c r="M4" s="188" t="s">
        <v>168</v>
      </c>
      <c r="N4" s="189"/>
      <c r="P4" s="18">
        <f>P3+1</f>
        <v>2</v>
      </c>
      <c r="Q4" s="124" t="s">
        <v>100</v>
      </c>
      <c r="R4" s="125"/>
      <c r="S4" s="125"/>
      <c r="T4" s="37">
        <f>K4*L4</f>
        <v>800</v>
      </c>
      <c r="U4" s="32">
        <v>1.853</v>
      </c>
      <c r="V4" s="89">
        <f t="shared" ref="V4:V7" si="0">U4*T4</f>
        <v>1482.4</v>
      </c>
      <c r="W4" s="37">
        <v>133000</v>
      </c>
      <c r="X4" s="34">
        <f t="shared" ref="X4:X7" si="1">W4*V4/1000</f>
        <v>197159.2</v>
      </c>
      <c r="Y4" s="187"/>
    </row>
    <row r="5" spans="2:25" ht="31.2" customHeight="1" x14ac:dyDescent="0.35">
      <c r="B5" s="100"/>
      <c r="D5" s="101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">
        <v>142</v>
      </c>
      <c r="K5" s="3">
        <f>F4-55</f>
        <v>1945</v>
      </c>
      <c r="L5" s="3">
        <v>2</v>
      </c>
      <c r="M5" s="190"/>
      <c r="N5" s="191"/>
      <c r="P5" s="18">
        <f t="shared" ref="P5:P10" si="2">P4+1</f>
        <v>3</v>
      </c>
      <c r="Q5" s="124" t="s">
        <v>147</v>
      </c>
      <c r="R5" s="125"/>
      <c r="S5" s="125"/>
      <c r="T5" s="37">
        <f>K6*L6</f>
        <v>3858</v>
      </c>
      <c r="U5" s="32">
        <v>2.5979999999999999</v>
      </c>
      <c r="V5" s="89">
        <f t="shared" si="0"/>
        <v>10023.083999999999</v>
      </c>
      <c r="W5" s="37">
        <v>133000</v>
      </c>
      <c r="X5" s="34">
        <f t="shared" si="1"/>
        <v>1333070.1719999998</v>
      </c>
      <c r="Y5" s="187"/>
    </row>
    <row r="6" spans="2:25" ht="31.2" customHeight="1" x14ac:dyDescent="0.35">
      <c r="B6" s="100"/>
      <c r="D6" s="101"/>
      <c r="E6" s="61"/>
      <c r="F6" s="20">
        <f>F4*E4/1000</f>
        <v>1600</v>
      </c>
      <c r="G6" s="91">
        <f>SUM(V3:V7)</f>
        <v>25995.835999999996</v>
      </c>
      <c r="H6" s="6" t="s">
        <v>21</v>
      </c>
      <c r="I6" s="3" t="s">
        <v>140</v>
      </c>
      <c r="J6" s="6" t="s">
        <v>143</v>
      </c>
      <c r="K6" s="3">
        <f>F4-55-16</f>
        <v>1929</v>
      </c>
      <c r="L6" s="3">
        <v>2</v>
      </c>
      <c r="M6" s="2"/>
      <c r="N6" s="2"/>
      <c r="P6" s="18">
        <f t="shared" si="2"/>
        <v>4</v>
      </c>
      <c r="Q6" s="124" t="s">
        <v>148</v>
      </c>
      <c r="R6" s="125"/>
      <c r="S6" s="125"/>
      <c r="T6" s="37">
        <f>K7*L7</f>
        <v>1356</v>
      </c>
      <c r="U6" s="32">
        <v>2.5979999999999999</v>
      </c>
      <c r="V6" s="89">
        <f t="shared" si="0"/>
        <v>3522.8879999999999</v>
      </c>
      <c r="W6" s="37">
        <v>133000</v>
      </c>
      <c r="X6" s="34">
        <f t="shared" si="1"/>
        <v>468544.10399999999</v>
      </c>
      <c r="Y6" s="187"/>
    </row>
    <row r="7" spans="2:25" ht="31.2" customHeight="1" x14ac:dyDescent="0.35">
      <c r="B7" s="100"/>
      <c r="D7" s="101"/>
      <c r="E7" s="2"/>
      <c r="F7" s="2"/>
      <c r="G7" s="2"/>
      <c r="H7" s="6" t="s">
        <v>22</v>
      </c>
      <c r="I7" s="3" t="s">
        <v>139</v>
      </c>
      <c r="J7" s="6" t="s">
        <v>144</v>
      </c>
      <c r="K7" s="3">
        <f>E4-122</f>
        <v>678</v>
      </c>
      <c r="L7" s="3">
        <v>2</v>
      </c>
      <c r="M7" s="2"/>
      <c r="N7" s="2"/>
      <c r="P7" s="18">
        <f t="shared" si="2"/>
        <v>5</v>
      </c>
      <c r="Q7" s="124" t="s">
        <v>146</v>
      </c>
      <c r="R7" s="125"/>
      <c r="S7" s="125"/>
      <c r="T7" s="37">
        <f>T5+T6</f>
        <v>5214</v>
      </c>
      <c r="U7" s="32">
        <v>0.72099999999999997</v>
      </c>
      <c r="V7" s="89">
        <f t="shared" si="0"/>
        <v>3759.2939999999999</v>
      </c>
      <c r="W7" s="37">
        <v>133000</v>
      </c>
      <c r="X7" s="34">
        <f t="shared" si="1"/>
        <v>499986.10200000001</v>
      </c>
      <c r="Y7" s="187"/>
    </row>
    <row r="8" spans="2:25" ht="31.2" customHeight="1" x14ac:dyDescent="0.35">
      <c r="B8" s="100"/>
      <c r="D8" s="101"/>
      <c r="E8" s="3"/>
      <c r="F8" s="3"/>
      <c r="G8" s="3"/>
      <c r="H8" s="3"/>
      <c r="I8" s="150" t="s">
        <v>80</v>
      </c>
      <c r="J8" s="3" t="s">
        <v>6</v>
      </c>
      <c r="K8" s="3" t="s">
        <v>7</v>
      </c>
      <c r="L8" s="5" t="s">
        <v>2</v>
      </c>
      <c r="M8" s="2"/>
      <c r="N8" s="2"/>
      <c r="P8" s="18">
        <f t="shared" si="2"/>
        <v>6</v>
      </c>
      <c r="Q8" s="124" t="s">
        <v>79</v>
      </c>
      <c r="R8" s="125"/>
      <c r="S8" s="126"/>
      <c r="T8" s="37"/>
      <c r="U8" s="32"/>
      <c r="V8" s="81"/>
      <c r="W8" s="58">
        <v>0.05</v>
      </c>
      <c r="X8" s="37">
        <f>SUM(X3:X7)*W8</f>
        <v>172872.3094</v>
      </c>
      <c r="Y8" s="46"/>
    </row>
    <row r="9" spans="2:25" ht="31.2" customHeight="1" x14ac:dyDescent="0.35">
      <c r="B9" s="102"/>
      <c r="C9" s="80"/>
      <c r="D9" s="103"/>
      <c r="E9" s="3"/>
      <c r="F9" s="3"/>
      <c r="G9" s="3"/>
      <c r="H9" s="3"/>
      <c r="I9" s="151"/>
      <c r="J9" s="3">
        <f>K7-254</f>
        <v>424</v>
      </c>
      <c r="K9" s="3">
        <f>K6-254</f>
        <v>1675</v>
      </c>
      <c r="L9" s="3">
        <v>1</v>
      </c>
      <c r="M9" s="2"/>
      <c r="N9" s="2"/>
      <c r="P9" s="18">
        <f>P8+1</f>
        <v>7</v>
      </c>
      <c r="Q9" s="124" t="s">
        <v>149</v>
      </c>
      <c r="R9" s="125"/>
      <c r="S9" s="125"/>
      <c r="T9" s="32"/>
      <c r="U9" s="32"/>
      <c r="V9" s="36">
        <v>8</v>
      </c>
      <c r="W9" s="37">
        <v>15000</v>
      </c>
      <c r="X9" s="34">
        <f>W9*V9</f>
        <v>120000</v>
      </c>
      <c r="Y9" s="18"/>
    </row>
    <row r="10" spans="2:25" ht="31.2" customHeight="1" x14ac:dyDescent="0.35">
      <c r="P10" s="18">
        <f t="shared" si="2"/>
        <v>8</v>
      </c>
      <c r="Q10" s="138" t="s">
        <v>66</v>
      </c>
      <c r="R10" s="139"/>
      <c r="S10" s="139"/>
      <c r="T10" s="139"/>
      <c r="U10" s="140"/>
      <c r="V10" s="38"/>
      <c r="W10" s="39"/>
      <c r="X10" s="40">
        <f>SUM(X3:X9)</f>
        <v>3750318.4973999998</v>
      </c>
      <c r="Y10" s="18"/>
    </row>
    <row r="11" spans="2:25" ht="31.2" customHeight="1" x14ac:dyDescent="0.35">
      <c r="P11" s="27" t="s">
        <v>14</v>
      </c>
      <c r="Q11" s="129" t="s">
        <v>52</v>
      </c>
      <c r="R11" s="129"/>
      <c r="S11" s="129"/>
      <c r="T11" s="27" t="s">
        <v>53</v>
      </c>
      <c r="U11" s="33" t="s">
        <v>59</v>
      </c>
      <c r="V11" s="33"/>
      <c r="W11" s="27" t="s">
        <v>45</v>
      </c>
      <c r="X11" s="27" t="s">
        <v>46</v>
      </c>
      <c r="Y11" s="29"/>
    </row>
    <row r="12" spans="2:25" ht="31.2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P12" s="18">
        <v>1</v>
      </c>
      <c r="Q12" s="124" t="s">
        <v>96</v>
      </c>
      <c r="R12" s="125"/>
      <c r="S12" s="125"/>
      <c r="T12" s="41">
        <f>T5+T6*2</f>
        <v>6570</v>
      </c>
      <c r="U12" s="2">
        <v>1</v>
      </c>
      <c r="V12" s="28"/>
      <c r="W12" s="41">
        <v>1000</v>
      </c>
      <c r="X12" s="41">
        <f>W12*T12*U12/1000</f>
        <v>6570</v>
      </c>
      <c r="Y12" s="29"/>
    </row>
    <row r="13" spans="2:25" ht="31.2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P13" s="18">
        <v>2</v>
      </c>
      <c r="Q13" s="124" t="s">
        <v>69</v>
      </c>
      <c r="R13" s="125"/>
      <c r="S13" s="126"/>
      <c r="T13" s="41"/>
      <c r="U13" s="61">
        <v>1</v>
      </c>
      <c r="V13" s="28"/>
      <c r="W13" s="41">
        <v>1000</v>
      </c>
      <c r="X13" s="41">
        <f t="shared" ref="X13:X14" si="3">W13*U13</f>
        <v>1000</v>
      </c>
      <c r="Y13" s="2"/>
    </row>
    <row r="14" spans="2:25" ht="31.2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P14" s="18">
        <f t="shared" ref="P14:P16" si="4">P13+1</f>
        <v>3</v>
      </c>
      <c r="Q14" s="124" t="s">
        <v>71</v>
      </c>
      <c r="R14" s="125"/>
      <c r="S14" s="126"/>
      <c r="T14" s="41"/>
      <c r="U14" s="2">
        <v>1</v>
      </c>
      <c r="V14" s="28"/>
      <c r="W14" s="41">
        <v>2000</v>
      </c>
      <c r="X14" s="41">
        <f t="shared" si="3"/>
        <v>2000</v>
      </c>
      <c r="Y14" s="2"/>
    </row>
    <row r="15" spans="2:25" ht="31.2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P15" s="18">
        <f t="shared" si="4"/>
        <v>4</v>
      </c>
      <c r="Q15" s="144" t="s">
        <v>70</v>
      </c>
      <c r="R15" s="144"/>
      <c r="S15" s="144"/>
      <c r="T15" s="144"/>
      <c r="U15" s="144"/>
      <c r="V15" s="38"/>
      <c r="W15" s="39"/>
      <c r="X15" s="40">
        <f>SUM(X12:X14)</f>
        <v>9570</v>
      </c>
      <c r="Y15" s="2"/>
    </row>
    <row r="16" spans="2:25" ht="31.2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P16" s="115">
        <f t="shared" si="4"/>
        <v>5</v>
      </c>
      <c r="Q16" s="145" t="s">
        <v>183</v>
      </c>
      <c r="R16" s="146"/>
      <c r="S16" s="146"/>
      <c r="T16" s="146"/>
      <c r="U16" s="147"/>
      <c r="V16" s="116"/>
      <c r="W16" s="117"/>
      <c r="X16" s="118">
        <f>X10+X15</f>
        <v>3759888.4973999998</v>
      </c>
      <c r="Y16" s="115"/>
    </row>
    <row r="17" spans="2:25" ht="31.2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</row>
    <row r="18" spans="2:25" ht="60.6" customHeight="1" x14ac:dyDescent="0.35">
      <c r="B18" s="152" t="s">
        <v>170</v>
      </c>
      <c r="C18" s="153"/>
      <c r="D18" s="153"/>
      <c r="E18" s="153"/>
      <c r="F18" s="154"/>
      <c r="G18" s="8"/>
      <c r="H18" s="7"/>
      <c r="I18" s="152" t="s">
        <v>9</v>
      </c>
      <c r="J18" s="153"/>
      <c r="K18" s="153"/>
      <c r="L18" s="153"/>
      <c r="M18" s="153"/>
      <c r="N18" s="154"/>
      <c r="P18" s="27" t="s">
        <v>14</v>
      </c>
      <c r="Q18" s="129" t="s">
        <v>52</v>
      </c>
      <c r="R18" s="129"/>
      <c r="S18" s="129"/>
      <c r="T18" s="27" t="s">
        <v>53</v>
      </c>
      <c r="U18" s="33" t="s">
        <v>63</v>
      </c>
      <c r="V18" s="33" t="s">
        <v>64</v>
      </c>
      <c r="W18" s="27" t="s">
        <v>45</v>
      </c>
      <c r="X18" s="27" t="s">
        <v>46</v>
      </c>
      <c r="Y18" s="27" t="s">
        <v>39</v>
      </c>
    </row>
    <row r="19" spans="2:25" ht="33.6" customHeight="1" x14ac:dyDescent="0.35">
      <c r="B19" s="97"/>
      <c r="C19" s="98"/>
      <c r="D19" s="99"/>
      <c r="E19" s="3" t="s">
        <v>0</v>
      </c>
      <c r="F19" s="3" t="s">
        <v>1</v>
      </c>
      <c r="G19" s="3" t="s">
        <v>2</v>
      </c>
      <c r="H19" s="3" t="s">
        <v>14</v>
      </c>
      <c r="I19" s="5" t="s">
        <v>23</v>
      </c>
      <c r="J19" s="5" t="s">
        <v>3</v>
      </c>
      <c r="K19" s="5" t="s">
        <v>5</v>
      </c>
      <c r="L19" s="5" t="s">
        <v>2</v>
      </c>
      <c r="M19" s="185" t="s">
        <v>39</v>
      </c>
      <c r="N19" s="186"/>
      <c r="P19" s="18">
        <v>1</v>
      </c>
      <c r="Q19" s="124" t="s">
        <v>99</v>
      </c>
      <c r="R19" s="125"/>
      <c r="S19" s="125"/>
      <c r="T19" s="37">
        <f>K21*L21</f>
        <v>3890</v>
      </c>
      <c r="U19" s="32">
        <v>1.853</v>
      </c>
      <c r="V19" s="89">
        <f>U19*T19</f>
        <v>7208.17</v>
      </c>
      <c r="W19" s="37">
        <v>133000</v>
      </c>
      <c r="X19" s="34">
        <f>W19*V19/1000</f>
        <v>958686.61</v>
      </c>
      <c r="Y19" s="177"/>
    </row>
    <row r="20" spans="2:25" ht="33.6" customHeight="1" x14ac:dyDescent="0.35">
      <c r="B20" s="100"/>
      <c r="D20" s="101"/>
      <c r="E20" s="3">
        <v>1500</v>
      </c>
      <c r="F20" s="3">
        <v>2000</v>
      </c>
      <c r="G20" s="3">
        <v>1</v>
      </c>
      <c r="H20" s="6" t="s">
        <v>19</v>
      </c>
      <c r="I20" s="3" t="s">
        <v>29</v>
      </c>
      <c r="J20" s="6" t="s">
        <v>141</v>
      </c>
      <c r="K20" s="3">
        <f>E20</f>
        <v>1500</v>
      </c>
      <c r="L20" s="3">
        <f>G20*1</f>
        <v>1</v>
      </c>
      <c r="M20" s="188" t="s">
        <v>168</v>
      </c>
      <c r="N20" s="189"/>
      <c r="P20" s="18">
        <f>P19+1</f>
        <v>2</v>
      </c>
      <c r="Q20" s="124" t="s">
        <v>100</v>
      </c>
      <c r="R20" s="125"/>
      <c r="S20" s="125"/>
      <c r="T20" s="37">
        <f>K20*L20</f>
        <v>1500</v>
      </c>
      <c r="U20" s="32">
        <v>1.853</v>
      </c>
      <c r="V20" s="89">
        <f t="shared" ref="V20:V23" si="5">U20*T20</f>
        <v>2779.5</v>
      </c>
      <c r="W20" s="37">
        <v>133000</v>
      </c>
      <c r="X20" s="34">
        <f t="shared" ref="X20:X23" si="6">W20*V20/1000</f>
        <v>369673.5</v>
      </c>
      <c r="Y20" s="187"/>
    </row>
    <row r="21" spans="2:25" ht="33.6" customHeight="1" x14ac:dyDescent="0.35">
      <c r="B21" s="100"/>
      <c r="D21" s="101"/>
      <c r="E21" s="92"/>
      <c r="F21" s="45" t="s">
        <v>47</v>
      </c>
      <c r="G21" s="45" t="s">
        <v>120</v>
      </c>
      <c r="H21" s="6" t="s">
        <v>20</v>
      </c>
      <c r="I21" s="3" t="s">
        <v>11</v>
      </c>
      <c r="J21" s="6" t="s">
        <v>142</v>
      </c>
      <c r="K21" s="3">
        <f>F20-55</f>
        <v>1945</v>
      </c>
      <c r="L21" s="3">
        <v>2</v>
      </c>
      <c r="M21" s="190"/>
      <c r="N21" s="191"/>
      <c r="P21" s="18">
        <f t="shared" ref="P21:P26" si="7">P20+1</f>
        <v>3</v>
      </c>
      <c r="Q21" s="124" t="s">
        <v>147</v>
      </c>
      <c r="R21" s="125"/>
      <c r="S21" s="125"/>
      <c r="T21" s="37">
        <f>K22*L22</f>
        <v>7716</v>
      </c>
      <c r="U21" s="32">
        <v>2.5979999999999999</v>
      </c>
      <c r="V21" s="89">
        <f t="shared" si="5"/>
        <v>20046.167999999998</v>
      </c>
      <c r="W21" s="37">
        <v>133000</v>
      </c>
      <c r="X21" s="34">
        <f t="shared" si="6"/>
        <v>2666140.3439999996</v>
      </c>
      <c r="Y21" s="187"/>
    </row>
    <row r="22" spans="2:25" ht="33.6" customHeight="1" x14ac:dyDescent="0.35">
      <c r="B22" s="100"/>
      <c r="D22" s="101"/>
      <c r="E22" s="61"/>
      <c r="F22" s="20">
        <f>F20*E20/1000</f>
        <v>3000</v>
      </c>
      <c r="G22" s="91">
        <f>SUM(V19:V23)</f>
        <v>40130.827999999994</v>
      </c>
      <c r="H22" s="6" t="s">
        <v>21</v>
      </c>
      <c r="I22" s="3" t="s">
        <v>140</v>
      </c>
      <c r="J22" s="6" t="s">
        <v>143</v>
      </c>
      <c r="K22" s="3">
        <f>F20-55-16</f>
        <v>1929</v>
      </c>
      <c r="L22" s="3">
        <v>4</v>
      </c>
      <c r="M22" s="2"/>
      <c r="N22" s="2"/>
      <c r="P22" s="18">
        <f t="shared" si="7"/>
        <v>4</v>
      </c>
      <c r="Q22" s="124" t="s">
        <v>148</v>
      </c>
      <c r="R22" s="125"/>
      <c r="S22" s="125"/>
      <c r="T22" s="37">
        <f>K23*L23</f>
        <v>1366</v>
      </c>
      <c r="U22" s="32">
        <v>2.5979999999999999</v>
      </c>
      <c r="V22" s="89">
        <f t="shared" si="5"/>
        <v>3548.8679999999999</v>
      </c>
      <c r="W22" s="37">
        <v>133000</v>
      </c>
      <c r="X22" s="34">
        <f t="shared" si="6"/>
        <v>471999.44400000002</v>
      </c>
      <c r="Y22" s="187"/>
    </row>
    <row r="23" spans="2:25" ht="33.6" customHeight="1" x14ac:dyDescent="0.35">
      <c r="B23" s="100"/>
      <c r="D23" s="101"/>
      <c r="E23" s="2"/>
      <c r="F23" s="2"/>
      <c r="G23" s="2"/>
      <c r="H23" s="6" t="s">
        <v>22</v>
      </c>
      <c r="I23" s="3" t="s">
        <v>139</v>
      </c>
      <c r="J23" s="6" t="s">
        <v>144</v>
      </c>
      <c r="K23" s="3">
        <f>(E20-134)/2</f>
        <v>683</v>
      </c>
      <c r="L23" s="3">
        <v>2</v>
      </c>
      <c r="M23" s="2"/>
      <c r="N23" s="2"/>
      <c r="P23" s="18">
        <f t="shared" si="7"/>
        <v>5</v>
      </c>
      <c r="Q23" s="124" t="s">
        <v>146</v>
      </c>
      <c r="R23" s="125"/>
      <c r="S23" s="125"/>
      <c r="T23" s="37">
        <f>T21+T22</f>
        <v>9082</v>
      </c>
      <c r="U23" s="32">
        <v>0.72099999999999997</v>
      </c>
      <c r="V23" s="89">
        <f t="shared" si="5"/>
        <v>6548.1219999999994</v>
      </c>
      <c r="W23" s="37">
        <v>133000</v>
      </c>
      <c r="X23" s="34">
        <f t="shared" si="6"/>
        <v>870900.22599999991</v>
      </c>
      <c r="Y23" s="187"/>
    </row>
    <row r="24" spans="2:25" ht="33.6" customHeight="1" x14ac:dyDescent="0.35">
      <c r="B24" s="100"/>
      <c r="D24" s="101"/>
      <c r="E24" s="3"/>
      <c r="F24" s="3"/>
      <c r="G24" s="3"/>
      <c r="H24" s="3"/>
      <c r="I24" s="150" t="s">
        <v>80</v>
      </c>
      <c r="J24" s="3" t="s">
        <v>6</v>
      </c>
      <c r="K24" s="3" t="s">
        <v>7</v>
      </c>
      <c r="L24" s="5" t="s">
        <v>2</v>
      </c>
      <c r="M24" s="2"/>
      <c r="N24" s="2"/>
      <c r="P24" s="18">
        <f t="shared" si="7"/>
        <v>6</v>
      </c>
      <c r="Q24" s="124" t="s">
        <v>79</v>
      </c>
      <c r="R24" s="125"/>
      <c r="S24" s="126"/>
      <c r="T24" s="37"/>
      <c r="U24" s="32"/>
      <c r="V24" s="81"/>
      <c r="W24" s="58">
        <v>0.05</v>
      </c>
      <c r="X24" s="37">
        <f>SUM(X19:X23)*W24</f>
        <v>266870.00619999995</v>
      </c>
      <c r="Y24" s="46"/>
    </row>
    <row r="25" spans="2:25" ht="33.6" customHeight="1" x14ac:dyDescent="0.35">
      <c r="B25" s="102"/>
      <c r="C25" s="80"/>
      <c r="D25" s="103"/>
      <c r="E25" s="3"/>
      <c r="F25" s="3"/>
      <c r="G25" s="3"/>
      <c r="H25" s="3"/>
      <c r="I25" s="151"/>
      <c r="J25" s="3">
        <f>K23-254</f>
        <v>429</v>
      </c>
      <c r="K25" s="3">
        <f>K22-254</f>
        <v>1675</v>
      </c>
      <c r="L25" s="3">
        <v>2</v>
      </c>
      <c r="M25" s="2"/>
      <c r="N25" s="2"/>
      <c r="P25" s="18">
        <f>P24+1</f>
        <v>7</v>
      </c>
      <c r="Q25" s="124" t="s">
        <v>149</v>
      </c>
      <c r="R25" s="125"/>
      <c r="S25" s="125"/>
      <c r="T25" s="32"/>
      <c r="U25" s="32"/>
      <c r="V25" s="36">
        <v>16</v>
      </c>
      <c r="W25" s="37">
        <v>15000</v>
      </c>
      <c r="X25" s="34">
        <f>W25*V25</f>
        <v>240000</v>
      </c>
      <c r="Y25" s="18"/>
    </row>
    <row r="26" spans="2:25" ht="33.6" customHeight="1" x14ac:dyDescent="0.35">
      <c r="P26" s="18">
        <f t="shared" si="7"/>
        <v>8</v>
      </c>
      <c r="Q26" s="138" t="s">
        <v>66</v>
      </c>
      <c r="R26" s="139"/>
      <c r="S26" s="139"/>
      <c r="T26" s="139"/>
      <c r="U26" s="140"/>
      <c r="V26" s="38"/>
      <c r="W26" s="39"/>
      <c r="X26" s="40">
        <f>SUM(X19:X25)</f>
        <v>5844270.1301999986</v>
      </c>
      <c r="Y26" s="18"/>
    </row>
    <row r="27" spans="2:25" ht="33.6" customHeight="1" x14ac:dyDescent="0.35">
      <c r="P27" s="27" t="s">
        <v>14</v>
      </c>
      <c r="Q27" s="129" t="s">
        <v>52</v>
      </c>
      <c r="R27" s="129"/>
      <c r="S27" s="129"/>
      <c r="T27" s="27" t="s">
        <v>53</v>
      </c>
      <c r="U27" s="33" t="s">
        <v>59</v>
      </c>
      <c r="V27" s="33"/>
      <c r="W27" s="27" t="s">
        <v>45</v>
      </c>
      <c r="X27" s="27" t="s">
        <v>46</v>
      </c>
      <c r="Y27" s="29"/>
    </row>
    <row r="28" spans="2:25" ht="33.6" customHeight="1" x14ac:dyDescent="0.35"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P28" s="18">
        <v>1</v>
      </c>
      <c r="Q28" s="124" t="s">
        <v>96</v>
      </c>
      <c r="R28" s="125"/>
      <c r="S28" s="125"/>
      <c r="T28" s="41">
        <f>T21+T22*2</f>
        <v>10448</v>
      </c>
      <c r="U28" s="2">
        <v>1</v>
      </c>
      <c r="V28" s="28"/>
      <c r="W28" s="41">
        <v>1000</v>
      </c>
      <c r="X28" s="41">
        <f>W28*T28*U28/1000</f>
        <v>10448</v>
      </c>
      <c r="Y28" s="29"/>
    </row>
    <row r="29" spans="2:25" ht="33.6" customHeight="1" x14ac:dyDescent="0.35">
      <c r="B29" s="127"/>
      <c r="C29" s="127"/>
      <c r="D29" s="141"/>
      <c r="E29" s="141"/>
      <c r="F29" s="141"/>
      <c r="G29" s="141"/>
      <c r="H29" s="141"/>
      <c r="I29" s="141"/>
      <c r="J29" s="127"/>
      <c r="K29" s="127"/>
      <c r="P29" s="18">
        <v>2</v>
      </c>
      <c r="Q29" s="124" t="s">
        <v>69</v>
      </c>
      <c r="R29" s="125"/>
      <c r="S29" s="126"/>
      <c r="T29" s="41"/>
      <c r="U29" s="61">
        <v>1</v>
      </c>
      <c r="V29" s="28"/>
      <c r="W29" s="41">
        <v>1000</v>
      </c>
      <c r="X29" s="41">
        <f t="shared" ref="X29:X30" si="8">W29*U29</f>
        <v>1000</v>
      </c>
      <c r="Y29" s="2"/>
    </row>
    <row r="30" spans="2:25" ht="33.6" customHeight="1" x14ac:dyDescent="0.35">
      <c r="B30" s="127"/>
      <c r="C30" s="127"/>
      <c r="D30" s="141"/>
      <c r="E30" s="141"/>
      <c r="F30" s="141"/>
      <c r="G30" s="141"/>
      <c r="H30" s="141"/>
      <c r="I30" s="141"/>
      <c r="J30" s="127"/>
      <c r="K30" s="127"/>
      <c r="P30" s="18">
        <f t="shared" ref="P30:P32" si="9">P29+1</f>
        <v>3</v>
      </c>
      <c r="Q30" s="124" t="s">
        <v>71</v>
      </c>
      <c r="R30" s="125"/>
      <c r="S30" s="126"/>
      <c r="T30" s="41"/>
      <c r="U30" s="2">
        <v>1</v>
      </c>
      <c r="V30" s="28"/>
      <c r="W30" s="41">
        <v>2000</v>
      </c>
      <c r="X30" s="41">
        <f t="shared" si="8"/>
        <v>2000</v>
      </c>
      <c r="Y30" s="2"/>
    </row>
    <row r="31" spans="2:25" ht="33.6" customHeight="1" x14ac:dyDescent="0.35">
      <c r="B31" s="127"/>
      <c r="C31" s="127"/>
      <c r="D31" s="141"/>
      <c r="E31" s="141"/>
      <c r="F31" s="141"/>
      <c r="G31" s="141"/>
      <c r="H31" s="141"/>
      <c r="I31" s="141"/>
      <c r="J31" s="127"/>
      <c r="K31" s="127"/>
      <c r="P31" s="18">
        <f t="shared" si="9"/>
        <v>4</v>
      </c>
      <c r="Q31" s="144" t="s">
        <v>70</v>
      </c>
      <c r="R31" s="144"/>
      <c r="S31" s="144"/>
      <c r="T31" s="144"/>
      <c r="U31" s="144"/>
      <c r="V31" s="38"/>
      <c r="W31" s="39"/>
      <c r="X31" s="40">
        <f>SUM(X28:X30)</f>
        <v>13448</v>
      </c>
      <c r="Y31" s="2"/>
    </row>
    <row r="32" spans="2:25" ht="40.200000000000003" customHeight="1" x14ac:dyDescent="0.35">
      <c r="P32" s="115">
        <f t="shared" si="9"/>
        <v>5</v>
      </c>
      <c r="Q32" s="145" t="s">
        <v>183</v>
      </c>
      <c r="R32" s="146"/>
      <c r="S32" s="146"/>
      <c r="T32" s="146"/>
      <c r="U32" s="147"/>
      <c r="V32" s="116"/>
      <c r="W32" s="117"/>
      <c r="X32" s="118">
        <f>X26+X31</f>
        <v>5857718.1301999986</v>
      </c>
      <c r="Y32" s="115"/>
    </row>
    <row r="33" spans="2:25" s="104" customFormat="1" ht="36.6" customHeight="1" x14ac:dyDescent="0.35"/>
    <row r="35" spans="2:25" ht="31.2" customHeight="1" x14ac:dyDescent="0.45">
      <c r="B35" s="182"/>
      <c r="C35" s="182"/>
      <c r="D35" s="182"/>
      <c r="E35" s="182"/>
      <c r="F35" s="182"/>
      <c r="G35" s="182"/>
      <c r="H35" s="182"/>
      <c r="I35" s="183"/>
      <c r="J35" s="183"/>
      <c r="K35" s="183"/>
      <c r="L35" s="183"/>
      <c r="P35" s="128" t="s">
        <v>65</v>
      </c>
      <c r="Q35" s="128"/>
      <c r="R35" s="128"/>
      <c r="S35" s="128"/>
      <c r="T35" s="128"/>
      <c r="U35" s="128"/>
      <c r="V35" s="128"/>
      <c r="W35" s="128"/>
      <c r="X35" s="128"/>
      <c r="Y35" s="128"/>
    </row>
    <row r="36" spans="2:25" ht="59.4" customHeight="1" x14ac:dyDescent="0.35">
      <c r="B36" s="152" t="s">
        <v>171</v>
      </c>
      <c r="C36" s="153"/>
      <c r="D36" s="153"/>
      <c r="E36" s="153"/>
      <c r="F36" s="154"/>
      <c r="G36" s="8"/>
      <c r="H36" s="7"/>
      <c r="I36" s="152" t="s">
        <v>9</v>
      </c>
      <c r="J36" s="153"/>
      <c r="K36" s="153"/>
      <c r="L36" s="153"/>
      <c r="M36" s="153"/>
      <c r="N36" s="154"/>
      <c r="P36" s="27" t="s">
        <v>14</v>
      </c>
      <c r="Q36" s="129" t="s">
        <v>52</v>
      </c>
      <c r="R36" s="129"/>
      <c r="S36" s="129"/>
      <c r="T36" s="27" t="s">
        <v>53</v>
      </c>
      <c r="U36" s="33" t="s">
        <v>63</v>
      </c>
      <c r="V36" s="33" t="s">
        <v>64</v>
      </c>
      <c r="W36" s="27" t="s">
        <v>45</v>
      </c>
      <c r="X36" s="27" t="s">
        <v>46</v>
      </c>
      <c r="Y36" s="27" t="s">
        <v>39</v>
      </c>
    </row>
    <row r="37" spans="2:25" ht="31.2" customHeight="1" x14ac:dyDescent="0.35">
      <c r="B37" s="97"/>
      <c r="C37" s="98"/>
      <c r="D37" s="99"/>
      <c r="E37" s="3" t="s">
        <v>0</v>
      </c>
      <c r="F37" s="3" t="s">
        <v>1</v>
      </c>
      <c r="G37" s="3" t="s">
        <v>2</v>
      </c>
      <c r="H37" s="3" t="s">
        <v>14</v>
      </c>
      <c r="I37" s="5" t="s">
        <v>23</v>
      </c>
      <c r="J37" s="5" t="s">
        <v>3</v>
      </c>
      <c r="K37" s="5" t="s">
        <v>5</v>
      </c>
      <c r="L37" s="5" t="s">
        <v>2</v>
      </c>
      <c r="M37" s="185" t="s">
        <v>39</v>
      </c>
      <c r="N37" s="186"/>
      <c r="P37" s="18">
        <v>1</v>
      </c>
      <c r="Q37" s="124" t="s">
        <v>99</v>
      </c>
      <c r="R37" s="125"/>
      <c r="S37" s="125"/>
      <c r="T37" s="37">
        <f>K39*L39</f>
        <v>3890</v>
      </c>
      <c r="U37" s="32">
        <v>1.853</v>
      </c>
      <c r="V37" s="89">
        <f>U37*T37</f>
        <v>7208.17</v>
      </c>
      <c r="W37" s="37">
        <v>133000</v>
      </c>
      <c r="X37" s="34">
        <f>W37*V37/1000</f>
        <v>958686.61</v>
      </c>
      <c r="Y37" s="177"/>
    </row>
    <row r="38" spans="2:25" ht="31.2" customHeight="1" x14ac:dyDescent="0.35">
      <c r="B38" s="100"/>
      <c r="D38" s="101"/>
      <c r="E38" s="3">
        <v>800</v>
      </c>
      <c r="F38" s="3">
        <v>2000</v>
      </c>
      <c r="G38" s="3">
        <v>1</v>
      </c>
      <c r="H38" s="6" t="s">
        <v>19</v>
      </c>
      <c r="I38" s="3" t="s">
        <v>29</v>
      </c>
      <c r="J38" s="6" t="s">
        <v>141</v>
      </c>
      <c r="K38" s="3">
        <f>E38</f>
        <v>800</v>
      </c>
      <c r="L38" s="3">
        <f>G38*1</f>
        <v>1</v>
      </c>
      <c r="M38" s="188" t="s">
        <v>168</v>
      </c>
      <c r="N38" s="189"/>
      <c r="P38" s="18">
        <f>P37+1</f>
        <v>2</v>
      </c>
      <c r="Q38" s="124" t="s">
        <v>100</v>
      </c>
      <c r="R38" s="125"/>
      <c r="S38" s="125"/>
      <c r="T38" s="37">
        <f>K38*L38</f>
        <v>800</v>
      </c>
      <c r="U38" s="32">
        <v>1.853</v>
      </c>
      <c r="V38" s="89">
        <f t="shared" ref="V38:V41" si="10">U38*T38</f>
        <v>1482.4</v>
      </c>
      <c r="W38" s="37">
        <v>133000</v>
      </c>
      <c r="X38" s="34">
        <f t="shared" ref="X38:X41" si="11">W38*V38/1000</f>
        <v>197159.2</v>
      </c>
      <c r="Y38" s="187"/>
    </row>
    <row r="39" spans="2:25" ht="31.2" customHeight="1" x14ac:dyDescent="0.35">
      <c r="B39" s="100"/>
      <c r="D39" s="101"/>
      <c r="E39" s="92"/>
      <c r="F39" s="45" t="s">
        <v>47</v>
      </c>
      <c r="G39" s="45" t="s">
        <v>120</v>
      </c>
      <c r="H39" s="6" t="s">
        <v>20</v>
      </c>
      <c r="I39" s="3" t="s">
        <v>11</v>
      </c>
      <c r="J39" s="6" t="s">
        <v>142</v>
      </c>
      <c r="K39" s="3">
        <f>F38-55</f>
        <v>1945</v>
      </c>
      <c r="L39" s="3">
        <v>2</v>
      </c>
      <c r="M39" s="190"/>
      <c r="N39" s="191"/>
      <c r="P39" s="18">
        <f t="shared" ref="P39:P44" si="12">P38+1</f>
        <v>3</v>
      </c>
      <c r="Q39" s="124" t="s">
        <v>147</v>
      </c>
      <c r="R39" s="125"/>
      <c r="S39" s="125"/>
      <c r="T39" s="37">
        <f>K40*L40</f>
        <v>3858</v>
      </c>
      <c r="U39" s="32">
        <v>3.3690000000000002</v>
      </c>
      <c r="V39" s="89">
        <f t="shared" si="10"/>
        <v>12997.602000000001</v>
      </c>
      <c r="W39" s="37">
        <v>133000</v>
      </c>
      <c r="X39" s="34">
        <f t="shared" si="11"/>
        <v>1728681.0660000001</v>
      </c>
      <c r="Y39" s="187"/>
    </row>
    <row r="40" spans="2:25" ht="31.2" customHeight="1" x14ac:dyDescent="0.35">
      <c r="B40" s="100"/>
      <c r="D40" s="101"/>
      <c r="E40" s="61"/>
      <c r="F40" s="20">
        <f>F38*E38/1000</f>
        <v>1600</v>
      </c>
      <c r="G40" s="91">
        <f>SUM(V37:V41)</f>
        <v>30015.83</v>
      </c>
      <c r="H40" s="6" t="s">
        <v>21</v>
      </c>
      <c r="I40" s="3" t="s">
        <v>140</v>
      </c>
      <c r="J40" s="6" t="s">
        <v>143</v>
      </c>
      <c r="K40" s="3">
        <f>F38-55-16</f>
        <v>1929</v>
      </c>
      <c r="L40" s="3">
        <v>2</v>
      </c>
      <c r="M40" s="2"/>
      <c r="N40" s="2"/>
      <c r="P40" s="18">
        <f t="shared" si="12"/>
        <v>4</v>
      </c>
      <c r="Q40" s="124" t="s">
        <v>148</v>
      </c>
      <c r="R40" s="125"/>
      <c r="S40" s="125"/>
      <c r="T40" s="37">
        <f>K41*L41</f>
        <v>1356</v>
      </c>
      <c r="U40" s="32">
        <v>3.3690000000000002</v>
      </c>
      <c r="V40" s="89">
        <f t="shared" si="10"/>
        <v>4568.3640000000005</v>
      </c>
      <c r="W40" s="37">
        <v>133000</v>
      </c>
      <c r="X40" s="34">
        <f t="shared" si="11"/>
        <v>607592.41200000013</v>
      </c>
      <c r="Y40" s="187"/>
    </row>
    <row r="41" spans="2:25" ht="31.2" customHeight="1" x14ac:dyDescent="0.35">
      <c r="B41" s="100"/>
      <c r="D41" s="101"/>
      <c r="E41" s="2"/>
      <c r="F41" s="2"/>
      <c r="G41" s="2"/>
      <c r="H41" s="6" t="s">
        <v>22</v>
      </c>
      <c r="I41" s="3" t="s">
        <v>139</v>
      </c>
      <c r="J41" s="6" t="s">
        <v>144</v>
      </c>
      <c r="K41" s="3">
        <f>E38-122</f>
        <v>678</v>
      </c>
      <c r="L41" s="3">
        <v>2</v>
      </c>
      <c r="M41" s="2"/>
      <c r="N41" s="2"/>
      <c r="P41" s="18">
        <f t="shared" si="12"/>
        <v>5</v>
      </c>
      <c r="Q41" s="124" t="s">
        <v>146</v>
      </c>
      <c r="R41" s="125"/>
      <c r="S41" s="125"/>
      <c r="T41" s="37">
        <f>T39+T40</f>
        <v>5214</v>
      </c>
      <c r="U41" s="32">
        <v>0.72099999999999997</v>
      </c>
      <c r="V41" s="89">
        <f t="shared" si="10"/>
        <v>3759.2939999999999</v>
      </c>
      <c r="W41" s="37">
        <v>133000</v>
      </c>
      <c r="X41" s="34">
        <f t="shared" si="11"/>
        <v>499986.10200000001</v>
      </c>
      <c r="Y41" s="187"/>
    </row>
    <row r="42" spans="2:25" ht="31.2" customHeight="1" x14ac:dyDescent="0.35">
      <c r="B42" s="100"/>
      <c r="D42" s="101"/>
      <c r="E42" s="3"/>
      <c r="F42" s="3"/>
      <c r="G42" s="3"/>
      <c r="H42" s="3"/>
      <c r="I42" s="150" t="s">
        <v>80</v>
      </c>
      <c r="J42" s="3" t="s">
        <v>6</v>
      </c>
      <c r="K42" s="3" t="s">
        <v>7</v>
      </c>
      <c r="L42" s="5" t="s">
        <v>2</v>
      </c>
      <c r="M42" s="2"/>
      <c r="N42" s="2"/>
      <c r="P42" s="18">
        <f t="shared" si="12"/>
        <v>6</v>
      </c>
      <c r="Q42" s="124" t="s">
        <v>79</v>
      </c>
      <c r="R42" s="125"/>
      <c r="S42" s="126"/>
      <c r="T42" s="37"/>
      <c r="U42" s="32"/>
      <c r="V42" s="81"/>
      <c r="W42" s="58">
        <v>0.05</v>
      </c>
      <c r="X42" s="37">
        <f>SUM(X37:X41)*W42</f>
        <v>199605.26950000002</v>
      </c>
      <c r="Y42" s="46"/>
    </row>
    <row r="43" spans="2:25" ht="31.2" customHeight="1" x14ac:dyDescent="0.35">
      <c r="B43" s="102"/>
      <c r="C43" s="80"/>
      <c r="D43" s="103"/>
      <c r="E43" s="3"/>
      <c r="F43" s="3"/>
      <c r="G43" s="3"/>
      <c r="H43" s="3"/>
      <c r="I43" s="151"/>
      <c r="J43" s="3">
        <f>K41-374</f>
        <v>304</v>
      </c>
      <c r="K43" s="3">
        <f>K40-374</f>
        <v>1555</v>
      </c>
      <c r="L43" s="3">
        <v>1</v>
      </c>
      <c r="M43" s="2"/>
      <c r="N43" s="2"/>
      <c r="P43" s="18">
        <f>P42+1</f>
        <v>7</v>
      </c>
      <c r="Q43" s="124" t="s">
        <v>149</v>
      </c>
      <c r="R43" s="125"/>
      <c r="S43" s="125"/>
      <c r="T43" s="32"/>
      <c r="U43" s="32"/>
      <c r="V43" s="36">
        <v>8</v>
      </c>
      <c r="W43" s="37">
        <v>15000</v>
      </c>
      <c r="X43" s="34">
        <f>W43*V43</f>
        <v>120000</v>
      </c>
      <c r="Y43" s="18"/>
    </row>
    <row r="44" spans="2:25" ht="31.2" customHeight="1" x14ac:dyDescent="0.35">
      <c r="P44" s="18">
        <f t="shared" si="12"/>
        <v>8</v>
      </c>
      <c r="Q44" s="138" t="s">
        <v>66</v>
      </c>
      <c r="R44" s="139"/>
      <c r="S44" s="139"/>
      <c r="T44" s="139"/>
      <c r="U44" s="140"/>
      <c r="V44" s="38"/>
      <c r="W44" s="39"/>
      <c r="X44" s="40">
        <f>SUM(X37:X43)</f>
        <v>4311710.6595000001</v>
      </c>
      <c r="Y44" s="18"/>
    </row>
    <row r="45" spans="2:25" ht="31.2" customHeight="1" x14ac:dyDescent="0.35">
      <c r="P45" s="27" t="s">
        <v>14</v>
      </c>
      <c r="Q45" s="129" t="s">
        <v>52</v>
      </c>
      <c r="R45" s="129"/>
      <c r="S45" s="129"/>
      <c r="T45" s="27" t="s">
        <v>53</v>
      </c>
      <c r="U45" s="33" t="s">
        <v>59</v>
      </c>
      <c r="V45" s="33"/>
      <c r="W45" s="27" t="s">
        <v>45</v>
      </c>
      <c r="X45" s="27" t="s">
        <v>46</v>
      </c>
      <c r="Y45" s="29"/>
    </row>
    <row r="46" spans="2:25" ht="31.2" customHeight="1" x14ac:dyDescent="0.35"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P46" s="18">
        <v>1</v>
      </c>
      <c r="Q46" s="124" t="s">
        <v>96</v>
      </c>
      <c r="R46" s="125"/>
      <c r="S46" s="125"/>
      <c r="T46" s="41">
        <f>T39+T40*2</f>
        <v>6570</v>
      </c>
      <c r="U46" s="2">
        <v>1</v>
      </c>
      <c r="V46" s="28"/>
      <c r="W46" s="41">
        <v>1000</v>
      </c>
      <c r="X46" s="41">
        <f>W46*T46*U46/1000</f>
        <v>6570</v>
      </c>
      <c r="Y46" s="29"/>
    </row>
    <row r="47" spans="2:25" ht="31.2" customHeight="1" x14ac:dyDescent="0.35">
      <c r="B47" s="127"/>
      <c r="C47" s="127"/>
      <c r="D47" s="141"/>
      <c r="E47" s="141"/>
      <c r="F47" s="141"/>
      <c r="G47" s="141"/>
      <c r="H47" s="141"/>
      <c r="I47" s="141"/>
      <c r="J47" s="127"/>
      <c r="K47" s="127"/>
      <c r="P47" s="18">
        <v>2</v>
      </c>
      <c r="Q47" s="124" t="s">
        <v>69</v>
      </c>
      <c r="R47" s="125"/>
      <c r="S47" s="126"/>
      <c r="T47" s="41"/>
      <c r="U47" s="61">
        <v>1</v>
      </c>
      <c r="V47" s="28"/>
      <c r="W47" s="41">
        <v>1000</v>
      </c>
      <c r="X47" s="41">
        <f t="shared" ref="X47:X48" si="13">W47*U47</f>
        <v>1000</v>
      </c>
      <c r="Y47" s="2"/>
    </row>
    <row r="48" spans="2:25" ht="31.2" customHeight="1" x14ac:dyDescent="0.35">
      <c r="B48" s="127"/>
      <c r="C48" s="127"/>
      <c r="D48" s="141"/>
      <c r="E48" s="141"/>
      <c r="F48" s="141"/>
      <c r="G48" s="141"/>
      <c r="H48" s="141"/>
      <c r="I48" s="141"/>
      <c r="J48" s="127"/>
      <c r="K48" s="127"/>
      <c r="P48" s="18">
        <f t="shared" ref="P48:P50" si="14">P47+1</f>
        <v>3</v>
      </c>
      <c r="Q48" s="124" t="s">
        <v>71</v>
      </c>
      <c r="R48" s="125"/>
      <c r="S48" s="126"/>
      <c r="T48" s="41"/>
      <c r="U48" s="2">
        <v>1</v>
      </c>
      <c r="V48" s="28"/>
      <c r="W48" s="41">
        <v>2000</v>
      </c>
      <c r="X48" s="41">
        <f t="shared" si="13"/>
        <v>2000</v>
      </c>
      <c r="Y48" s="2"/>
    </row>
    <row r="49" spans="2:25" ht="31.2" customHeight="1" x14ac:dyDescent="0.35">
      <c r="B49" s="127"/>
      <c r="C49" s="127"/>
      <c r="D49" s="141"/>
      <c r="E49" s="141"/>
      <c r="F49" s="141"/>
      <c r="G49" s="141"/>
      <c r="H49" s="141"/>
      <c r="I49" s="141"/>
      <c r="J49" s="127"/>
      <c r="K49" s="127"/>
      <c r="P49" s="18">
        <f t="shared" si="14"/>
        <v>4</v>
      </c>
      <c r="Q49" s="144" t="s">
        <v>70</v>
      </c>
      <c r="R49" s="144"/>
      <c r="S49" s="144"/>
      <c r="T49" s="144"/>
      <c r="U49" s="144"/>
      <c r="V49" s="38"/>
      <c r="W49" s="39"/>
      <c r="X49" s="40">
        <f>SUM(X46:X48)</f>
        <v>9570</v>
      </c>
      <c r="Y49" s="2"/>
    </row>
    <row r="50" spans="2:25" ht="40.799999999999997" customHeight="1" x14ac:dyDescent="0.35">
      <c r="B50" s="127"/>
      <c r="C50" s="127"/>
      <c r="D50" s="127"/>
      <c r="E50" s="127"/>
      <c r="F50" s="127"/>
      <c r="G50" s="127"/>
      <c r="H50" s="141"/>
      <c r="I50" s="141"/>
      <c r="J50" s="127"/>
      <c r="K50" s="127"/>
      <c r="P50" s="115">
        <f t="shared" si="14"/>
        <v>5</v>
      </c>
      <c r="Q50" s="145" t="s">
        <v>183</v>
      </c>
      <c r="R50" s="146"/>
      <c r="S50" s="146"/>
      <c r="T50" s="146"/>
      <c r="U50" s="147"/>
      <c r="V50" s="116"/>
      <c r="W50" s="117"/>
      <c r="X50" s="118">
        <f>X44+X49</f>
        <v>4321280.6595000001</v>
      </c>
      <c r="Y50" s="115"/>
    </row>
    <row r="51" spans="2:25" ht="31.2" customHeight="1" x14ac:dyDescent="0.35">
      <c r="B51" s="127"/>
      <c r="C51" s="127"/>
      <c r="D51" s="141"/>
      <c r="E51" s="141"/>
      <c r="F51" s="141"/>
      <c r="G51" s="141"/>
      <c r="H51" s="141"/>
      <c r="I51" s="141"/>
      <c r="J51" s="127"/>
      <c r="K51" s="127"/>
    </row>
    <row r="52" spans="2:25" ht="60.6" customHeight="1" x14ac:dyDescent="0.35">
      <c r="B52" s="152" t="s">
        <v>172</v>
      </c>
      <c r="C52" s="153"/>
      <c r="D52" s="153"/>
      <c r="E52" s="153"/>
      <c r="F52" s="154"/>
      <c r="G52" s="8"/>
      <c r="H52" s="7"/>
      <c r="I52" s="152" t="s">
        <v>9</v>
      </c>
      <c r="J52" s="153"/>
      <c r="K52" s="153"/>
      <c r="L52" s="153"/>
      <c r="M52" s="153"/>
      <c r="N52" s="154"/>
      <c r="P52" s="27" t="s">
        <v>14</v>
      </c>
      <c r="Q52" s="129" t="s">
        <v>52</v>
      </c>
      <c r="R52" s="129"/>
      <c r="S52" s="129"/>
      <c r="T52" s="27" t="s">
        <v>53</v>
      </c>
      <c r="U52" s="33" t="s">
        <v>63</v>
      </c>
      <c r="V52" s="33" t="s">
        <v>64</v>
      </c>
      <c r="W52" s="27" t="s">
        <v>45</v>
      </c>
      <c r="X52" s="27" t="s">
        <v>46</v>
      </c>
      <c r="Y52" s="27" t="s">
        <v>39</v>
      </c>
    </row>
    <row r="53" spans="2:25" ht="33.6" customHeight="1" x14ac:dyDescent="0.35">
      <c r="B53" s="97"/>
      <c r="C53" s="98"/>
      <c r="D53" s="99"/>
      <c r="E53" s="3" t="s">
        <v>0</v>
      </c>
      <c r="F53" s="3" t="s">
        <v>1</v>
      </c>
      <c r="G53" s="3" t="s">
        <v>2</v>
      </c>
      <c r="H53" s="3" t="s">
        <v>14</v>
      </c>
      <c r="I53" s="5" t="s">
        <v>23</v>
      </c>
      <c r="J53" s="5" t="s">
        <v>3</v>
      </c>
      <c r="K53" s="5" t="s">
        <v>5</v>
      </c>
      <c r="L53" s="5" t="s">
        <v>2</v>
      </c>
      <c r="M53" s="185" t="s">
        <v>39</v>
      </c>
      <c r="N53" s="186"/>
      <c r="P53" s="18">
        <v>1</v>
      </c>
      <c r="Q53" s="124" t="s">
        <v>99</v>
      </c>
      <c r="R53" s="125"/>
      <c r="S53" s="125"/>
      <c r="T53" s="37">
        <f>K55*L55</f>
        <v>3890</v>
      </c>
      <c r="U53" s="32">
        <v>1.853</v>
      </c>
      <c r="V53" s="89">
        <f>U53*T53</f>
        <v>7208.17</v>
      </c>
      <c r="W53" s="37">
        <v>133000</v>
      </c>
      <c r="X53" s="34">
        <f>W53*V53/1000</f>
        <v>958686.61</v>
      </c>
      <c r="Y53" s="177"/>
    </row>
    <row r="54" spans="2:25" ht="33.6" customHeight="1" x14ac:dyDescent="0.35">
      <c r="B54" s="100"/>
      <c r="D54" s="101"/>
      <c r="E54" s="3">
        <v>1500</v>
      </c>
      <c r="F54" s="3">
        <v>2000</v>
      </c>
      <c r="G54" s="3">
        <v>1</v>
      </c>
      <c r="H54" s="6" t="s">
        <v>19</v>
      </c>
      <c r="I54" s="3" t="s">
        <v>29</v>
      </c>
      <c r="J54" s="6" t="s">
        <v>141</v>
      </c>
      <c r="K54" s="3">
        <f>E54</f>
        <v>1500</v>
      </c>
      <c r="L54" s="3">
        <f>G54*1</f>
        <v>1</v>
      </c>
      <c r="M54" s="188" t="s">
        <v>168</v>
      </c>
      <c r="N54" s="189"/>
      <c r="P54" s="18">
        <f>P53+1</f>
        <v>2</v>
      </c>
      <c r="Q54" s="124" t="s">
        <v>100</v>
      </c>
      <c r="R54" s="125"/>
      <c r="S54" s="125"/>
      <c r="T54" s="37">
        <f>K54*L54</f>
        <v>1500</v>
      </c>
      <c r="U54" s="32">
        <v>1.853</v>
      </c>
      <c r="V54" s="89">
        <f t="shared" ref="V54:V57" si="15">U54*T54</f>
        <v>2779.5</v>
      </c>
      <c r="W54" s="37">
        <v>133000</v>
      </c>
      <c r="X54" s="34">
        <f t="shared" ref="X54:X57" si="16">W54*V54/1000</f>
        <v>369673.5</v>
      </c>
      <c r="Y54" s="187"/>
    </row>
    <row r="55" spans="2:25" ht="33.6" customHeight="1" x14ac:dyDescent="0.35">
      <c r="B55" s="100"/>
      <c r="D55" s="101"/>
      <c r="E55" s="92"/>
      <c r="F55" s="45" t="s">
        <v>47</v>
      </c>
      <c r="G55" s="45" t="s">
        <v>120</v>
      </c>
      <c r="H55" s="6" t="s">
        <v>20</v>
      </c>
      <c r="I55" s="3" t="s">
        <v>11</v>
      </c>
      <c r="J55" s="6" t="s">
        <v>142</v>
      </c>
      <c r="K55" s="3">
        <f>F54-55</f>
        <v>1945</v>
      </c>
      <c r="L55" s="3">
        <v>2</v>
      </c>
      <c r="M55" s="190"/>
      <c r="N55" s="191"/>
      <c r="P55" s="18">
        <f t="shared" ref="P55:P60" si="17">P54+1</f>
        <v>3</v>
      </c>
      <c r="Q55" s="124" t="s">
        <v>147</v>
      </c>
      <c r="R55" s="125"/>
      <c r="S55" s="125"/>
      <c r="T55" s="37">
        <f>K56*L56</f>
        <v>7716</v>
      </c>
      <c r="U55" s="32">
        <v>3.3690000000000002</v>
      </c>
      <c r="V55" s="89">
        <f t="shared" si="15"/>
        <v>25995.204000000002</v>
      </c>
      <c r="W55" s="37">
        <v>133000</v>
      </c>
      <c r="X55" s="34">
        <f t="shared" si="16"/>
        <v>3457362.1320000002</v>
      </c>
      <c r="Y55" s="187"/>
    </row>
    <row r="56" spans="2:25" ht="33.6" customHeight="1" x14ac:dyDescent="0.35">
      <c r="B56" s="100"/>
      <c r="D56" s="101"/>
      <c r="E56" s="61"/>
      <c r="F56" s="20">
        <f>F54*E54/1000</f>
        <v>3000</v>
      </c>
      <c r="G56" s="91">
        <f>SUM(V53:V57)</f>
        <v>47133.05</v>
      </c>
      <c r="H56" s="6" t="s">
        <v>21</v>
      </c>
      <c r="I56" s="3" t="s">
        <v>140</v>
      </c>
      <c r="J56" s="6" t="s">
        <v>143</v>
      </c>
      <c r="K56" s="3">
        <f>F54-55-16</f>
        <v>1929</v>
      </c>
      <c r="L56" s="3">
        <v>4</v>
      </c>
      <c r="M56" s="2"/>
      <c r="N56" s="2"/>
      <c r="P56" s="18">
        <f t="shared" si="17"/>
        <v>4</v>
      </c>
      <c r="Q56" s="124" t="s">
        <v>148</v>
      </c>
      <c r="R56" s="125"/>
      <c r="S56" s="125"/>
      <c r="T56" s="37">
        <f>K57*L57</f>
        <v>1366</v>
      </c>
      <c r="U56" s="32">
        <v>3.3690000000000002</v>
      </c>
      <c r="V56" s="89">
        <f t="shared" si="15"/>
        <v>4602.0540000000001</v>
      </c>
      <c r="W56" s="37">
        <v>133000</v>
      </c>
      <c r="X56" s="34">
        <f t="shared" si="16"/>
        <v>612073.18200000003</v>
      </c>
      <c r="Y56" s="187"/>
    </row>
    <row r="57" spans="2:25" ht="33.6" customHeight="1" x14ac:dyDescent="0.35">
      <c r="B57" s="100"/>
      <c r="D57" s="101"/>
      <c r="E57" s="2"/>
      <c r="F57" s="2"/>
      <c r="G57" s="2"/>
      <c r="H57" s="6" t="s">
        <v>22</v>
      </c>
      <c r="I57" s="3" t="s">
        <v>139</v>
      </c>
      <c r="J57" s="6" t="s">
        <v>144</v>
      </c>
      <c r="K57" s="3">
        <f>(E54-134)/2</f>
        <v>683</v>
      </c>
      <c r="L57" s="3">
        <v>2</v>
      </c>
      <c r="M57" s="2"/>
      <c r="N57" s="2"/>
      <c r="P57" s="18">
        <f t="shared" si="17"/>
        <v>5</v>
      </c>
      <c r="Q57" s="124" t="s">
        <v>146</v>
      </c>
      <c r="R57" s="125"/>
      <c r="S57" s="125"/>
      <c r="T57" s="37">
        <f>T55+T56</f>
        <v>9082</v>
      </c>
      <c r="U57" s="32">
        <v>0.72099999999999997</v>
      </c>
      <c r="V57" s="89">
        <f t="shared" si="15"/>
        <v>6548.1219999999994</v>
      </c>
      <c r="W57" s="37">
        <v>133000</v>
      </c>
      <c r="X57" s="34">
        <f t="shared" si="16"/>
        <v>870900.22599999991</v>
      </c>
      <c r="Y57" s="187"/>
    </row>
    <row r="58" spans="2:25" ht="33.6" customHeight="1" x14ac:dyDescent="0.35">
      <c r="B58" s="100"/>
      <c r="D58" s="101"/>
      <c r="E58" s="3"/>
      <c r="F58" s="3"/>
      <c r="G58" s="3"/>
      <c r="H58" s="3"/>
      <c r="I58" s="150" t="s">
        <v>80</v>
      </c>
      <c r="J58" s="3" t="s">
        <v>6</v>
      </c>
      <c r="K58" s="3" t="s">
        <v>7</v>
      </c>
      <c r="L58" s="5" t="s">
        <v>2</v>
      </c>
      <c r="M58" s="2"/>
      <c r="N58" s="2"/>
      <c r="P58" s="18">
        <f t="shared" si="17"/>
        <v>6</v>
      </c>
      <c r="Q58" s="124" t="s">
        <v>79</v>
      </c>
      <c r="R58" s="125"/>
      <c r="S58" s="126"/>
      <c r="T58" s="37"/>
      <c r="U58" s="32"/>
      <c r="V58" s="81"/>
      <c r="W58" s="58">
        <v>0.05</v>
      </c>
      <c r="X58" s="37">
        <f>SUM(X53:X57)*W58</f>
        <v>313434.78250000003</v>
      </c>
      <c r="Y58" s="46"/>
    </row>
    <row r="59" spans="2:25" ht="33.6" customHeight="1" x14ac:dyDescent="0.35">
      <c r="B59" s="102"/>
      <c r="C59" s="80"/>
      <c r="D59" s="103"/>
      <c r="E59" s="3"/>
      <c r="F59" s="3"/>
      <c r="G59" s="3"/>
      <c r="H59" s="3"/>
      <c r="I59" s="151"/>
      <c r="J59" s="3">
        <f>K57-374</f>
        <v>309</v>
      </c>
      <c r="K59" s="3">
        <f>K56-374</f>
        <v>1555</v>
      </c>
      <c r="L59" s="3">
        <v>2</v>
      </c>
      <c r="M59" s="2"/>
      <c r="N59" s="2"/>
      <c r="P59" s="18">
        <f>P58+1</f>
        <v>7</v>
      </c>
      <c r="Q59" s="124" t="s">
        <v>149</v>
      </c>
      <c r="R59" s="125"/>
      <c r="S59" s="125"/>
      <c r="T59" s="32"/>
      <c r="U59" s="32"/>
      <c r="V59" s="36">
        <v>16</v>
      </c>
      <c r="W59" s="37">
        <v>15000</v>
      </c>
      <c r="X59" s="34">
        <f>W59*V59</f>
        <v>240000</v>
      </c>
      <c r="Y59" s="18"/>
    </row>
    <row r="60" spans="2:25" ht="33.6" customHeight="1" x14ac:dyDescent="0.35">
      <c r="P60" s="18">
        <f t="shared" si="17"/>
        <v>8</v>
      </c>
      <c r="Q60" s="138" t="s">
        <v>66</v>
      </c>
      <c r="R60" s="139"/>
      <c r="S60" s="139"/>
      <c r="T60" s="139"/>
      <c r="U60" s="140"/>
      <c r="V60" s="38"/>
      <c r="W60" s="39"/>
      <c r="X60" s="40">
        <f>SUM(X53:X59)</f>
        <v>6822130.4325000001</v>
      </c>
      <c r="Y60" s="18"/>
    </row>
    <row r="61" spans="2:25" ht="33.6" customHeight="1" x14ac:dyDescent="0.35">
      <c r="P61" s="27" t="s">
        <v>14</v>
      </c>
      <c r="Q61" s="129" t="s">
        <v>52</v>
      </c>
      <c r="R61" s="129"/>
      <c r="S61" s="129"/>
      <c r="T61" s="27" t="s">
        <v>53</v>
      </c>
      <c r="U61" s="33" t="s">
        <v>59</v>
      </c>
      <c r="V61" s="33"/>
      <c r="W61" s="27" t="s">
        <v>45</v>
      </c>
      <c r="X61" s="27" t="s">
        <v>46</v>
      </c>
      <c r="Y61" s="29"/>
    </row>
    <row r="62" spans="2:25" ht="33.6" customHeight="1" x14ac:dyDescent="0.35"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P62" s="18">
        <v>1</v>
      </c>
      <c r="Q62" s="124" t="s">
        <v>96</v>
      </c>
      <c r="R62" s="125"/>
      <c r="S62" s="125"/>
      <c r="T62" s="41">
        <f>T55+T56*2</f>
        <v>10448</v>
      </c>
      <c r="U62" s="2">
        <v>1</v>
      </c>
      <c r="V62" s="28"/>
      <c r="W62" s="41">
        <v>1000</v>
      </c>
      <c r="X62" s="41">
        <f>W62*T62*U62/1000</f>
        <v>10448</v>
      </c>
      <c r="Y62" s="29"/>
    </row>
    <row r="63" spans="2:25" ht="33.6" customHeight="1" x14ac:dyDescent="0.35">
      <c r="B63" s="127"/>
      <c r="C63" s="127"/>
      <c r="D63" s="141"/>
      <c r="E63" s="141"/>
      <c r="F63" s="141"/>
      <c r="G63" s="141"/>
      <c r="H63" s="141"/>
      <c r="I63" s="141"/>
      <c r="J63" s="127"/>
      <c r="K63" s="127"/>
      <c r="P63" s="18">
        <v>2</v>
      </c>
      <c r="Q63" s="124" t="s">
        <v>69</v>
      </c>
      <c r="R63" s="125"/>
      <c r="S63" s="126"/>
      <c r="T63" s="41"/>
      <c r="U63" s="61">
        <v>1</v>
      </c>
      <c r="V63" s="28"/>
      <c r="W63" s="41">
        <v>1000</v>
      </c>
      <c r="X63" s="41">
        <f t="shared" ref="X63:X64" si="18">W63*U63</f>
        <v>1000</v>
      </c>
      <c r="Y63" s="2"/>
    </row>
    <row r="64" spans="2:25" ht="33.6" customHeight="1" x14ac:dyDescent="0.35">
      <c r="B64" s="127"/>
      <c r="C64" s="127"/>
      <c r="D64" s="141"/>
      <c r="E64" s="141"/>
      <c r="F64" s="141"/>
      <c r="G64" s="141"/>
      <c r="H64" s="141"/>
      <c r="I64" s="141"/>
      <c r="J64" s="127"/>
      <c r="K64" s="127"/>
      <c r="P64" s="18">
        <f t="shared" ref="P64:P66" si="19">P63+1</f>
        <v>3</v>
      </c>
      <c r="Q64" s="124" t="s">
        <v>71</v>
      </c>
      <c r="R64" s="125"/>
      <c r="S64" s="126"/>
      <c r="T64" s="41"/>
      <c r="U64" s="2">
        <v>1</v>
      </c>
      <c r="V64" s="28"/>
      <c r="W64" s="41">
        <v>2000</v>
      </c>
      <c r="X64" s="41">
        <f t="shared" si="18"/>
        <v>2000</v>
      </c>
      <c r="Y64" s="2"/>
    </row>
    <row r="65" spans="2:25" ht="33.6" customHeight="1" x14ac:dyDescent="0.35">
      <c r="B65" s="127"/>
      <c r="C65" s="127"/>
      <c r="D65" s="141"/>
      <c r="E65" s="141"/>
      <c r="F65" s="141"/>
      <c r="G65" s="141"/>
      <c r="H65" s="141"/>
      <c r="I65" s="141"/>
      <c r="J65" s="127"/>
      <c r="K65" s="127"/>
      <c r="P65" s="18">
        <f t="shared" si="19"/>
        <v>4</v>
      </c>
      <c r="Q65" s="144" t="s">
        <v>70</v>
      </c>
      <c r="R65" s="144"/>
      <c r="S65" s="144"/>
      <c r="T65" s="144"/>
      <c r="U65" s="144"/>
      <c r="V65" s="38"/>
      <c r="W65" s="39"/>
      <c r="X65" s="40">
        <f>SUM(X62:X64)</f>
        <v>13448</v>
      </c>
      <c r="Y65" s="2"/>
    </row>
    <row r="66" spans="2:25" ht="45" customHeight="1" x14ac:dyDescent="0.35">
      <c r="P66" s="115">
        <f t="shared" si="19"/>
        <v>5</v>
      </c>
      <c r="Q66" s="145" t="s">
        <v>183</v>
      </c>
      <c r="R66" s="146"/>
      <c r="S66" s="146"/>
      <c r="T66" s="146"/>
      <c r="U66" s="147"/>
      <c r="V66" s="116"/>
      <c r="W66" s="117"/>
      <c r="X66" s="118">
        <f>X60+X65</f>
        <v>6835578.4325000001</v>
      </c>
      <c r="Y66" s="115"/>
    </row>
    <row r="67" spans="2:25" ht="36.6" customHeight="1" x14ac:dyDescent="0.35"/>
    <row r="70" spans="2:25" ht="55.8" x14ac:dyDescent="0.35">
      <c r="P70" s="27" t="s">
        <v>14</v>
      </c>
      <c r="Q70" s="129" t="s">
        <v>52</v>
      </c>
      <c r="R70" s="129"/>
      <c r="S70" s="129"/>
      <c r="T70" s="27" t="s">
        <v>53</v>
      </c>
      <c r="U70" s="33" t="s">
        <v>63</v>
      </c>
      <c r="V70" s="33" t="s">
        <v>64</v>
      </c>
      <c r="W70" s="27" t="s">
        <v>45</v>
      </c>
      <c r="X70" s="27" t="s">
        <v>46</v>
      </c>
      <c r="Y70" s="27" t="s">
        <v>39</v>
      </c>
    </row>
    <row r="71" spans="2:25" ht="25.2" customHeight="1" x14ac:dyDescent="0.35">
      <c r="P71" s="18">
        <v>1</v>
      </c>
      <c r="Q71" s="124" t="s">
        <v>173</v>
      </c>
      <c r="R71" s="125"/>
      <c r="S71" s="125"/>
      <c r="T71" s="59">
        <v>1</v>
      </c>
      <c r="U71" s="32">
        <v>2.7589999999999999</v>
      </c>
      <c r="V71" s="105">
        <f>U71*T71</f>
        <v>2.7589999999999999</v>
      </c>
      <c r="W71" s="37">
        <v>133000</v>
      </c>
      <c r="X71" s="34">
        <f>W71*V71</f>
        <v>366947</v>
      </c>
      <c r="Y71" s="177"/>
    </row>
    <row r="72" spans="2:25" ht="25.2" customHeight="1" x14ac:dyDescent="0.35">
      <c r="P72" s="18">
        <v>2</v>
      </c>
      <c r="Q72" s="124" t="s">
        <v>79</v>
      </c>
      <c r="R72" s="125"/>
      <c r="S72" s="126"/>
      <c r="T72" s="37"/>
      <c r="U72" s="32"/>
      <c r="V72" s="81"/>
      <c r="W72" s="58">
        <v>0.05</v>
      </c>
      <c r="X72" s="37">
        <f>SUM(X71)*W72</f>
        <v>18347.350000000002</v>
      </c>
      <c r="Y72" s="187"/>
    </row>
    <row r="73" spans="2:25" ht="25.2" customHeight="1" x14ac:dyDescent="0.35">
      <c r="P73" s="18">
        <v>3</v>
      </c>
      <c r="Q73" s="138" t="s">
        <v>66</v>
      </c>
      <c r="R73" s="139"/>
      <c r="S73" s="139"/>
      <c r="T73" s="139"/>
      <c r="U73" s="140"/>
      <c r="V73" s="38"/>
      <c r="W73" s="39"/>
      <c r="X73" s="40">
        <f>SUM(X71:X72)</f>
        <v>385294.35</v>
      </c>
      <c r="Y73" s="192"/>
    </row>
    <row r="74" spans="2:25" ht="25.2" customHeight="1" x14ac:dyDescent="0.35">
      <c r="P74" s="27" t="s">
        <v>14</v>
      </c>
      <c r="Q74" s="129" t="s">
        <v>52</v>
      </c>
      <c r="R74" s="129"/>
      <c r="S74" s="129"/>
      <c r="T74" s="27" t="s">
        <v>53</v>
      </c>
      <c r="U74" s="33" t="s">
        <v>59</v>
      </c>
      <c r="V74" s="33"/>
      <c r="W74" s="27" t="s">
        <v>45</v>
      </c>
      <c r="X74" s="27" t="s">
        <v>46</v>
      </c>
      <c r="Y74" s="29"/>
    </row>
    <row r="75" spans="2:25" ht="25.2" customHeight="1" x14ac:dyDescent="0.35">
      <c r="P75" s="18">
        <v>2</v>
      </c>
      <c r="Q75" s="124" t="s">
        <v>69</v>
      </c>
      <c r="R75" s="125"/>
      <c r="S75" s="126"/>
      <c r="T75" s="41"/>
      <c r="U75" s="61">
        <v>1</v>
      </c>
      <c r="V75" s="28"/>
      <c r="W75" s="41">
        <v>1000</v>
      </c>
      <c r="X75" s="41">
        <f t="shared" ref="X75:X76" si="20">W75*U75</f>
        <v>1000</v>
      </c>
      <c r="Y75" s="2"/>
    </row>
    <row r="76" spans="2:25" ht="25.2" customHeight="1" x14ac:dyDescent="0.35">
      <c r="P76" s="18">
        <f t="shared" ref="P76:P78" si="21">P75+1</f>
        <v>3</v>
      </c>
      <c r="Q76" s="124" t="s">
        <v>71</v>
      </c>
      <c r="R76" s="125"/>
      <c r="S76" s="126"/>
      <c r="T76" s="41"/>
      <c r="U76" s="2">
        <v>1</v>
      </c>
      <c r="V76" s="28"/>
      <c r="W76" s="41">
        <v>2000</v>
      </c>
      <c r="X76" s="41">
        <f t="shared" si="20"/>
        <v>2000</v>
      </c>
      <c r="Y76" s="2"/>
    </row>
    <row r="77" spans="2:25" ht="25.2" customHeight="1" x14ac:dyDescent="0.35">
      <c r="P77" s="18">
        <f t="shared" si="21"/>
        <v>4</v>
      </c>
      <c r="Q77" s="144" t="s">
        <v>70</v>
      </c>
      <c r="R77" s="144"/>
      <c r="S77" s="144"/>
      <c r="T77" s="144"/>
      <c r="U77" s="144"/>
      <c r="V77" s="38"/>
      <c r="W77" s="39"/>
      <c r="X77" s="40">
        <f>SUM(X75:X76)</f>
        <v>3000</v>
      </c>
      <c r="Y77" s="2"/>
    </row>
    <row r="78" spans="2:25" ht="47.4" customHeight="1" x14ac:dyDescent="0.35">
      <c r="P78" s="115">
        <f t="shared" si="21"/>
        <v>5</v>
      </c>
      <c r="Q78" s="145" t="s">
        <v>183</v>
      </c>
      <c r="R78" s="146"/>
      <c r="S78" s="146"/>
      <c r="T78" s="146"/>
      <c r="U78" s="147"/>
      <c r="V78" s="116"/>
      <c r="W78" s="117"/>
      <c r="X78" s="118">
        <f>X73+X77</f>
        <v>388294.35</v>
      </c>
      <c r="Y78" s="115"/>
    </row>
  </sheetData>
  <mergeCells count="194">
    <mergeCell ref="Q75:S75"/>
    <mergeCell ref="Q76:S76"/>
    <mergeCell ref="Q77:U77"/>
    <mergeCell ref="Y71:Y73"/>
    <mergeCell ref="Q72:S72"/>
    <mergeCell ref="Q73:U73"/>
    <mergeCell ref="Q74:S74"/>
    <mergeCell ref="Q70:S70"/>
    <mergeCell ref="Q71:S71"/>
    <mergeCell ref="Q64:S64"/>
    <mergeCell ref="B65:C65"/>
    <mergeCell ref="D65:E65"/>
    <mergeCell ref="F65:G65"/>
    <mergeCell ref="H65:I65"/>
    <mergeCell ref="J65:K65"/>
    <mergeCell ref="Q65:U65"/>
    <mergeCell ref="B64:C64"/>
    <mergeCell ref="D64:E64"/>
    <mergeCell ref="F64:G64"/>
    <mergeCell ref="H64:I64"/>
    <mergeCell ref="J64:K64"/>
    <mergeCell ref="Q62:S62"/>
    <mergeCell ref="B63:C63"/>
    <mergeCell ref="D63:E63"/>
    <mergeCell ref="F63:G63"/>
    <mergeCell ref="H63:I63"/>
    <mergeCell ref="J63:K63"/>
    <mergeCell ref="Q63:S63"/>
    <mergeCell ref="B62:C62"/>
    <mergeCell ref="D62:E62"/>
    <mergeCell ref="F62:G62"/>
    <mergeCell ref="H62:I62"/>
    <mergeCell ref="J62:K62"/>
    <mergeCell ref="I58:I59"/>
    <mergeCell ref="Q58:S58"/>
    <mergeCell ref="Q59:S59"/>
    <mergeCell ref="Q60:U60"/>
    <mergeCell ref="Q61:S61"/>
    <mergeCell ref="Y53:Y57"/>
    <mergeCell ref="M54:N55"/>
    <mergeCell ref="Q54:S54"/>
    <mergeCell ref="Q55:S55"/>
    <mergeCell ref="Q56:S56"/>
    <mergeCell ref="Q57:S57"/>
    <mergeCell ref="B52:F52"/>
    <mergeCell ref="I52:N52"/>
    <mergeCell ref="Q52:S52"/>
    <mergeCell ref="M53:N53"/>
    <mergeCell ref="Q53:S53"/>
    <mergeCell ref="B50:G50"/>
    <mergeCell ref="H50:I50"/>
    <mergeCell ref="J50:K50"/>
    <mergeCell ref="B51:C51"/>
    <mergeCell ref="D51:E51"/>
    <mergeCell ref="F51:G51"/>
    <mergeCell ref="H51:I51"/>
    <mergeCell ref="J51:K51"/>
    <mergeCell ref="Q48:S48"/>
    <mergeCell ref="B49:C49"/>
    <mergeCell ref="D49:E49"/>
    <mergeCell ref="F49:G49"/>
    <mergeCell ref="H49:I49"/>
    <mergeCell ref="J49:K49"/>
    <mergeCell ref="Q49:U49"/>
    <mergeCell ref="B48:C48"/>
    <mergeCell ref="D48:E48"/>
    <mergeCell ref="F48:G48"/>
    <mergeCell ref="H48:I48"/>
    <mergeCell ref="J48:K48"/>
    <mergeCell ref="Q46:S46"/>
    <mergeCell ref="B47:C47"/>
    <mergeCell ref="D47:E47"/>
    <mergeCell ref="F47:G47"/>
    <mergeCell ref="H47:I47"/>
    <mergeCell ref="J47:K47"/>
    <mergeCell ref="Q47:S47"/>
    <mergeCell ref="B46:C46"/>
    <mergeCell ref="D46:E46"/>
    <mergeCell ref="F46:G46"/>
    <mergeCell ref="H46:I46"/>
    <mergeCell ref="J46:K46"/>
    <mergeCell ref="B29:C29"/>
    <mergeCell ref="D29:E29"/>
    <mergeCell ref="I42:I43"/>
    <mergeCell ref="Q42:S42"/>
    <mergeCell ref="Q43:S43"/>
    <mergeCell ref="Q44:U44"/>
    <mergeCell ref="Q45:S45"/>
    <mergeCell ref="Y37:Y41"/>
    <mergeCell ref="M38:N39"/>
    <mergeCell ref="Q38:S38"/>
    <mergeCell ref="Q39:S39"/>
    <mergeCell ref="Q40:S40"/>
    <mergeCell ref="Q41:S41"/>
    <mergeCell ref="D28:E28"/>
    <mergeCell ref="F28:G28"/>
    <mergeCell ref="H28:I28"/>
    <mergeCell ref="J28:K28"/>
    <mergeCell ref="B36:F36"/>
    <mergeCell ref="I36:N36"/>
    <mergeCell ref="Q36:S36"/>
    <mergeCell ref="M37:N37"/>
    <mergeCell ref="Q37:S37"/>
    <mergeCell ref="B35:L35"/>
    <mergeCell ref="P35:Y35"/>
    <mergeCell ref="Q30:S30"/>
    <mergeCell ref="B31:C31"/>
    <mergeCell ref="D31:E31"/>
    <mergeCell ref="F31:G31"/>
    <mergeCell ref="H31:I31"/>
    <mergeCell ref="J31:K31"/>
    <mergeCell ref="Q31:U31"/>
    <mergeCell ref="B30:C30"/>
    <mergeCell ref="D30:E30"/>
    <mergeCell ref="F30:G30"/>
    <mergeCell ref="H30:I30"/>
    <mergeCell ref="J30:K30"/>
    <mergeCell ref="Q28:S28"/>
    <mergeCell ref="Y19:Y23"/>
    <mergeCell ref="Q20:S20"/>
    <mergeCell ref="Q21:S21"/>
    <mergeCell ref="Q22:S22"/>
    <mergeCell ref="Q23:S23"/>
    <mergeCell ref="F29:G29"/>
    <mergeCell ref="H29:I29"/>
    <mergeCell ref="J29:K29"/>
    <mergeCell ref="Q29:S29"/>
    <mergeCell ref="M20:N21"/>
    <mergeCell ref="Q10:U10"/>
    <mergeCell ref="B1:L1"/>
    <mergeCell ref="P1:Y1"/>
    <mergeCell ref="B2:F2"/>
    <mergeCell ref="I2:N2"/>
    <mergeCell ref="Q2:S2"/>
    <mergeCell ref="M3:N3"/>
    <mergeCell ref="Q3:S3"/>
    <mergeCell ref="Y3:Y7"/>
    <mergeCell ref="Q4:S4"/>
    <mergeCell ref="Q5:S5"/>
    <mergeCell ref="Q6:S6"/>
    <mergeCell ref="Q7:S7"/>
    <mergeCell ref="I8:I9"/>
    <mergeCell ref="Q8:S8"/>
    <mergeCell ref="Q9:S9"/>
    <mergeCell ref="M4:N5"/>
    <mergeCell ref="Q13:S13"/>
    <mergeCell ref="Q11:S11"/>
    <mergeCell ref="B12:C12"/>
    <mergeCell ref="D12:E12"/>
    <mergeCell ref="F12:G12"/>
    <mergeCell ref="H12:I12"/>
    <mergeCell ref="J12:K12"/>
    <mergeCell ref="Q12:S12"/>
    <mergeCell ref="B13:C13"/>
    <mergeCell ref="D13:E13"/>
    <mergeCell ref="F13:G13"/>
    <mergeCell ref="H13:I13"/>
    <mergeCell ref="J13:K13"/>
    <mergeCell ref="Q15:U15"/>
    <mergeCell ref="B14:C14"/>
    <mergeCell ref="D14:E14"/>
    <mergeCell ref="F14:G14"/>
    <mergeCell ref="H14:I14"/>
    <mergeCell ref="J14:K14"/>
    <mergeCell ref="Q14:S14"/>
    <mergeCell ref="B15:C15"/>
    <mergeCell ref="D15:E15"/>
    <mergeCell ref="F15:G15"/>
    <mergeCell ref="H15:I15"/>
    <mergeCell ref="J15:K15"/>
    <mergeCell ref="Q16:U16"/>
    <mergeCell ref="Q32:U32"/>
    <mergeCell ref="Q50:U50"/>
    <mergeCell ref="Q66:U66"/>
    <mergeCell ref="Q78:U78"/>
    <mergeCell ref="B16:G16"/>
    <mergeCell ref="H16:I16"/>
    <mergeCell ref="J16:K16"/>
    <mergeCell ref="B17:C17"/>
    <mergeCell ref="D17:E17"/>
    <mergeCell ref="F17:G17"/>
    <mergeCell ref="H17:I17"/>
    <mergeCell ref="J17:K17"/>
    <mergeCell ref="B18:F18"/>
    <mergeCell ref="I18:N18"/>
    <mergeCell ref="I24:I25"/>
    <mergeCell ref="Q24:S24"/>
    <mergeCell ref="Q25:S25"/>
    <mergeCell ref="Q26:U26"/>
    <mergeCell ref="Q27:S27"/>
    <mergeCell ref="Q18:S18"/>
    <mergeCell ref="M19:N19"/>
    <mergeCell ref="Q19:S19"/>
    <mergeCell ref="B28:C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W36"/>
  <sheetViews>
    <sheetView zoomScale="46" zoomScaleNormal="46" workbookViewId="0">
      <selection activeCell="V22" sqref="V22"/>
    </sheetView>
  </sheetViews>
  <sheetFormatPr defaultColWidth="15.6640625" defaultRowHeight="40.200000000000003" customHeight="1" x14ac:dyDescent="0.35"/>
  <cols>
    <col min="1" max="1" width="11.77734375" style="1" customWidth="1"/>
    <col min="2" max="12" width="15.6640625" style="1"/>
    <col min="13" max="13" width="5.44140625" style="1" customWidth="1"/>
    <col min="14" max="14" width="10.6640625" style="1" customWidth="1"/>
    <col min="15" max="15" width="22.21875" style="1" customWidth="1"/>
    <col min="16" max="16" width="19.109375" style="1" customWidth="1"/>
    <col min="17" max="17" width="22.21875" style="1" hidden="1" customWidth="1"/>
    <col min="18" max="22" width="22.21875" style="1" customWidth="1"/>
    <col min="23" max="23" width="45" style="1" customWidth="1"/>
    <col min="24" max="35" width="22.21875" style="1" customWidth="1"/>
    <col min="36" max="16384" width="15.6640625" style="1"/>
  </cols>
  <sheetData>
    <row r="1" spans="2:23" ht="40.20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78.75" customHeight="1" x14ac:dyDescent="0.35">
      <c r="B2" s="130" t="s">
        <v>49</v>
      </c>
      <c r="C2" s="130"/>
      <c r="D2" s="130"/>
      <c r="E2" s="130"/>
      <c r="F2" s="130"/>
      <c r="G2" s="21"/>
      <c r="H2" s="131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33" t="s">
        <v>116</v>
      </c>
      <c r="S2" s="33" t="s">
        <v>63</v>
      </c>
      <c r="T2" s="33" t="s">
        <v>115</v>
      </c>
      <c r="U2" s="27" t="s">
        <v>45</v>
      </c>
      <c r="V2" s="27" t="s">
        <v>46</v>
      </c>
      <c r="W2" s="27" t="s">
        <v>39</v>
      </c>
    </row>
    <row r="3" spans="2:23" ht="40.200000000000003" customHeight="1" x14ac:dyDescent="0.35">
      <c r="B3" s="132"/>
      <c r="C3" s="133"/>
      <c r="D3" s="133"/>
      <c r="E3" s="3" t="s">
        <v>0</v>
      </c>
      <c r="F3" s="19" t="s">
        <v>1</v>
      </c>
      <c r="G3" s="3"/>
      <c r="H3" s="131"/>
      <c r="I3" s="5" t="s">
        <v>4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54</v>
      </c>
      <c r="P3" s="125"/>
      <c r="Q3" s="125"/>
      <c r="R3" s="37">
        <f>K4*L4+K5*L5</f>
        <v>4900</v>
      </c>
      <c r="S3" s="88">
        <v>1.236</v>
      </c>
      <c r="T3" s="35">
        <f>S3*R3</f>
        <v>6056.4</v>
      </c>
      <c r="U3" s="37">
        <v>128000</v>
      </c>
      <c r="V3" s="34">
        <f>U3*T3/1000</f>
        <v>775219.19999999995</v>
      </c>
      <c r="W3" s="177"/>
    </row>
    <row r="4" spans="2:23" ht="40.200000000000003" customHeight="1" x14ac:dyDescent="0.35">
      <c r="B4" s="132"/>
      <c r="C4" s="133"/>
      <c r="D4" s="133"/>
      <c r="E4" s="3">
        <v>900</v>
      </c>
      <c r="F4" s="3">
        <v>2000</v>
      </c>
      <c r="G4" s="3"/>
      <c r="H4" s="6" t="s">
        <v>19</v>
      </c>
      <c r="I4" s="3" t="s">
        <v>10</v>
      </c>
      <c r="J4" s="6" t="s">
        <v>150</v>
      </c>
      <c r="K4" s="85">
        <f>E4</f>
        <v>900</v>
      </c>
      <c r="L4" s="3">
        <v>1</v>
      </c>
      <c r="N4" s="18">
        <f>N3+1</f>
        <v>2</v>
      </c>
      <c r="O4" s="124" t="s">
        <v>55</v>
      </c>
      <c r="P4" s="125"/>
      <c r="Q4" s="125"/>
      <c r="R4" s="37">
        <f>K6*L6+K7*L7</f>
        <v>5540</v>
      </c>
      <c r="S4" s="88">
        <v>1.6659999999999999</v>
      </c>
      <c r="T4" s="35">
        <f t="shared" ref="T4:T5" si="0">S4*R4</f>
        <v>9229.64</v>
      </c>
      <c r="U4" s="37">
        <v>128000</v>
      </c>
      <c r="V4" s="34">
        <f t="shared" ref="V4:V6" si="1">U4*T4/1000</f>
        <v>1181393.9199999999</v>
      </c>
      <c r="W4" s="178"/>
    </row>
    <row r="5" spans="2:23" ht="40.200000000000003" customHeight="1" x14ac:dyDescent="0.35">
      <c r="B5" s="132"/>
      <c r="C5" s="133"/>
      <c r="D5" s="133"/>
      <c r="E5" s="43"/>
      <c r="F5" s="45" t="s">
        <v>47</v>
      </c>
      <c r="G5" s="45" t="s">
        <v>120</v>
      </c>
      <c r="H5" s="6" t="s">
        <v>20</v>
      </c>
      <c r="I5" s="3" t="s">
        <v>41</v>
      </c>
      <c r="J5" s="6" t="s">
        <v>150</v>
      </c>
      <c r="K5" s="85">
        <f>F4</f>
        <v>2000</v>
      </c>
      <c r="L5" s="3">
        <v>2</v>
      </c>
      <c r="N5" s="18">
        <f t="shared" ref="N5:N11" si="2">N4+1</f>
        <v>3</v>
      </c>
      <c r="O5" s="124" t="s">
        <v>56</v>
      </c>
      <c r="P5" s="125"/>
      <c r="Q5" s="125"/>
      <c r="R5" s="37">
        <f>R4</f>
        <v>5540</v>
      </c>
      <c r="S5" s="88">
        <v>0.33900000000000002</v>
      </c>
      <c r="T5" s="35">
        <f t="shared" si="0"/>
        <v>1878.0600000000002</v>
      </c>
      <c r="U5" s="37">
        <v>128000</v>
      </c>
      <c r="V5" s="34">
        <f t="shared" si="1"/>
        <v>240391.68000000002</v>
      </c>
      <c r="W5" s="178"/>
    </row>
    <row r="6" spans="2:23" ht="40.200000000000003" customHeight="1" x14ac:dyDescent="0.35">
      <c r="B6" s="132"/>
      <c r="C6" s="133"/>
      <c r="D6" s="133"/>
      <c r="E6" s="61"/>
      <c r="F6" s="20">
        <f>F4*E4/1000</f>
        <v>1800</v>
      </c>
      <c r="G6" s="91">
        <f>SUM(T3:T6)</f>
        <v>17613.428</v>
      </c>
      <c r="H6" s="6" t="s">
        <v>21</v>
      </c>
      <c r="I6" s="3" t="s">
        <v>12</v>
      </c>
      <c r="J6" s="6" t="s">
        <v>174</v>
      </c>
      <c r="K6" s="86">
        <f>E4-80</f>
        <v>820</v>
      </c>
      <c r="L6" s="3">
        <v>2</v>
      </c>
      <c r="N6" s="18">
        <f t="shared" si="2"/>
        <v>4</v>
      </c>
      <c r="O6" s="124" t="s">
        <v>57</v>
      </c>
      <c r="P6" s="125"/>
      <c r="Q6" s="125"/>
      <c r="R6" s="37">
        <f>K8*L8</f>
        <v>759</v>
      </c>
      <c r="S6" s="88">
        <v>0.59199999999999997</v>
      </c>
      <c r="T6" s="35">
        <f>S6*R6</f>
        <v>449.32799999999997</v>
      </c>
      <c r="U6" s="37">
        <v>128000</v>
      </c>
      <c r="V6" s="34">
        <f t="shared" si="1"/>
        <v>57513.983999999997</v>
      </c>
      <c r="W6" s="179"/>
    </row>
    <row r="7" spans="2:23" ht="40.200000000000003" customHeight="1" x14ac:dyDescent="0.35">
      <c r="B7" s="132"/>
      <c r="C7" s="133"/>
      <c r="D7" s="133"/>
      <c r="E7" s="3"/>
      <c r="F7" s="45" t="s">
        <v>43</v>
      </c>
      <c r="G7" s="45" t="s">
        <v>50</v>
      </c>
      <c r="H7" s="6" t="s">
        <v>22</v>
      </c>
      <c r="I7" s="3" t="s">
        <v>13</v>
      </c>
      <c r="J7" s="6" t="s">
        <v>174</v>
      </c>
      <c r="K7" s="86">
        <f>IF(AND(F9="X",G9=""),K5-F8,0)+IF(AND(G9="X",F9=""),K5-G8,0)</f>
        <v>1950</v>
      </c>
      <c r="L7" s="3">
        <v>2</v>
      </c>
      <c r="N7" s="18">
        <f t="shared" si="2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112725.93920000001</v>
      </c>
      <c r="W7" s="46"/>
    </row>
    <row r="8" spans="2:23" ht="40.200000000000003" customHeight="1" x14ac:dyDescent="0.35">
      <c r="B8" s="132"/>
      <c r="C8" s="133"/>
      <c r="D8" s="133"/>
      <c r="E8" s="3"/>
      <c r="F8" s="15">
        <v>50</v>
      </c>
      <c r="G8" s="15">
        <v>30</v>
      </c>
      <c r="H8" s="6" t="s">
        <v>24</v>
      </c>
      <c r="I8" s="3" t="s">
        <v>58</v>
      </c>
      <c r="J8" s="6" t="s">
        <v>151</v>
      </c>
      <c r="K8" s="111">
        <f>K6-61</f>
        <v>759</v>
      </c>
      <c r="L8" s="3">
        <v>1</v>
      </c>
      <c r="N8" s="18">
        <f t="shared" si="2"/>
        <v>6</v>
      </c>
      <c r="O8" s="124" t="s">
        <v>153</v>
      </c>
      <c r="P8" s="125"/>
      <c r="Q8" s="125"/>
      <c r="R8" s="32"/>
      <c r="S8" s="32"/>
      <c r="T8" s="36">
        <v>2</v>
      </c>
      <c r="U8" s="37">
        <v>19500</v>
      </c>
      <c r="V8" s="34">
        <f t="shared" ref="V8:V10" si="3">U8*T8</f>
        <v>39000</v>
      </c>
      <c r="W8" s="18"/>
    </row>
    <row r="9" spans="2:23" ht="40.200000000000003" customHeight="1" x14ac:dyDescent="0.35">
      <c r="B9" s="132"/>
      <c r="C9" s="133"/>
      <c r="D9" s="133"/>
      <c r="E9" s="2" t="s">
        <v>40</v>
      </c>
      <c r="F9" s="3" t="s">
        <v>44</v>
      </c>
      <c r="G9" s="3"/>
      <c r="H9" s="6" t="s">
        <v>25</v>
      </c>
      <c r="I9" s="131" t="s">
        <v>15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152</v>
      </c>
      <c r="P9" s="125"/>
      <c r="Q9" s="125"/>
      <c r="R9" s="32"/>
      <c r="S9" s="32"/>
      <c r="T9" s="36">
        <v>4</v>
      </c>
      <c r="U9" s="37">
        <v>20500</v>
      </c>
      <c r="V9" s="34">
        <f t="shared" si="3"/>
        <v>82000</v>
      </c>
      <c r="W9" s="29" t="s">
        <v>74</v>
      </c>
    </row>
    <row r="10" spans="2:23" ht="40.200000000000003" customHeight="1" x14ac:dyDescent="0.35">
      <c r="B10" s="134"/>
      <c r="C10" s="135"/>
      <c r="D10" s="135"/>
      <c r="E10" s="2"/>
      <c r="F10" s="3"/>
      <c r="G10" s="3"/>
      <c r="H10" s="6" t="s">
        <v>28</v>
      </c>
      <c r="I10" s="131"/>
      <c r="J10" s="91">
        <f>K6-158</f>
        <v>662</v>
      </c>
      <c r="K10" s="91">
        <f>K7-158</f>
        <v>1792</v>
      </c>
      <c r="L10" s="3">
        <v>1</v>
      </c>
      <c r="N10" s="18">
        <f t="shared" si="2"/>
        <v>8</v>
      </c>
      <c r="O10" s="124" t="s">
        <v>62</v>
      </c>
      <c r="P10" s="125"/>
      <c r="Q10" s="125"/>
      <c r="R10" s="32"/>
      <c r="S10" s="32"/>
      <c r="T10" s="36">
        <f>T9*2+T8</f>
        <v>10</v>
      </c>
      <c r="U10" s="37">
        <v>100</v>
      </c>
      <c r="V10" s="34">
        <f t="shared" si="3"/>
        <v>1000</v>
      </c>
      <c r="W10" s="29" t="s">
        <v>75</v>
      </c>
    </row>
    <row r="11" spans="2:23" ht="40.200000000000003" customHeight="1" x14ac:dyDescent="0.35"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2489244.7231999999</v>
      </c>
      <c r="W11" s="18"/>
    </row>
    <row r="12" spans="2:23" ht="40.200000000000003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44"/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40.200000000000003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L13" s="60"/>
      <c r="N13" s="18">
        <v>1</v>
      </c>
      <c r="O13" s="124" t="s">
        <v>67</v>
      </c>
      <c r="P13" s="125"/>
      <c r="Q13" s="125"/>
      <c r="R13" s="41">
        <f>R3+R4</f>
        <v>10440</v>
      </c>
      <c r="S13" s="2">
        <v>1</v>
      </c>
      <c r="T13" s="28"/>
      <c r="U13" s="41">
        <v>1000</v>
      </c>
      <c r="V13" s="41">
        <f>U13*R13*S13/1000</f>
        <v>10440</v>
      </c>
      <c r="W13" s="2"/>
    </row>
    <row r="14" spans="2:23" ht="40.20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L14" s="60"/>
      <c r="N14" s="18">
        <f>N13+1</f>
        <v>2</v>
      </c>
      <c r="O14" s="124" t="s">
        <v>48</v>
      </c>
      <c r="P14" s="125"/>
      <c r="Q14" s="125"/>
      <c r="R14" s="41">
        <f>R4*2</f>
        <v>11080</v>
      </c>
      <c r="S14" s="2">
        <v>1</v>
      </c>
      <c r="T14" s="28"/>
      <c r="U14" s="41">
        <v>1000</v>
      </c>
      <c r="V14" s="41">
        <f>U14*R14*S14/1000</f>
        <v>11080</v>
      </c>
      <c r="W14" s="2"/>
    </row>
    <row r="15" spans="2:23" ht="40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L15" s="60"/>
      <c r="N15" s="18">
        <f t="shared" ref="N15:N19" si="4">N14+1</f>
        <v>3</v>
      </c>
      <c r="O15" s="124" t="s">
        <v>68</v>
      </c>
      <c r="P15" s="125"/>
      <c r="Q15" s="125"/>
      <c r="R15" s="41"/>
      <c r="S15" s="2">
        <v>1</v>
      </c>
      <c r="T15" s="28"/>
      <c r="U15" s="106">
        <v>3500</v>
      </c>
      <c r="V15" s="41">
        <f>U15*S15</f>
        <v>3500</v>
      </c>
      <c r="W15" s="29" t="s">
        <v>76</v>
      </c>
    </row>
    <row r="16" spans="2:23" ht="40.200000000000003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L16" s="60"/>
      <c r="N16" s="18">
        <f t="shared" si="4"/>
        <v>4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5">U16*S16</f>
        <v>1000</v>
      </c>
      <c r="W16" s="29" t="s">
        <v>87</v>
      </c>
    </row>
    <row r="17" spans="2:23" ht="40.200000000000003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L17" s="60"/>
      <c r="N17" s="18">
        <f t="shared" si="4"/>
        <v>5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5"/>
        <v>2000</v>
      </c>
      <c r="W17" s="29" t="s">
        <v>87</v>
      </c>
    </row>
    <row r="18" spans="2:23" ht="40.200000000000003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L18" s="60"/>
      <c r="N18" s="18">
        <f t="shared" si="4"/>
        <v>6</v>
      </c>
      <c r="O18" s="144" t="s">
        <v>70</v>
      </c>
      <c r="P18" s="144"/>
      <c r="Q18" s="144"/>
      <c r="R18" s="144"/>
      <c r="S18" s="144"/>
      <c r="T18" s="38"/>
      <c r="U18" s="39"/>
      <c r="V18" s="40">
        <f>SUM(V13:V17)</f>
        <v>28020</v>
      </c>
      <c r="W18" s="2"/>
    </row>
    <row r="19" spans="2:23" ht="40.200000000000003" customHeight="1" x14ac:dyDescent="0.35">
      <c r="B19" s="127"/>
      <c r="C19" s="127"/>
      <c r="D19" s="127"/>
      <c r="E19" s="127"/>
      <c r="F19" s="127"/>
      <c r="G19" s="127"/>
      <c r="H19" s="148"/>
      <c r="I19" s="148"/>
      <c r="J19" s="127"/>
      <c r="K19" s="127"/>
      <c r="L19" s="60"/>
      <c r="N19" s="115">
        <f t="shared" si="4"/>
        <v>7</v>
      </c>
      <c r="O19" s="145" t="s">
        <v>183</v>
      </c>
      <c r="P19" s="146"/>
      <c r="Q19" s="146"/>
      <c r="R19" s="146"/>
      <c r="S19" s="147"/>
      <c r="T19" s="116"/>
      <c r="U19" s="117"/>
      <c r="V19" s="118">
        <f>V11+V18</f>
        <v>2517264.7231999999</v>
      </c>
      <c r="W19" s="115"/>
    </row>
    <row r="20" spans="2:23" ht="40.200000000000003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  <c r="L20" s="60"/>
      <c r="N20" s="22"/>
      <c r="O20" s="143"/>
      <c r="P20" s="143"/>
      <c r="Q20" s="51"/>
      <c r="R20" s="49"/>
      <c r="S20" s="49"/>
      <c r="T20" s="53"/>
      <c r="U20" s="49"/>
      <c r="V20" s="53"/>
    </row>
    <row r="21" spans="2:23" ht="40.200000000000003" customHeight="1" x14ac:dyDescent="0.35">
      <c r="N21" s="22"/>
      <c r="O21" s="143"/>
      <c r="P21" s="143"/>
      <c r="Q21" s="51"/>
      <c r="R21" s="49"/>
      <c r="S21" s="49"/>
      <c r="T21" s="52"/>
      <c r="U21" s="49"/>
      <c r="V21" s="53"/>
    </row>
    <row r="22" spans="2:23" ht="40.200000000000003" customHeight="1" x14ac:dyDescent="0.35">
      <c r="N22" s="22"/>
      <c r="O22" s="143"/>
      <c r="P22" s="143"/>
      <c r="Q22" s="51"/>
      <c r="R22" s="49"/>
      <c r="S22" s="49"/>
      <c r="T22" s="52"/>
      <c r="U22" s="49"/>
      <c r="V22" s="53"/>
    </row>
    <row r="23" spans="2:23" ht="40.200000000000003" customHeight="1" x14ac:dyDescent="0.35">
      <c r="N23" s="22"/>
      <c r="O23" s="143"/>
      <c r="P23" s="143"/>
      <c r="Q23" s="51"/>
      <c r="R23" s="49"/>
      <c r="S23" s="49"/>
      <c r="T23" s="52"/>
      <c r="U23" s="49"/>
      <c r="V23" s="53"/>
    </row>
    <row r="24" spans="2:23" ht="40.200000000000003" customHeight="1" x14ac:dyDescent="0.35">
      <c r="N24" s="22"/>
      <c r="O24" s="143"/>
      <c r="P24" s="143"/>
      <c r="Q24" s="51"/>
      <c r="R24" s="49"/>
      <c r="S24" s="49"/>
      <c r="T24" s="54"/>
      <c r="U24" s="49"/>
      <c r="V24" s="53"/>
    </row>
    <row r="25" spans="2:23" ht="40.200000000000003" customHeight="1" x14ac:dyDescent="0.35">
      <c r="N25" s="22"/>
      <c r="O25" s="143"/>
      <c r="P25" s="143"/>
      <c r="Q25" s="51"/>
      <c r="R25" s="49"/>
      <c r="S25" s="49"/>
      <c r="T25" s="54"/>
      <c r="U25" s="49"/>
      <c r="V25" s="53"/>
    </row>
    <row r="26" spans="2:23" ht="40.200000000000003" customHeight="1" x14ac:dyDescent="0.35">
      <c r="N26" s="22"/>
      <c r="O26" s="143"/>
      <c r="P26" s="143"/>
      <c r="Q26" s="51"/>
      <c r="R26" s="49"/>
      <c r="S26" s="49"/>
      <c r="T26" s="54"/>
      <c r="U26" s="49"/>
      <c r="V26" s="53"/>
    </row>
    <row r="27" spans="2:23" ht="40.200000000000003" customHeight="1" x14ac:dyDescent="0.35">
      <c r="N27" s="22"/>
      <c r="O27" s="143"/>
      <c r="P27" s="143"/>
      <c r="Q27" s="51"/>
      <c r="R27" s="49"/>
      <c r="S27" s="49"/>
      <c r="T27" s="54"/>
      <c r="U27" s="49"/>
      <c r="V27" s="53"/>
    </row>
    <row r="28" spans="2:23" ht="40.200000000000003" customHeight="1" x14ac:dyDescent="0.35">
      <c r="N28" s="22"/>
      <c r="O28" s="143"/>
      <c r="P28" s="143"/>
      <c r="Q28" s="51"/>
      <c r="R28" s="49"/>
      <c r="S28" s="49"/>
      <c r="T28" s="54"/>
      <c r="U28" s="49"/>
      <c r="V28" s="53"/>
    </row>
    <row r="29" spans="2:23" ht="40.200000000000003" customHeight="1" x14ac:dyDescent="0.35">
      <c r="N29" s="22"/>
      <c r="O29" s="143"/>
      <c r="P29" s="143"/>
      <c r="Q29" s="51"/>
      <c r="R29" s="49"/>
      <c r="S29" s="49"/>
      <c r="T29" s="54"/>
      <c r="U29" s="49"/>
      <c r="V29" s="53"/>
    </row>
    <row r="30" spans="2:23" ht="40.200000000000003" customHeight="1" x14ac:dyDescent="0.35">
      <c r="N30" s="22"/>
      <c r="O30" s="143"/>
      <c r="P30" s="143"/>
      <c r="Q30" s="51"/>
      <c r="R30" s="49"/>
      <c r="S30" s="49"/>
      <c r="T30" s="54"/>
      <c r="U30" s="49"/>
      <c r="V30" s="53"/>
    </row>
    <row r="31" spans="2:23" ht="40.200000000000003" customHeight="1" x14ac:dyDescent="0.35">
      <c r="N31" s="22"/>
      <c r="O31" s="143"/>
      <c r="P31" s="143"/>
      <c r="Q31" s="51"/>
      <c r="R31" s="49"/>
      <c r="S31" s="49"/>
      <c r="T31" s="54"/>
      <c r="U31" s="49"/>
      <c r="V31" s="53"/>
    </row>
    <row r="32" spans="2:23" ht="40.200000000000003" customHeight="1" x14ac:dyDescent="0.35">
      <c r="N32" s="22"/>
      <c r="O32" s="143"/>
      <c r="P32" s="143"/>
      <c r="Q32" s="51"/>
      <c r="R32" s="49"/>
      <c r="S32" s="49"/>
      <c r="T32" s="54"/>
      <c r="U32" s="49"/>
      <c r="V32" s="53"/>
    </row>
    <row r="33" spans="14:22" ht="40.200000000000003" customHeight="1" x14ac:dyDescent="0.35">
      <c r="N33" s="22"/>
      <c r="O33" s="143"/>
      <c r="P33" s="143"/>
      <c r="Q33" s="51"/>
      <c r="R33" s="49"/>
      <c r="S33" s="49"/>
      <c r="T33" s="54"/>
      <c r="U33" s="49"/>
      <c r="V33" s="53"/>
    </row>
    <row r="34" spans="14:22" ht="40.200000000000003" customHeight="1" x14ac:dyDescent="0.35">
      <c r="N34" s="22"/>
      <c r="O34" s="143"/>
      <c r="P34" s="143"/>
      <c r="Q34" s="51"/>
      <c r="R34" s="49"/>
      <c r="S34" s="49"/>
      <c r="T34" s="54"/>
      <c r="U34" s="49"/>
      <c r="V34" s="53"/>
    </row>
    <row r="35" spans="14:22" ht="40.200000000000003" customHeight="1" x14ac:dyDescent="0.35">
      <c r="N35" s="22"/>
      <c r="O35" s="142"/>
      <c r="P35" s="142"/>
      <c r="Q35" s="142"/>
      <c r="R35" s="142"/>
      <c r="S35" s="142"/>
      <c r="T35" s="56"/>
      <c r="U35" s="49"/>
      <c r="V35" s="53"/>
    </row>
    <row r="36" spans="14:22" ht="40.200000000000003" customHeight="1" x14ac:dyDescent="0.35">
      <c r="O36" s="57"/>
      <c r="P36" s="57"/>
      <c r="Q36" s="57"/>
      <c r="R36" s="57"/>
      <c r="S36" s="57"/>
      <c r="T36" s="57"/>
      <c r="U36" s="57"/>
      <c r="V36" s="57"/>
    </row>
  </sheetData>
  <mergeCells count="82">
    <mergeCell ref="O9:Q9"/>
    <mergeCell ref="O10:Q10"/>
    <mergeCell ref="B1:L1"/>
    <mergeCell ref="N1:W1"/>
    <mergeCell ref="B2:F2"/>
    <mergeCell ref="H2:H3"/>
    <mergeCell ref="I2:L2"/>
    <mergeCell ref="O2:Q2"/>
    <mergeCell ref="B3:D10"/>
    <mergeCell ref="O3:Q3"/>
    <mergeCell ref="W3:W6"/>
    <mergeCell ref="O4:Q4"/>
    <mergeCell ref="O5:Q5"/>
    <mergeCell ref="O6:Q6"/>
    <mergeCell ref="O7:Q7"/>
    <mergeCell ref="O8:Q8"/>
    <mergeCell ref="B11:L11"/>
    <mergeCell ref="B13:C13"/>
    <mergeCell ref="D13:E13"/>
    <mergeCell ref="F13:G13"/>
    <mergeCell ref="H13:I13"/>
    <mergeCell ref="J13:K13"/>
    <mergeCell ref="D12:E12"/>
    <mergeCell ref="F12:G12"/>
    <mergeCell ref="H12:I12"/>
    <mergeCell ref="J12:K12"/>
    <mergeCell ref="B12:C12"/>
    <mergeCell ref="O12:Q12"/>
    <mergeCell ref="I9:I10"/>
    <mergeCell ref="O15:Q15"/>
    <mergeCell ref="B14:C14"/>
    <mergeCell ref="D14:E14"/>
    <mergeCell ref="F14:G14"/>
    <mergeCell ref="H14:I14"/>
    <mergeCell ref="J14:K14"/>
    <mergeCell ref="O14:Q14"/>
    <mergeCell ref="B15:C15"/>
    <mergeCell ref="D15:E15"/>
    <mergeCell ref="F15:G15"/>
    <mergeCell ref="H15:I15"/>
    <mergeCell ref="J15:K15"/>
    <mergeCell ref="O13:Q13"/>
    <mergeCell ref="O11:S11"/>
    <mergeCell ref="B16:G16"/>
    <mergeCell ref="H16:I16"/>
    <mergeCell ref="J16:K16"/>
    <mergeCell ref="O16:Q16"/>
    <mergeCell ref="B17:C17"/>
    <mergeCell ref="D17:E17"/>
    <mergeCell ref="F17:G17"/>
    <mergeCell ref="H17:I17"/>
    <mergeCell ref="J17:K17"/>
    <mergeCell ref="O17:Q17"/>
    <mergeCell ref="B18:G18"/>
    <mergeCell ref="H18:I18"/>
    <mergeCell ref="J18:K18"/>
    <mergeCell ref="O18:S18"/>
    <mergeCell ref="B19:G19"/>
    <mergeCell ref="H19:I19"/>
    <mergeCell ref="J19:K19"/>
    <mergeCell ref="O19:S19"/>
    <mergeCell ref="O26:P26"/>
    <mergeCell ref="B20:C20"/>
    <mergeCell ref="D20:E20"/>
    <mergeCell ref="F20:G20"/>
    <mergeCell ref="H20:I20"/>
    <mergeCell ref="J20:K20"/>
    <mergeCell ref="O20:P20"/>
    <mergeCell ref="O21:P21"/>
    <mergeCell ref="O22:P22"/>
    <mergeCell ref="O23:P23"/>
    <mergeCell ref="O24:P24"/>
    <mergeCell ref="O25:P25"/>
    <mergeCell ref="O33:P33"/>
    <mergeCell ref="O34:P34"/>
    <mergeCell ref="O35:S35"/>
    <mergeCell ref="O27:P27"/>
    <mergeCell ref="O28:P28"/>
    <mergeCell ref="O29:P29"/>
    <mergeCell ref="O30:P30"/>
    <mergeCell ref="O31:P31"/>
    <mergeCell ref="O32:P3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W29"/>
  <sheetViews>
    <sheetView topLeftCell="E2" zoomScale="52" zoomScaleNormal="52" workbookViewId="0">
      <selection activeCell="V22" sqref="V22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3" width="18.6640625" style="1"/>
    <col min="14" max="14" width="9.6640625" style="1" customWidth="1"/>
    <col min="15" max="22" width="18.6640625" style="1"/>
    <col min="23" max="23" width="39.6640625" style="47" customWidth="1"/>
    <col min="24" max="16384" width="18.6640625" style="1"/>
  </cols>
  <sheetData>
    <row r="1" spans="2:23" ht="37.95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58.95" customHeight="1" x14ac:dyDescent="0.35">
      <c r="B2" s="130"/>
      <c r="C2" s="130"/>
      <c r="D2" s="130"/>
      <c r="E2" s="130"/>
      <c r="F2" s="130"/>
      <c r="G2" s="8"/>
      <c r="H2" s="150" t="s">
        <v>14</v>
      </c>
      <c r="I2" s="152" t="s">
        <v>9</v>
      </c>
      <c r="J2" s="153"/>
      <c r="K2" s="153"/>
      <c r="L2" s="154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37.95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151"/>
      <c r="I3" s="9" t="s">
        <v>4</v>
      </c>
      <c r="J3" s="9" t="s">
        <v>3</v>
      </c>
      <c r="K3" s="9" t="s">
        <v>5</v>
      </c>
      <c r="L3" s="9" t="s">
        <v>2</v>
      </c>
      <c r="N3" s="18">
        <v>1</v>
      </c>
      <c r="O3" s="124" t="s">
        <v>54</v>
      </c>
      <c r="P3" s="125"/>
      <c r="Q3" s="125"/>
      <c r="R3" s="37">
        <f>K4*L4+K5*L5</f>
        <v>5800</v>
      </c>
      <c r="S3" s="88">
        <v>1.236</v>
      </c>
      <c r="T3" s="35">
        <f>S3*R3</f>
        <v>7168.8</v>
      </c>
      <c r="U3" s="37">
        <v>128000</v>
      </c>
      <c r="V3" s="34">
        <f>U3*T3/1000</f>
        <v>917606.40000000002</v>
      </c>
      <c r="W3" s="177"/>
    </row>
    <row r="4" spans="2:23" ht="37.950000000000003" customHeight="1" x14ac:dyDescent="0.35">
      <c r="B4" s="132"/>
      <c r="C4" s="133"/>
      <c r="D4" s="133"/>
      <c r="E4" s="3">
        <v>1800</v>
      </c>
      <c r="F4" s="3">
        <v>2000</v>
      </c>
      <c r="G4" s="3"/>
      <c r="H4" s="3">
        <v>1</v>
      </c>
      <c r="I4" s="3" t="s">
        <v>10</v>
      </c>
      <c r="J4" s="6" t="s">
        <v>150</v>
      </c>
      <c r="K4" s="3">
        <f>E4</f>
        <v>1800</v>
      </c>
      <c r="L4" s="3">
        <v>1</v>
      </c>
      <c r="N4" s="18">
        <f>N3+1</f>
        <v>2</v>
      </c>
      <c r="O4" s="124" t="s">
        <v>55</v>
      </c>
      <c r="P4" s="125"/>
      <c r="Q4" s="125"/>
      <c r="R4" s="37">
        <f>K6*L6+K7*L7</f>
        <v>11230</v>
      </c>
      <c r="S4" s="88">
        <v>1.6659999999999999</v>
      </c>
      <c r="T4" s="35">
        <f t="shared" ref="T4:T5" si="0">S4*R4</f>
        <v>18709.18</v>
      </c>
      <c r="U4" s="37">
        <v>128000</v>
      </c>
      <c r="V4" s="34">
        <f t="shared" ref="V4:V7" si="1">U4*T4/1000</f>
        <v>2394775.04</v>
      </c>
      <c r="W4" s="178"/>
    </row>
    <row r="5" spans="2:23" ht="37.95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10">
        <f>H4+1</f>
        <v>2</v>
      </c>
      <c r="I5" s="3" t="s">
        <v>11</v>
      </c>
      <c r="J5" s="6" t="s">
        <v>150</v>
      </c>
      <c r="K5" s="3">
        <f>F4</f>
        <v>2000</v>
      </c>
      <c r="L5" s="3">
        <v>2</v>
      </c>
      <c r="N5" s="18">
        <f t="shared" ref="N5:N12" si="2">N4+1</f>
        <v>3</v>
      </c>
      <c r="O5" s="124" t="s">
        <v>56</v>
      </c>
      <c r="P5" s="125"/>
      <c r="Q5" s="125"/>
      <c r="R5" s="37">
        <f>R4</f>
        <v>11230</v>
      </c>
      <c r="S5" s="88">
        <v>0.33900000000000002</v>
      </c>
      <c r="T5" s="35">
        <f t="shared" si="0"/>
        <v>3806.9700000000003</v>
      </c>
      <c r="U5" s="37">
        <v>128000</v>
      </c>
      <c r="V5" s="34">
        <f t="shared" si="1"/>
        <v>487292.16000000003</v>
      </c>
      <c r="W5" s="178"/>
    </row>
    <row r="6" spans="2:23" ht="37.950000000000003" customHeight="1" x14ac:dyDescent="0.35">
      <c r="B6" s="132"/>
      <c r="C6" s="133"/>
      <c r="D6" s="133"/>
      <c r="E6" s="61"/>
      <c r="F6" s="20">
        <f>F4*E4/1000</f>
        <v>3600</v>
      </c>
      <c r="G6" s="91">
        <f>SUM(T3:T7)</f>
        <v>32586.158000000003</v>
      </c>
      <c r="H6" s="10">
        <f t="shared" ref="H6:H11" si="3">H5+1</f>
        <v>3</v>
      </c>
      <c r="I6" s="3" t="s">
        <v>17</v>
      </c>
      <c r="J6" s="6" t="s">
        <v>174</v>
      </c>
      <c r="K6" s="112">
        <f>(E4-40-40-5)/2</f>
        <v>857.5</v>
      </c>
      <c r="L6" s="3">
        <v>4</v>
      </c>
      <c r="N6" s="18">
        <f t="shared" si="2"/>
        <v>4</v>
      </c>
      <c r="O6" s="124" t="s">
        <v>57</v>
      </c>
      <c r="P6" s="125"/>
      <c r="Q6" s="125"/>
      <c r="R6" s="37">
        <f>K9*L9</f>
        <v>1593</v>
      </c>
      <c r="S6" s="88">
        <v>0.59199999999999997</v>
      </c>
      <c r="T6" s="35">
        <f>S6*R6</f>
        <v>943.05599999999993</v>
      </c>
      <c r="U6" s="37">
        <v>128000</v>
      </c>
      <c r="V6" s="34">
        <f t="shared" si="1"/>
        <v>120711.16799999999</v>
      </c>
      <c r="W6" s="179"/>
    </row>
    <row r="7" spans="2:23" ht="37.950000000000003" customHeight="1" x14ac:dyDescent="0.35">
      <c r="B7" s="132"/>
      <c r="C7" s="133"/>
      <c r="D7" s="133"/>
      <c r="E7" s="3"/>
      <c r="F7" s="45" t="s">
        <v>43</v>
      </c>
      <c r="G7" s="45" t="s">
        <v>50</v>
      </c>
      <c r="H7" s="10">
        <f t="shared" si="3"/>
        <v>4</v>
      </c>
      <c r="I7" s="3" t="s">
        <v>18</v>
      </c>
      <c r="J7" s="6" t="s">
        <v>174</v>
      </c>
      <c r="K7" s="20">
        <f>IF(AND(F9="X",G9=""),K5-F8,0)+IF(AND(G9="X",F9=""),K5-G8,0)</f>
        <v>1950</v>
      </c>
      <c r="L7" s="3">
        <v>4</v>
      </c>
      <c r="N7" s="18">
        <f t="shared" si="2"/>
        <v>5</v>
      </c>
      <c r="O7" s="124" t="s">
        <v>72</v>
      </c>
      <c r="P7" s="125"/>
      <c r="Q7" s="126"/>
      <c r="R7" s="37">
        <f>K8*L8</f>
        <v>1916</v>
      </c>
      <c r="S7" s="32">
        <v>1.022</v>
      </c>
      <c r="T7" s="35">
        <f t="shared" ref="T7" si="4">S7*R7</f>
        <v>1958.152</v>
      </c>
      <c r="U7" s="37">
        <v>128000</v>
      </c>
      <c r="V7" s="34">
        <f t="shared" si="1"/>
        <v>250643.45600000001</v>
      </c>
      <c r="W7" s="84"/>
    </row>
    <row r="8" spans="2:23" ht="37.950000000000003" customHeight="1" x14ac:dyDescent="0.35">
      <c r="B8" s="132"/>
      <c r="C8" s="133"/>
      <c r="D8" s="133"/>
      <c r="E8" s="3"/>
      <c r="F8" s="3">
        <v>50</v>
      </c>
      <c r="G8" s="3">
        <v>30</v>
      </c>
      <c r="H8" s="10">
        <f t="shared" si="3"/>
        <v>5</v>
      </c>
      <c r="I8" s="3" t="s">
        <v>16</v>
      </c>
      <c r="J8" s="6" t="s">
        <v>176</v>
      </c>
      <c r="K8" s="108">
        <f>IF(F9="x",ROUNDDOWN(K7-30-4,0),ROUNDDOWN(K7-34-19,0))</f>
        <v>1916</v>
      </c>
      <c r="L8" s="3">
        <v>1</v>
      </c>
      <c r="N8" s="18">
        <f t="shared" si="2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208551.41120000003</v>
      </c>
      <c r="W8" s="46"/>
    </row>
    <row r="9" spans="2:23" ht="37.950000000000003" customHeight="1" x14ac:dyDescent="0.35">
      <c r="B9" s="132"/>
      <c r="C9" s="133"/>
      <c r="D9" s="133"/>
      <c r="E9" s="3"/>
      <c r="F9" s="3" t="s">
        <v>44</v>
      </c>
      <c r="G9" s="3"/>
      <c r="H9" s="10">
        <f t="shared" si="3"/>
        <v>6</v>
      </c>
      <c r="I9" s="3" t="s">
        <v>35</v>
      </c>
      <c r="J9" s="6" t="s">
        <v>151</v>
      </c>
      <c r="K9" s="108">
        <f>K6-61</f>
        <v>796.5</v>
      </c>
      <c r="L9" s="3">
        <v>2</v>
      </c>
      <c r="N9" s="18">
        <f t="shared" si="2"/>
        <v>7</v>
      </c>
      <c r="O9" s="124" t="s">
        <v>153</v>
      </c>
      <c r="P9" s="125"/>
      <c r="Q9" s="125"/>
      <c r="R9" s="32"/>
      <c r="S9" s="32"/>
      <c r="T9" s="36">
        <v>2</v>
      </c>
      <c r="U9" s="37">
        <v>19500</v>
      </c>
      <c r="V9" s="34">
        <f t="shared" ref="V9:V11" si="5">U9*T9</f>
        <v>39000</v>
      </c>
      <c r="W9" s="29"/>
    </row>
    <row r="10" spans="2:23" ht="37.950000000000003" customHeight="1" x14ac:dyDescent="0.35">
      <c r="B10" s="132"/>
      <c r="C10" s="133"/>
      <c r="D10" s="133"/>
      <c r="E10" s="3"/>
      <c r="F10" s="3"/>
      <c r="G10" s="3"/>
      <c r="H10" s="10">
        <f t="shared" si="3"/>
        <v>7</v>
      </c>
      <c r="I10" s="150" t="s">
        <v>15</v>
      </c>
      <c r="J10" s="3" t="s">
        <v>6</v>
      </c>
      <c r="K10" s="3" t="s">
        <v>7</v>
      </c>
      <c r="L10" s="5" t="s">
        <v>2</v>
      </c>
      <c r="N10" s="18">
        <f t="shared" si="2"/>
        <v>8</v>
      </c>
      <c r="O10" s="124" t="s">
        <v>152</v>
      </c>
      <c r="P10" s="125"/>
      <c r="Q10" s="125"/>
      <c r="R10" s="32"/>
      <c r="S10" s="32"/>
      <c r="T10" s="36">
        <v>8</v>
      </c>
      <c r="U10" s="37">
        <v>20500</v>
      </c>
      <c r="V10" s="34">
        <f t="shared" si="5"/>
        <v>164000</v>
      </c>
      <c r="W10" s="29" t="s">
        <v>74</v>
      </c>
    </row>
    <row r="11" spans="2:23" ht="37.950000000000003" customHeight="1" x14ac:dyDescent="0.35">
      <c r="B11" s="134"/>
      <c r="C11" s="135"/>
      <c r="D11" s="135"/>
      <c r="E11" s="3"/>
      <c r="F11" s="3"/>
      <c r="G11" s="3"/>
      <c r="H11" s="10">
        <f t="shared" si="3"/>
        <v>8</v>
      </c>
      <c r="I11" s="151"/>
      <c r="J11" s="112">
        <f>K6-158</f>
        <v>699.5</v>
      </c>
      <c r="K11" s="20">
        <f>K7-158</f>
        <v>1792</v>
      </c>
      <c r="L11" s="20">
        <f>G4*2</f>
        <v>0</v>
      </c>
      <c r="N11" s="18">
        <f t="shared" si="2"/>
        <v>9</v>
      </c>
      <c r="O11" s="124" t="s">
        <v>62</v>
      </c>
      <c r="P11" s="125"/>
      <c r="Q11" s="125"/>
      <c r="R11" s="32"/>
      <c r="S11" s="32"/>
      <c r="T11" s="36">
        <f>T10*2+T9</f>
        <v>18</v>
      </c>
      <c r="U11" s="37">
        <v>100</v>
      </c>
      <c r="V11" s="34">
        <f t="shared" si="5"/>
        <v>1800</v>
      </c>
      <c r="W11" s="29" t="s">
        <v>75</v>
      </c>
    </row>
    <row r="12" spans="2:23" ht="37.950000000000003" customHeight="1" x14ac:dyDescent="0.35">
      <c r="N12" s="18">
        <f t="shared" si="2"/>
        <v>10</v>
      </c>
      <c r="O12" s="138" t="s">
        <v>66</v>
      </c>
      <c r="P12" s="139"/>
      <c r="Q12" s="139"/>
      <c r="R12" s="139"/>
      <c r="S12" s="140"/>
      <c r="T12" s="38"/>
      <c r="U12" s="39"/>
      <c r="V12" s="90">
        <f>SUM(V3:V11)</f>
        <v>4584379.6352000004</v>
      </c>
      <c r="W12" s="29"/>
    </row>
    <row r="13" spans="2:23" ht="37.95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9"/>
    </row>
    <row r="14" spans="2:23" ht="37.95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v>1</v>
      </c>
      <c r="O14" s="124" t="s">
        <v>67</v>
      </c>
      <c r="P14" s="125"/>
      <c r="Q14" s="125"/>
      <c r="R14" s="41">
        <f>R3+R4+R7</f>
        <v>18946</v>
      </c>
      <c r="S14" s="2">
        <v>1</v>
      </c>
      <c r="T14" s="42"/>
      <c r="U14" s="41">
        <v>1000</v>
      </c>
      <c r="V14" s="41">
        <f>U14*R14*S14/1000</f>
        <v>18946</v>
      </c>
      <c r="W14" s="29"/>
    </row>
    <row r="15" spans="2:23" ht="37.95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>N14+1</f>
        <v>2</v>
      </c>
      <c r="O15" s="124" t="s">
        <v>48</v>
      </c>
      <c r="P15" s="125"/>
      <c r="Q15" s="125"/>
      <c r="R15" s="41">
        <f>R4*2</f>
        <v>22460</v>
      </c>
      <c r="S15" s="2">
        <v>1</v>
      </c>
      <c r="T15" s="42"/>
      <c r="U15" s="41">
        <v>1000</v>
      </c>
      <c r="V15" s="41">
        <f>U15*R15*S15/1000</f>
        <v>22460</v>
      </c>
      <c r="W15" s="29"/>
    </row>
    <row r="16" spans="2:23" ht="37.950000000000003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21" si="6">N15+1</f>
        <v>3</v>
      </c>
      <c r="O16" s="124" t="s">
        <v>68</v>
      </c>
      <c r="P16" s="125"/>
      <c r="Q16" s="125"/>
      <c r="R16" s="41"/>
      <c r="S16" s="2">
        <v>2</v>
      </c>
      <c r="T16" s="42"/>
      <c r="U16" s="106">
        <v>3500</v>
      </c>
      <c r="V16" s="41">
        <f>U16*S16</f>
        <v>7000</v>
      </c>
      <c r="W16" s="29" t="s">
        <v>76</v>
      </c>
    </row>
    <row r="17" spans="2:23" ht="37.95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6"/>
        <v>4</v>
      </c>
      <c r="O17" s="124" t="s">
        <v>73</v>
      </c>
      <c r="P17" s="125"/>
      <c r="Q17" s="125"/>
      <c r="R17" s="41"/>
      <c r="S17" s="2">
        <v>1</v>
      </c>
      <c r="T17" s="42"/>
      <c r="U17" s="106">
        <v>6500</v>
      </c>
      <c r="V17" s="41">
        <f>U17*S17</f>
        <v>6500</v>
      </c>
      <c r="W17" s="29" t="s">
        <v>77</v>
      </c>
    </row>
    <row r="18" spans="2:23" ht="37.95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8">
        <f t="shared" si="6"/>
        <v>5</v>
      </c>
      <c r="O18" s="124" t="s">
        <v>69</v>
      </c>
      <c r="P18" s="125"/>
      <c r="Q18" s="126"/>
      <c r="R18" s="41"/>
      <c r="S18" s="61">
        <v>1</v>
      </c>
      <c r="T18" s="42"/>
      <c r="U18" s="41">
        <v>1000</v>
      </c>
      <c r="V18" s="41">
        <f t="shared" ref="V18:V19" si="7">U18*S18</f>
        <v>1000</v>
      </c>
      <c r="W18" s="29"/>
    </row>
    <row r="19" spans="2:23" ht="37.95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18">
        <f t="shared" si="6"/>
        <v>6</v>
      </c>
      <c r="O19" s="124" t="s">
        <v>71</v>
      </c>
      <c r="P19" s="125"/>
      <c r="Q19" s="126"/>
      <c r="R19" s="41"/>
      <c r="S19" s="2">
        <v>1</v>
      </c>
      <c r="T19" s="42"/>
      <c r="U19" s="41">
        <v>2000</v>
      </c>
      <c r="V19" s="41">
        <f t="shared" si="7"/>
        <v>2000</v>
      </c>
      <c r="W19" s="29" t="s">
        <v>78</v>
      </c>
    </row>
    <row r="20" spans="2:23" ht="37.95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N20" s="18">
        <f t="shared" si="6"/>
        <v>7</v>
      </c>
      <c r="O20" s="144" t="s">
        <v>70</v>
      </c>
      <c r="P20" s="144"/>
      <c r="Q20" s="144"/>
      <c r="R20" s="144"/>
      <c r="S20" s="144"/>
      <c r="T20" s="38"/>
      <c r="U20" s="39"/>
      <c r="V20" s="40">
        <f>SUM(V14:V19)</f>
        <v>57906</v>
      </c>
      <c r="W20" s="29"/>
    </row>
    <row r="21" spans="2:23" ht="37.95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N21" s="115">
        <f t="shared" si="6"/>
        <v>8</v>
      </c>
      <c r="O21" s="145" t="s">
        <v>183</v>
      </c>
      <c r="P21" s="146"/>
      <c r="Q21" s="146"/>
      <c r="R21" s="146"/>
      <c r="S21" s="147"/>
      <c r="T21" s="116"/>
      <c r="U21" s="117"/>
      <c r="V21" s="118">
        <f>V12+V20</f>
        <v>4642285.6352000004</v>
      </c>
      <c r="W21" s="115"/>
    </row>
    <row r="22" spans="2:23" ht="37.950000000000003" customHeight="1" x14ac:dyDescent="0.35">
      <c r="N22" s="55"/>
      <c r="O22" s="143"/>
      <c r="P22" s="143"/>
      <c r="Q22" s="51"/>
      <c r="R22" s="49"/>
      <c r="S22" s="49"/>
      <c r="T22" s="52"/>
      <c r="U22" s="49"/>
      <c r="V22" s="53"/>
      <c r="W22" s="50"/>
    </row>
    <row r="23" spans="2:23" ht="37.950000000000003" customHeight="1" x14ac:dyDescent="0.35">
      <c r="N23" s="55"/>
      <c r="O23" s="143"/>
      <c r="P23" s="143"/>
      <c r="Q23" s="51"/>
      <c r="R23" s="49"/>
      <c r="S23" s="49"/>
      <c r="T23" s="52"/>
      <c r="U23" s="49"/>
      <c r="V23" s="53"/>
      <c r="W23" s="50"/>
    </row>
    <row r="24" spans="2:23" ht="37.950000000000003" customHeight="1" x14ac:dyDescent="0.35">
      <c r="N24" s="55"/>
      <c r="O24" s="143"/>
      <c r="P24" s="143"/>
      <c r="Q24" s="51"/>
      <c r="R24" s="49"/>
      <c r="S24" s="49"/>
      <c r="T24" s="52"/>
      <c r="U24" s="49"/>
      <c r="V24" s="53"/>
      <c r="W24" s="50"/>
    </row>
    <row r="25" spans="2:23" ht="37.950000000000003" customHeight="1" x14ac:dyDescent="0.35">
      <c r="N25" s="55"/>
      <c r="O25" s="143"/>
      <c r="P25" s="143"/>
      <c r="Q25" s="51"/>
      <c r="R25" s="49"/>
      <c r="S25" s="49"/>
      <c r="T25" s="52"/>
      <c r="U25" s="49"/>
      <c r="V25" s="53"/>
      <c r="W25" s="50"/>
    </row>
    <row r="26" spans="2:23" ht="37.950000000000003" customHeight="1" x14ac:dyDescent="0.35">
      <c r="N26" s="55"/>
      <c r="O26" s="143"/>
      <c r="P26" s="143"/>
      <c r="Q26" s="51"/>
      <c r="R26" s="49"/>
      <c r="S26" s="49"/>
      <c r="T26" s="54"/>
      <c r="U26" s="49"/>
      <c r="V26" s="53"/>
      <c r="W26" s="50"/>
    </row>
    <row r="27" spans="2:23" ht="37.950000000000003" customHeight="1" x14ac:dyDescent="0.35">
      <c r="N27" s="55"/>
      <c r="O27" s="143"/>
      <c r="P27" s="143"/>
      <c r="Q27" s="51"/>
      <c r="R27" s="49"/>
      <c r="S27" s="49"/>
      <c r="T27" s="54"/>
      <c r="U27" s="49"/>
      <c r="V27" s="53"/>
      <c r="W27" s="50"/>
    </row>
    <row r="28" spans="2:23" ht="37.950000000000003" customHeight="1" x14ac:dyDescent="0.35">
      <c r="N28" s="55"/>
      <c r="O28" s="143"/>
      <c r="P28" s="143"/>
      <c r="Q28" s="51"/>
      <c r="R28" s="49"/>
      <c r="S28" s="49"/>
      <c r="T28" s="54"/>
      <c r="U28" s="49"/>
      <c r="V28" s="53"/>
      <c r="W28" s="50"/>
    </row>
    <row r="29" spans="2:23" ht="37.950000000000003" customHeight="1" x14ac:dyDescent="0.35">
      <c r="N29" s="55"/>
      <c r="O29" s="142"/>
      <c r="P29" s="142"/>
      <c r="Q29" s="142"/>
      <c r="R29" s="142"/>
      <c r="S29" s="142"/>
      <c r="T29" s="56"/>
      <c r="U29" s="49"/>
      <c r="V29" s="53"/>
      <c r="W29" s="50"/>
    </row>
  </sheetData>
  <mergeCells count="75">
    <mergeCell ref="O9:Q9"/>
    <mergeCell ref="B1:L1"/>
    <mergeCell ref="N1:W1"/>
    <mergeCell ref="B2:F2"/>
    <mergeCell ref="H2:H3"/>
    <mergeCell ref="I2:L2"/>
    <mergeCell ref="O2:Q2"/>
    <mergeCell ref="B3:D11"/>
    <mergeCell ref="O3:Q3"/>
    <mergeCell ref="W3:W6"/>
    <mergeCell ref="O4:Q4"/>
    <mergeCell ref="O5:Q5"/>
    <mergeCell ref="O6:Q6"/>
    <mergeCell ref="O7:Q7"/>
    <mergeCell ref="O8:Q8"/>
    <mergeCell ref="B13:C13"/>
    <mergeCell ref="D13:E13"/>
    <mergeCell ref="F13:G13"/>
    <mergeCell ref="H13:I13"/>
    <mergeCell ref="J13:K13"/>
    <mergeCell ref="O14:Q14"/>
    <mergeCell ref="I10:I11"/>
    <mergeCell ref="O10:Q10"/>
    <mergeCell ref="O11:Q11"/>
    <mergeCell ref="O12:S12"/>
    <mergeCell ref="O13:Q13"/>
    <mergeCell ref="B14:C14"/>
    <mergeCell ref="D14:E14"/>
    <mergeCell ref="F14:G14"/>
    <mergeCell ref="H14:I14"/>
    <mergeCell ref="J14:K14"/>
    <mergeCell ref="O16:Q16"/>
    <mergeCell ref="B15:C15"/>
    <mergeCell ref="D15:E15"/>
    <mergeCell ref="F15:G15"/>
    <mergeCell ref="H15:I15"/>
    <mergeCell ref="J15:K15"/>
    <mergeCell ref="O15:Q15"/>
    <mergeCell ref="B16:C16"/>
    <mergeCell ref="D16:E16"/>
    <mergeCell ref="F16:G16"/>
    <mergeCell ref="H16:I16"/>
    <mergeCell ref="J16:K16"/>
    <mergeCell ref="O21:S21"/>
    <mergeCell ref="B17:G17"/>
    <mergeCell ref="H17:I17"/>
    <mergeCell ref="J17:K17"/>
    <mergeCell ref="O17:Q17"/>
    <mergeCell ref="B18:C18"/>
    <mergeCell ref="D18:E18"/>
    <mergeCell ref="F18:G18"/>
    <mergeCell ref="H18:I18"/>
    <mergeCell ref="J18:K18"/>
    <mergeCell ref="O18:Q18"/>
    <mergeCell ref="B21:C21"/>
    <mergeCell ref="D21:E21"/>
    <mergeCell ref="F21:G21"/>
    <mergeCell ref="H21:I21"/>
    <mergeCell ref="J21:K21"/>
    <mergeCell ref="B19:G19"/>
    <mergeCell ref="H19:I19"/>
    <mergeCell ref="J19:K19"/>
    <mergeCell ref="O19:Q19"/>
    <mergeCell ref="B20:G20"/>
    <mergeCell ref="H20:I20"/>
    <mergeCell ref="J20:K20"/>
    <mergeCell ref="O20:S20"/>
    <mergeCell ref="O28:P28"/>
    <mergeCell ref="O29:S29"/>
    <mergeCell ref="O22:P22"/>
    <mergeCell ref="O23:P23"/>
    <mergeCell ref="O24:P24"/>
    <mergeCell ref="O25:P25"/>
    <mergeCell ref="O26:P26"/>
    <mergeCell ref="O27:P2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W37"/>
  <sheetViews>
    <sheetView topLeftCell="B2" zoomScale="43" zoomScaleNormal="43" workbookViewId="0">
      <selection activeCell="N21" sqref="N21:W21"/>
    </sheetView>
  </sheetViews>
  <sheetFormatPr defaultColWidth="17.109375" defaultRowHeight="46.2" customHeight="1" x14ac:dyDescent="0.35"/>
  <cols>
    <col min="1" max="13" width="17.109375" style="1"/>
    <col min="14" max="14" width="12" style="1" customWidth="1"/>
    <col min="15" max="21" width="17.109375" style="1"/>
    <col min="22" max="22" width="19.21875" style="1" customWidth="1"/>
    <col min="23" max="23" width="34.21875" style="1" customWidth="1"/>
    <col min="24" max="16384" width="17.109375" style="1"/>
  </cols>
  <sheetData>
    <row r="1" spans="2:23" ht="46.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66" customHeight="1" x14ac:dyDescent="0.35">
      <c r="B2" s="130"/>
      <c r="C2" s="130"/>
      <c r="D2" s="130"/>
      <c r="E2" s="130"/>
      <c r="F2" s="130"/>
      <c r="G2" s="8"/>
      <c r="H2" s="131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6.2" customHeight="1" x14ac:dyDescent="0.35">
      <c r="B3" s="157"/>
      <c r="C3" s="157"/>
      <c r="D3" s="157"/>
      <c r="E3" s="3" t="s">
        <v>0</v>
      </c>
      <c r="F3" s="3" t="s">
        <v>1</v>
      </c>
      <c r="G3" s="3" t="s">
        <v>2</v>
      </c>
      <c r="H3" s="131"/>
      <c r="I3" s="9" t="s">
        <v>4</v>
      </c>
      <c r="J3" s="9" t="s">
        <v>3</v>
      </c>
      <c r="K3" s="9" t="s">
        <v>5</v>
      </c>
      <c r="L3" s="9" t="s">
        <v>2</v>
      </c>
      <c r="N3" s="18">
        <v>1</v>
      </c>
      <c r="O3" s="124" t="s">
        <v>54</v>
      </c>
      <c r="P3" s="125"/>
      <c r="Q3" s="125"/>
      <c r="R3" s="37">
        <f>K4*L4+K5*L5</f>
        <v>7600</v>
      </c>
      <c r="S3" s="88">
        <v>1.236</v>
      </c>
      <c r="T3" s="35">
        <f>S3*R3</f>
        <v>9393.6</v>
      </c>
      <c r="U3" s="37">
        <v>128000</v>
      </c>
      <c r="V3" s="34">
        <f>U3*T3/1000</f>
        <v>1202380.8</v>
      </c>
      <c r="W3" s="177"/>
    </row>
    <row r="4" spans="2:23" ht="46.2" customHeight="1" x14ac:dyDescent="0.35">
      <c r="B4" s="157"/>
      <c r="C4" s="157"/>
      <c r="D4" s="157"/>
      <c r="E4" s="3">
        <v>3600</v>
      </c>
      <c r="F4" s="3">
        <v>2000</v>
      </c>
      <c r="G4" s="3">
        <v>1</v>
      </c>
      <c r="H4" s="6">
        <v>1</v>
      </c>
      <c r="I4" s="3" t="s">
        <v>10</v>
      </c>
      <c r="J4" s="6" t="s">
        <v>150</v>
      </c>
      <c r="K4" s="3">
        <f>E4</f>
        <v>3600</v>
      </c>
      <c r="L4" s="3">
        <f>G4*1</f>
        <v>1</v>
      </c>
      <c r="N4" s="18">
        <f>N3+1</f>
        <v>2</v>
      </c>
      <c r="O4" s="124" t="s">
        <v>55</v>
      </c>
      <c r="P4" s="125"/>
      <c r="Q4" s="125"/>
      <c r="R4" s="37">
        <f>K6*L6+K7*L7</f>
        <v>22604</v>
      </c>
      <c r="S4" s="88">
        <v>1.6659999999999999</v>
      </c>
      <c r="T4" s="35">
        <f t="shared" ref="T4:T5" si="0">S4*R4</f>
        <v>37658.263999999996</v>
      </c>
      <c r="U4" s="37">
        <v>128000</v>
      </c>
      <c r="V4" s="34">
        <f>U4*T4/1000</f>
        <v>4820257.7919999994</v>
      </c>
      <c r="W4" s="178"/>
    </row>
    <row r="5" spans="2:23" ht="46.2" customHeight="1" x14ac:dyDescent="0.35">
      <c r="B5" s="157"/>
      <c r="C5" s="157"/>
      <c r="D5" s="157"/>
      <c r="E5" s="92"/>
      <c r="F5" s="45" t="s">
        <v>47</v>
      </c>
      <c r="G5" s="45" t="s">
        <v>120</v>
      </c>
      <c r="H5" s="6">
        <f>H4+1</f>
        <v>2</v>
      </c>
      <c r="I5" s="3" t="s">
        <v>11</v>
      </c>
      <c r="J5" s="6" t="s">
        <v>150</v>
      </c>
      <c r="K5" s="3">
        <f>F4</f>
        <v>2000</v>
      </c>
      <c r="L5" s="3">
        <f>G4*2</f>
        <v>2</v>
      </c>
      <c r="N5" s="18">
        <f t="shared" ref="N5:N12" si="1">N4+1</f>
        <v>3</v>
      </c>
      <c r="O5" s="124" t="s">
        <v>56</v>
      </c>
      <c r="P5" s="125"/>
      <c r="Q5" s="125"/>
      <c r="R5" s="37">
        <f>R4</f>
        <v>22604</v>
      </c>
      <c r="S5" s="88">
        <v>0.33900000000000002</v>
      </c>
      <c r="T5" s="35">
        <f t="shared" si="0"/>
        <v>7662.7560000000003</v>
      </c>
      <c r="U5" s="37">
        <v>128000</v>
      </c>
      <c r="V5" s="34">
        <f t="shared" ref="V5:V7" si="2">U5*T5/1000</f>
        <v>980832.76800000004</v>
      </c>
      <c r="W5" s="178"/>
    </row>
    <row r="6" spans="2:23" ht="46.2" customHeight="1" x14ac:dyDescent="0.35">
      <c r="B6" s="157"/>
      <c r="C6" s="157"/>
      <c r="D6" s="157"/>
      <c r="E6" s="61"/>
      <c r="F6" s="20">
        <f>F4*E4/1000</f>
        <v>7200</v>
      </c>
      <c r="G6" s="91">
        <f>SUM(T3:T7)</f>
        <v>63991.891999999993</v>
      </c>
      <c r="H6" s="6">
        <f t="shared" ref="H6:H11" si="3">H5+1</f>
        <v>3</v>
      </c>
      <c r="I6" s="3" t="s">
        <v>17</v>
      </c>
      <c r="J6" s="6" t="s">
        <v>174</v>
      </c>
      <c r="K6" s="3">
        <f>(E4-40-40-5-5-8)/4</f>
        <v>875.5</v>
      </c>
      <c r="L6" s="20">
        <f>G4*8</f>
        <v>8</v>
      </c>
      <c r="N6" s="18">
        <f t="shared" si="1"/>
        <v>4</v>
      </c>
      <c r="O6" s="124" t="s">
        <v>57</v>
      </c>
      <c r="P6" s="125"/>
      <c r="Q6" s="125"/>
      <c r="R6" s="37">
        <f>K8*L8</f>
        <v>5748</v>
      </c>
      <c r="S6" s="88">
        <v>0.59199999999999997</v>
      </c>
      <c r="T6" s="35">
        <f>S6*R6</f>
        <v>3402.8159999999998</v>
      </c>
      <c r="U6" s="37">
        <v>128000</v>
      </c>
      <c r="V6" s="34">
        <f t="shared" si="2"/>
        <v>435560.44799999997</v>
      </c>
      <c r="W6" s="179"/>
    </row>
    <row r="7" spans="2:23" ht="46.2" customHeight="1" x14ac:dyDescent="0.35">
      <c r="B7" s="157"/>
      <c r="C7" s="157"/>
      <c r="D7" s="157"/>
      <c r="E7" s="3"/>
      <c r="F7" s="45" t="s">
        <v>43</v>
      </c>
      <c r="G7" s="45" t="s">
        <v>50</v>
      </c>
      <c r="H7" s="6">
        <f t="shared" si="3"/>
        <v>4</v>
      </c>
      <c r="I7" s="3" t="s">
        <v>18</v>
      </c>
      <c r="J7" s="6" t="s">
        <v>174</v>
      </c>
      <c r="K7" s="20">
        <f>IF(AND(F9="X",G9=""),K5-F8,0)+IF(AND(G9="X",F9=""),K5-G8,0)</f>
        <v>1950</v>
      </c>
      <c r="L7" s="20">
        <f>G4*8</f>
        <v>8</v>
      </c>
      <c r="N7" s="18">
        <f t="shared" si="1"/>
        <v>5</v>
      </c>
      <c r="O7" s="124" t="s">
        <v>72</v>
      </c>
      <c r="P7" s="125"/>
      <c r="Q7" s="126"/>
      <c r="R7" s="37">
        <f>K8*L8</f>
        <v>5748</v>
      </c>
      <c r="S7" s="32">
        <v>1.022</v>
      </c>
      <c r="T7" s="35">
        <f t="shared" ref="T7" si="4">S7*R7</f>
        <v>5874.4560000000001</v>
      </c>
      <c r="U7" s="37">
        <v>128000</v>
      </c>
      <c r="V7" s="34">
        <f t="shared" si="2"/>
        <v>751930.36800000002</v>
      </c>
      <c r="W7" s="46"/>
    </row>
    <row r="8" spans="2:23" ht="46.2" customHeight="1" x14ac:dyDescent="0.35">
      <c r="B8" s="157"/>
      <c r="C8" s="157"/>
      <c r="D8" s="157"/>
      <c r="E8" s="3"/>
      <c r="F8" s="20">
        <v>50</v>
      </c>
      <c r="G8" s="20">
        <v>30</v>
      </c>
      <c r="H8" s="6">
        <f t="shared" si="3"/>
        <v>5</v>
      </c>
      <c r="I8" s="3" t="s">
        <v>16</v>
      </c>
      <c r="J8" s="6" t="s">
        <v>176</v>
      </c>
      <c r="K8" s="108">
        <f>IF(F9="x",ROUNDDOWN(K7-30-4,0),ROUNDDOWN(K7-34-19,0))</f>
        <v>1916</v>
      </c>
      <c r="L8" s="20">
        <f>G4*3</f>
        <v>3</v>
      </c>
      <c r="N8" s="18">
        <f t="shared" si="1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409548.10879999999</v>
      </c>
      <c r="W8" s="46"/>
    </row>
    <row r="9" spans="2:23" ht="46.2" customHeight="1" x14ac:dyDescent="0.35">
      <c r="B9" s="157"/>
      <c r="C9" s="157"/>
      <c r="D9" s="157"/>
      <c r="E9" s="3"/>
      <c r="F9" s="3" t="s">
        <v>44</v>
      </c>
      <c r="G9" s="3"/>
      <c r="H9" s="6">
        <f t="shared" si="3"/>
        <v>6</v>
      </c>
      <c r="I9" s="3" t="s">
        <v>35</v>
      </c>
      <c r="J9" s="6" t="s">
        <v>151</v>
      </c>
      <c r="K9" s="108">
        <f>K6-61</f>
        <v>814.5</v>
      </c>
      <c r="L9" s="20">
        <f>G4*4</f>
        <v>4</v>
      </c>
      <c r="N9" s="18">
        <f t="shared" si="1"/>
        <v>7</v>
      </c>
      <c r="O9" s="124" t="s">
        <v>153</v>
      </c>
      <c r="P9" s="125"/>
      <c r="Q9" s="125"/>
      <c r="R9" s="32"/>
      <c r="S9" s="32"/>
      <c r="T9" s="36">
        <v>2</v>
      </c>
      <c r="U9" s="37">
        <v>19500</v>
      </c>
      <c r="V9" s="34">
        <f t="shared" ref="V9:V11" si="5">U9*T9</f>
        <v>39000</v>
      </c>
      <c r="W9" s="18"/>
    </row>
    <row r="10" spans="2:23" ht="46.2" customHeight="1" x14ac:dyDescent="0.35">
      <c r="B10" s="157"/>
      <c r="C10" s="157"/>
      <c r="D10" s="157"/>
      <c r="E10" s="3"/>
      <c r="F10" s="3"/>
      <c r="G10" s="3"/>
      <c r="H10" s="6">
        <f t="shared" si="3"/>
        <v>7</v>
      </c>
      <c r="I10" s="137" t="s">
        <v>15</v>
      </c>
      <c r="J10" s="3" t="s">
        <v>6</v>
      </c>
      <c r="K10" s="3" t="s">
        <v>7</v>
      </c>
      <c r="L10" s="5" t="s">
        <v>2</v>
      </c>
      <c r="N10" s="18">
        <f t="shared" si="1"/>
        <v>8</v>
      </c>
      <c r="O10" s="124" t="s">
        <v>152</v>
      </c>
      <c r="P10" s="125"/>
      <c r="Q10" s="125"/>
      <c r="R10" s="32"/>
      <c r="S10" s="32"/>
      <c r="T10" s="36">
        <v>16</v>
      </c>
      <c r="U10" s="37">
        <v>20500</v>
      </c>
      <c r="V10" s="34">
        <f t="shared" si="5"/>
        <v>328000</v>
      </c>
      <c r="W10" s="29" t="s">
        <v>74</v>
      </c>
    </row>
    <row r="11" spans="2:23" ht="46.2" customHeight="1" x14ac:dyDescent="0.35">
      <c r="B11" s="157"/>
      <c r="C11" s="157"/>
      <c r="D11" s="157"/>
      <c r="E11" s="3"/>
      <c r="F11" s="3"/>
      <c r="G11" s="3"/>
      <c r="H11" s="6">
        <f t="shared" si="3"/>
        <v>8</v>
      </c>
      <c r="I11" s="137"/>
      <c r="J11" s="20">
        <f>K6-158</f>
        <v>717.5</v>
      </c>
      <c r="K11" s="20">
        <f>K7-158</f>
        <v>1792</v>
      </c>
      <c r="L11" s="20">
        <v>4</v>
      </c>
      <c r="N11" s="18">
        <f t="shared" si="1"/>
        <v>9</v>
      </c>
      <c r="O11" s="124" t="s">
        <v>62</v>
      </c>
      <c r="P11" s="125"/>
      <c r="Q11" s="125"/>
      <c r="R11" s="32"/>
      <c r="S11" s="32"/>
      <c r="T11" s="36">
        <f>T10*2+T9</f>
        <v>34</v>
      </c>
      <c r="U11" s="37">
        <v>100</v>
      </c>
      <c r="V11" s="34">
        <f t="shared" si="5"/>
        <v>3400</v>
      </c>
      <c r="W11" s="29" t="s">
        <v>75</v>
      </c>
    </row>
    <row r="12" spans="2:23" ht="46.2" customHeight="1" x14ac:dyDescent="0.35">
      <c r="N12" s="18">
        <f t="shared" si="1"/>
        <v>10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8970910.2847999986</v>
      </c>
      <c r="W12" s="18"/>
    </row>
    <row r="13" spans="2:23" s="26" customFormat="1" ht="46.2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44"/>
      <c r="M13" s="27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"/>
    </row>
    <row r="14" spans="2:23" ht="46.2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36"/>
      <c r="K14" s="136"/>
      <c r="L14" s="69"/>
      <c r="M14" s="114"/>
      <c r="N14" s="18">
        <v>1</v>
      </c>
      <c r="O14" s="124" t="s">
        <v>67</v>
      </c>
      <c r="P14" s="125"/>
      <c r="Q14" s="125"/>
      <c r="R14" s="41">
        <f>R3+R4+R7</f>
        <v>35952</v>
      </c>
      <c r="S14" s="2">
        <v>1</v>
      </c>
      <c r="T14" s="42"/>
      <c r="U14" s="41">
        <v>1000</v>
      </c>
      <c r="V14" s="41">
        <f>U14*R14*S14/1000</f>
        <v>35952</v>
      </c>
      <c r="W14" s="2"/>
    </row>
    <row r="15" spans="2:23" ht="46.2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36"/>
      <c r="K15" s="136"/>
      <c r="L15" s="69"/>
      <c r="M15" s="95"/>
      <c r="N15" s="18">
        <f>N14+1</f>
        <v>2</v>
      </c>
      <c r="O15" s="124" t="s">
        <v>48</v>
      </c>
      <c r="P15" s="125"/>
      <c r="Q15" s="125"/>
      <c r="R15" s="41">
        <f>R4*2</f>
        <v>45208</v>
      </c>
      <c r="S15" s="2">
        <v>1</v>
      </c>
      <c r="T15" s="42"/>
      <c r="U15" s="41">
        <v>1000</v>
      </c>
      <c r="V15" s="41">
        <f>U15*R15*S15/1000</f>
        <v>45208</v>
      </c>
      <c r="W15" s="29" t="s">
        <v>76</v>
      </c>
    </row>
    <row r="16" spans="2:23" ht="46.2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36"/>
      <c r="K16" s="136"/>
      <c r="L16" s="69"/>
      <c r="M16" s="95"/>
      <c r="N16" s="93">
        <f t="shared" ref="N16:N21" si="6">N15+1</f>
        <v>3</v>
      </c>
      <c r="O16" s="124" t="s">
        <v>68</v>
      </c>
      <c r="P16" s="125"/>
      <c r="Q16" s="125"/>
      <c r="R16" s="41"/>
      <c r="S16" s="2">
        <v>4</v>
      </c>
      <c r="T16" s="42"/>
      <c r="U16" s="106">
        <v>3500</v>
      </c>
      <c r="V16" s="41">
        <f>U16*S16</f>
        <v>14000</v>
      </c>
      <c r="W16" s="29" t="s">
        <v>77</v>
      </c>
    </row>
    <row r="17" spans="2:23" ht="46.2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36"/>
      <c r="K17" s="136"/>
      <c r="L17" s="69"/>
      <c r="M17" s="95"/>
      <c r="N17" s="93">
        <f t="shared" si="6"/>
        <v>4</v>
      </c>
      <c r="O17" s="124" t="s">
        <v>73</v>
      </c>
      <c r="P17" s="125"/>
      <c r="Q17" s="125"/>
      <c r="R17" s="41"/>
      <c r="S17" s="2">
        <v>3</v>
      </c>
      <c r="T17" s="42"/>
      <c r="U17" s="106">
        <v>6500</v>
      </c>
      <c r="V17" s="41">
        <f>U17*S17</f>
        <v>19500</v>
      </c>
      <c r="W17" s="29"/>
    </row>
    <row r="18" spans="2:23" ht="46.2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36"/>
      <c r="K18" s="136"/>
      <c r="L18" s="69"/>
      <c r="M18" s="95"/>
      <c r="N18" s="93">
        <f t="shared" si="6"/>
        <v>5</v>
      </c>
      <c r="O18" s="124" t="s">
        <v>69</v>
      </c>
      <c r="P18" s="125"/>
      <c r="Q18" s="126"/>
      <c r="R18" s="41"/>
      <c r="S18" s="2">
        <v>1</v>
      </c>
      <c r="T18" s="42"/>
      <c r="U18" s="41">
        <v>1000</v>
      </c>
      <c r="V18" s="41">
        <f t="shared" ref="V18:V19" si="7">U18*S18</f>
        <v>1000</v>
      </c>
      <c r="W18" s="29" t="s">
        <v>78</v>
      </c>
    </row>
    <row r="19" spans="2:23" ht="46.2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36"/>
      <c r="K19" s="136"/>
      <c r="L19" s="69"/>
      <c r="M19" s="95"/>
      <c r="N19" s="93">
        <f t="shared" si="6"/>
        <v>6</v>
      </c>
      <c r="O19" s="124" t="s">
        <v>71</v>
      </c>
      <c r="P19" s="125"/>
      <c r="Q19" s="126"/>
      <c r="R19" s="41"/>
      <c r="S19" s="2">
        <v>1</v>
      </c>
      <c r="T19" s="42"/>
      <c r="U19" s="41">
        <v>2000</v>
      </c>
      <c r="V19" s="41">
        <f t="shared" si="7"/>
        <v>2000</v>
      </c>
      <c r="W19" s="29" t="s">
        <v>78</v>
      </c>
    </row>
    <row r="20" spans="2:23" ht="46.2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36"/>
      <c r="K20" s="136"/>
      <c r="L20" s="69"/>
      <c r="M20" s="95"/>
      <c r="N20" s="93">
        <f t="shared" si="6"/>
        <v>7</v>
      </c>
      <c r="O20" s="144" t="s">
        <v>70</v>
      </c>
      <c r="P20" s="144"/>
      <c r="Q20" s="144"/>
      <c r="R20" s="144"/>
      <c r="S20" s="144"/>
      <c r="T20" s="38"/>
      <c r="U20" s="39"/>
      <c r="V20" s="40">
        <f>SUM(V14:V19)</f>
        <v>117660</v>
      </c>
      <c r="W20" s="62"/>
    </row>
    <row r="21" spans="2:23" ht="46.2" customHeight="1" x14ac:dyDescent="0.35">
      <c r="B21" s="127"/>
      <c r="C21" s="127"/>
      <c r="D21" s="127"/>
      <c r="E21" s="127"/>
      <c r="F21" s="127"/>
      <c r="G21" s="127"/>
      <c r="H21" s="141">
        <f t="shared" ref="H21" si="8">F21</f>
        <v>0</v>
      </c>
      <c r="I21" s="141"/>
      <c r="J21" s="60"/>
      <c r="K21" s="57"/>
      <c r="L21" s="69"/>
      <c r="M21" s="70"/>
      <c r="N21" s="115">
        <f t="shared" si="6"/>
        <v>8</v>
      </c>
      <c r="O21" s="145" t="s">
        <v>183</v>
      </c>
      <c r="P21" s="146"/>
      <c r="Q21" s="146"/>
      <c r="R21" s="146"/>
      <c r="S21" s="147"/>
      <c r="T21" s="116"/>
      <c r="U21" s="117"/>
      <c r="V21" s="118">
        <f>V12+V20</f>
        <v>9088570.2847999986</v>
      </c>
      <c r="W21" s="115"/>
    </row>
    <row r="22" spans="2:23" ht="46.2" customHeight="1" x14ac:dyDescent="0.35">
      <c r="B22" s="55"/>
      <c r="C22" s="143"/>
      <c r="D22" s="143"/>
      <c r="E22" s="143"/>
      <c r="F22" s="67"/>
      <c r="G22" s="57"/>
      <c r="H22" s="57"/>
      <c r="I22" s="68"/>
      <c r="J22" s="68"/>
      <c r="K22" s="57"/>
      <c r="L22" s="69"/>
      <c r="M22" s="70"/>
      <c r="N22" s="22"/>
      <c r="O22" s="160"/>
      <c r="P22" s="160"/>
      <c r="Q22" s="63"/>
      <c r="R22" s="64"/>
      <c r="S22" s="64"/>
      <c r="T22" s="65"/>
      <c r="U22" s="64"/>
      <c r="V22" s="66"/>
    </row>
    <row r="23" spans="2:23" ht="46.2" customHeight="1" x14ac:dyDescent="0.35">
      <c r="B23" s="55"/>
      <c r="C23" s="143"/>
      <c r="D23" s="143"/>
      <c r="E23" s="143"/>
      <c r="F23" s="71"/>
      <c r="G23" s="57"/>
      <c r="H23" s="57"/>
      <c r="I23" s="57"/>
      <c r="J23" s="72"/>
      <c r="K23" s="57"/>
      <c r="L23" s="55"/>
      <c r="M23" s="57"/>
      <c r="N23" s="22"/>
      <c r="O23" s="143"/>
      <c r="P23" s="143"/>
      <c r="Q23" s="51"/>
      <c r="R23" s="49"/>
      <c r="S23" s="49"/>
      <c r="T23" s="52"/>
      <c r="U23" s="49"/>
      <c r="V23" s="53"/>
      <c r="W23" s="57"/>
    </row>
    <row r="24" spans="2:23" ht="46.2" customHeight="1" x14ac:dyDescent="0.35">
      <c r="B24" s="55"/>
      <c r="C24" s="143"/>
      <c r="D24" s="143"/>
      <c r="E24" s="143"/>
      <c r="F24" s="71"/>
      <c r="G24" s="57"/>
      <c r="H24" s="57"/>
      <c r="I24" s="57"/>
      <c r="J24" s="73"/>
      <c r="K24" s="57"/>
      <c r="L24" s="55"/>
      <c r="M24" s="57"/>
      <c r="N24" s="22"/>
      <c r="O24" s="143"/>
      <c r="P24" s="143"/>
      <c r="Q24" s="51"/>
      <c r="R24" s="49"/>
      <c r="S24" s="49"/>
      <c r="T24" s="52"/>
      <c r="U24" s="49"/>
      <c r="V24" s="53"/>
      <c r="W24" s="57"/>
    </row>
    <row r="25" spans="2:23" ht="46.2" customHeight="1" x14ac:dyDescent="0.35">
      <c r="B25" s="55"/>
      <c r="C25" s="143"/>
      <c r="D25" s="143"/>
      <c r="E25" s="143"/>
      <c r="F25" s="71"/>
      <c r="G25" s="57"/>
      <c r="H25" s="57"/>
      <c r="I25" s="57"/>
      <c r="J25" s="73"/>
      <c r="K25" s="57"/>
      <c r="L25" s="55"/>
      <c r="M25" s="57"/>
      <c r="N25" s="22"/>
      <c r="O25" s="143"/>
      <c r="P25" s="143"/>
      <c r="Q25" s="51"/>
      <c r="R25" s="49"/>
      <c r="S25" s="49"/>
      <c r="T25" s="52"/>
      <c r="U25" s="49"/>
      <c r="V25" s="53"/>
      <c r="W25" s="57"/>
    </row>
    <row r="26" spans="2:23" ht="46.2" customHeight="1" x14ac:dyDescent="0.35">
      <c r="B26" s="55"/>
      <c r="C26" s="143"/>
      <c r="D26" s="143"/>
      <c r="E26" s="143"/>
      <c r="F26" s="71"/>
      <c r="G26" s="57"/>
      <c r="H26" s="57"/>
      <c r="I26" s="57"/>
      <c r="J26" s="73"/>
      <c r="K26" s="57"/>
      <c r="L26" s="55"/>
      <c r="M26" s="57"/>
      <c r="N26" s="22"/>
      <c r="O26" s="143"/>
      <c r="P26" s="143"/>
      <c r="Q26" s="51"/>
      <c r="R26" s="49"/>
      <c r="S26" s="49"/>
      <c r="T26" s="54"/>
      <c r="U26" s="49"/>
      <c r="V26" s="53"/>
      <c r="W26" s="57"/>
    </row>
    <row r="27" spans="2:23" ht="46.2" customHeight="1" x14ac:dyDescent="0.35">
      <c r="B27" s="55"/>
      <c r="C27" s="143"/>
      <c r="D27" s="143"/>
      <c r="E27" s="143"/>
      <c r="F27" s="71"/>
      <c r="G27" s="57"/>
      <c r="H27" s="57"/>
      <c r="I27" s="68"/>
      <c r="J27" s="74"/>
      <c r="K27" s="57"/>
      <c r="L27" s="55"/>
      <c r="M27" s="57"/>
      <c r="N27" s="22"/>
      <c r="O27" s="143"/>
      <c r="P27" s="143"/>
      <c r="Q27" s="51"/>
      <c r="R27" s="49"/>
      <c r="S27" s="49"/>
      <c r="T27" s="54"/>
      <c r="U27" s="49"/>
      <c r="V27" s="53"/>
      <c r="W27" s="57"/>
    </row>
    <row r="28" spans="2:23" ht="46.2" customHeight="1" x14ac:dyDescent="0.35">
      <c r="B28" s="55"/>
      <c r="C28" s="142"/>
      <c r="D28" s="142"/>
      <c r="E28" s="142"/>
      <c r="F28" s="71"/>
      <c r="G28" s="57"/>
      <c r="H28" s="57"/>
      <c r="I28" s="68"/>
      <c r="J28" s="74"/>
      <c r="K28" s="57"/>
      <c r="L28" s="55"/>
      <c r="M28" s="57"/>
      <c r="N28" s="22"/>
      <c r="O28" s="143"/>
      <c r="P28" s="143"/>
      <c r="Q28" s="51"/>
      <c r="R28" s="49"/>
      <c r="S28" s="49"/>
      <c r="T28" s="54"/>
      <c r="U28" s="49"/>
      <c r="V28" s="53"/>
      <c r="W28" s="57"/>
    </row>
    <row r="29" spans="2:23" ht="46.2" customHeight="1" x14ac:dyDescent="0.35">
      <c r="B29" s="55"/>
      <c r="C29" s="142"/>
      <c r="D29" s="142"/>
      <c r="E29" s="142"/>
      <c r="F29" s="71"/>
      <c r="G29" s="57"/>
      <c r="H29" s="57"/>
      <c r="I29" s="68"/>
      <c r="J29" s="74"/>
      <c r="K29" s="57"/>
      <c r="L29" s="55"/>
      <c r="M29" s="57"/>
      <c r="N29" s="22"/>
      <c r="O29" s="142"/>
      <c r="P29" s="142"/>
      <c r="Q29" s="142"/>
      <c r="R29" s="142"/>
      <c r="S29" s="142"/>
      <c r="T29" s="56"/>
      <c r="U29" s="49"/>
      <c r="V29" s="53"/>
      <c r="W29" s="57"/>
    </row>
    <row r="30" spans="2:23" ht="46.2" customHeight="1" x14ac:dyDescent="0.35">
      <c r="B30" s="55"/>
      <c r="C30" s="143"/>
      <c r="D30" s="143"/>
      <c r="E30" s="143"/>
      <c r="F30" s="71"/>
      <c r="G30" s="57"/>
      <c r="H30" s="57"/>
      <c r="I30" s="68"/>
      <c r="J30" s="68"/>
      <c r="K30" s="57"/>
      <c r="L30" s="57"/>
      <c r="M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2:23" s="25" customFormat="1" ht="46.2" customHeight="1" x14ac:dyDescent="0.35">
      <c r="B31" s="159"/>
      <c r="C31" s="159"/>
      <c r="D31" s="159"/>
      <c r="E31" s="159"/>
      <c r="F31" s="159"/>
      <c r="G31" s="159"/>
      <c r="H31" s="159"/>
      <c r="I31" s="159"/>
      <c r="J31" s="75"/>
      <c r="K31" s="76"/>
      <c r="L31" s="76"/>
      <c r="M31" s="76"/>
      <c r="N31" s="1"/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46.2" customHeight="1" x14ac:dyDescent="0.35">
      <c r="B32" s="57"/>
      <c r="C32" s="142"/>
      <c r="D32" s="142"/>
      <c r="E32" s="142"/>
      <c r="F32" s="142"/>
      <c r="G32" s="57"/>
      <c r="H32" s="57"/>
      <c r="I32" s="68"/>
      <c r="J32" s="57"/>
      <c r="K32" s="57"/>
      <c r="L32" s="57"/>
      <c r="M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3:23" ht="46.2" customHeight="1" x14ac:dyDescent="0.35">
      <c r="C33" s="133"/>
      <c r="D33" s="133"/>
      <c r="E33" s="133"/>
      <c r="F33" s="133"/>
      <c r="I33" s="11"/>
      <c r="L33" s="23"/>
      <c r="O33" s="57"/>
      <c r="P33" s="57"/>
      <c r="Q33" s="57"/>
      <c r="R33" s="57"/>
      <c r="S33" s="57"/>
      <c r="T33" s="57"/>
      <c r="U33" s="57"/>
      <c r="V33" s="57"/>
      <c r="W33" s="57"/>
    </row>
    <row r="34" spans="3:23" ht="46.2" customHeight="1" x14ac:dyDescent="0.35">
      <c r="C34" s="133"/>
      <c r="D34" s="133"/>
      <c r="E34" s="133"/>
      <c r="F34" s="133"/>
      <c r="I34" s="30"/>
      <c r="O34" s="57"/>
      <c r="P34" s="57"/>
      <c r="Q34" s="57"/>
      <c r="R34" s="57"/>
      <c r="S34" s="57"/>
      <c r="T34" s="57"/>
      <c r="U34" s="57"/>
      <c r="V34" s="57"/>
      <c r="W34" s="57"/>
    </row>
    <row r="35" spans="3:23" ht="46.2" customHeight="1" x14ac:dyDescent="0.35">
      <c r="C35" s="158"/>
      <c r="D35" s="158"/>
      <c r="E35" s="158"/>
      <c r="F35" s="158"/>
      <c r="G35" s="24"/>
      <c r="H35" s="24"/>
      <c r="I35" s="31"/>
    </row>
    <row r="36" spans="3:23" ht="46.2" customHeight="1" x14ac:dyDescent="0.35">
      <c r="I36" s="11"/>
    </row>
    <row r="37" spans="3:23" ht="46.2" customHeight="1" x14ac:dyDescent="0.35">
      <c r="I37" s="23"/>
    </row>
  </sheetData>
  <mergeCells count="88">
    <mergeCell ref="B1:L1"/>
    <mergeCell ref="N1:W1"/>
    <mergeCell ref="B2:F2"/>
    <mergeCell ref="H2:H3"/>
    <mergeCell ref="I2:L2"/>
    <mergeCell ref="O2:Q2"/>
    <mergeCell ref="B3:D11"/>
    <mergeCell ref="O3:Q3"/>
    <mergeCell ref="W3:W6"/>
    <mergeCell ref="I10:I11"/>
    <mergeCell ref="O10:Q10"/>
    <mergeCell ref="O11:Q11"/>
    <mergeCell ref="O4:Q4"/>
    <mergeCell ref="O5:Q5"/>
    <mergeCell ref="O6:Q6"/>
    <mergeCell ref="O7:Q7"/>
    <mergeCell ref="O8:Q8"/>
    <mergeCell ref="O14:Q14"/>
    <mergeCell ref="O15:Q15"/>
    <mergeCell ref="O12:S12"/>
    <mergeCell ref="O13:Q13"/>
    <mergeCell ref="O9:Q9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O16:Q16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G17"/>
    <mergeCell ref="H17:I17"/>
    <mergeCell ref="J17:K17"/>
    <mergeCell ref="O17:Q17"/>
    <mergeCell ref="B18:C18"/>
    <mergeCell ref="D18:E18"/>
    <mergeCell ref="F18:G18"/>
    <mergeCell ref="H18:I18"/>
    <mergeCell ref="J18:K18"/>
    <mergeCell ref="O18:Q18"/>
    <mergeCell ref="B20:G20"/>
    <mergeCell ref="H20:I20"/>
    <mergeCell ref="J20:K20"/>
    <mergeCell ref="O20:S20"/>
    <mergeCell ref="B19:G19"/>
    <mergeCell ref="H19:I19"/>
    <mergeCell ref="J19:K19"/>
    <mergeCell ref="O19:Q19"/>
    <mergeCell ref="C22:E22"/>
    <mergeCell ref="O22:P22"/>
    <mergeCell ref="C23:E23"/>
    <mergeCell ref="O23:P23"/>
    <mergeCell ref="B21:C21"/>
    <mergeCell ref="D21:E21"/>
    <mergeCell ref="F21:G21"/>
    <mergeCell ref="H21:I21"/>
    <mergeCell ref="O21:S21"/>
    <mergeCell ref="C24:E24"/>
    <mergeCell ref="O24:P24"/>
    <mergeCell ref="C25:E25"/>
    <mergeCell ref="O25:P25"/>
    <mergeCell ref="C26:E26"/>
    <mergeCell ref="O26:P26"/>
    <mergeCell ref="C35:F35"/>
    <mergeCell ref="C27:E27"/>
    <mergeCell ref="O27:P27"/>
    <mergeCell ref="C28:E28"/>
    <mergeCell ref="O28:P28"/>
    <mergeCell ref="C29:E29"/>
    <mergeCell ref="O29:S29"/>
    <mergeCell ref="C30:E30"/>
    <mergeCell ref="B31:I31"/>
    <mergeCell ref="C32:F32"/>
    <mergeCell ref="C33:F33"/>
    <mergeCell ref="C34:F3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W20"/>
  <sheetViews>
    <sheetView zoomScale="40" zoomScaleNormal="40" workbookViewId="0">
      <selection activeCell="V18" sqref="V18"/>
    </sheetView>
  </sheetViews>
  <sheetFormatPr defaultColWidth="19.21875" defaultRowHeight="44.4" customHeight="1" x14ac:dyDescent="0.35"/>
  <cols>
    <col min="1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60.6" customHeight="1" x14ac:dyDescent="0.35">
      <c r="B2" s="152" t="s">
        <v>8</v>
      </c>
      <c r="C2" s="153"/>
      <c r="D2" s="153"/>
      <c r="E2" s="153"/>
      <c r="F2" s="153"/>
      <c r="G2" s="21"/>
      <c r="H2" s="150" t="s">
        <v>14</v>
      </c>
      <c r="I2" s="130" t="s">
        <v>9</v>
      </c>
      <c r="J2" s="130"/>
      <c r="K2" s="130"/>
      <c r="L2" s="130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4.4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151"/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81</v>
      </c>
      <c r="P3" s="125"/>
      <c r="Q3" s="125"/>
      <c r="R3" s="37">
        <f>K4*L4+K5*L5</f>
        <v>3600</v>
      </c>
      <c r="S3" s="32">
        <v>0.89100000000000001</v>
      </c>
      <c r="T3" s="35">
        <f>S3*R3</f>
        <v>3207.6</v>
      </c>
      <c r="U3" s="37">
        <v>128000</v>
      </c>
      <c r="V3" s="34">
        <f>U3*T3/1000</f>
        <v>410572.79999999999</v>
      </c>
      <c r="W3" s="177"/>
    </row>
    <row r="4" spans="2:23" ht="44.4" customHeight="1" x14ac:dyDescent="0.35">
      <c r="B4" s="132"/>
      <c r="C4" s="133"/>
      <c r="D4" s="162"/>
      <c r="E4" s="3">
        <v>800</v>
      </c>
      <c r="F4" s="3">
        <v>1000</v>
      </c>
      <c r="G4" s="3">
        <v>1</v>
      </c>
      <c r="H4" s="77" t="s">
        <v>19</v>
      </c>
      <c r="I4" s="3" t="s">
        <v>10</v>
      </c>
      <c r="J4" s="6" t="s">
        <v>156</v>
      </c>
      <c r="K4" s="3">
        <f>E4</f>
        <v>800</v>
      </c>
      <c r="L4" s="3">
        <f>G4*2</f>
        <v>2</v>
      </c>
      <c r="N4" s="18">
        <f>N3+1</f>
        <v>2</v>
      </c>
      <c r="O4" s="124" t="s">
        <v>82</v>
      </c>
      <c r="P4" s="125"/>
      <c r="Q4" s="125"/>
      <c r="R4" s="37">
        <f>K6*L6+K7*L7</f>
        <v>3416</v>
      </c>
      <c r="S4" s="32">
        <v>1.238</v>
      </c>
      <c r="T4" s="35">
        <f t="shared" ref="T4:T5" si="0">S4*R4</f>
        <v>4229.0079999999998</v>
      </c>
      <c r="U4" s="37">
        <v>128000</v>
      </c>
      <c r="V4" s="34">
        <f t="shared" ref="V4:V5" si="1">U4*T4/1000</f>
        <v>541313.02399999998</v>
      </c>
      <c r="W4" s="178"/>
    </row>
    <row r="5" spans="2:23" ht="44.4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77" t="s">
        <v>20</v>
      </c>
      <c r="I5" s="3" t="s">
        <v>11</v>
      </c>
      <c r="J5" s="6" t="s">
        <v>156</v>
      </c>
      <c r="K5" s="3">
        <f>F4</f>
        <v>1000</v>
      </c>
      <c r="L5" s="3">
        <f>G4*2</f>
        <v>2</v>
      </c>
      <c r="N5" s="18">
        <f t="shared" ref="N5:N10" si="2">N4+1</f>
        <v>3</v>
      </c>
      <c r="O5" s="124" t="s">
        <v>56</v>
      </c>
      <c r="P5" s="125"/>
      <c r="Q5" s="125"/>
      <c r="R5" s="37">
        <f>R4</f>
        <v>3416</v>
      </c>
      <c r="S5" s="32">
        <v>0.27700000000000002</v>
      </c>
      <c r="T5" s="35">
        <f t="shared" si="0"/>
        <v>946.23200000000008</v>
      </c>
      <c r="U5" s="37">
        <v>128000</v>
      </c>
      <c r="V5" s="34">
        <f t="shared" si="1"/>
        <v>121117.69600000001</v>
      </c>
      <c r="W5" s="178"/>
    </row>
    <row r="6" spans="2:23" ht="44.4" customHeight="1" x14ac:dyDescent="0.35">
      <c r="B6" s="132"/>
      <c r="C6" s="133"/>
      <c r="D6" s="162"/>
      <c r="E6" s="61"/>
      <c r="F6" s="20">
        <f>F4*E4/1000</f>
        <v>800</v>
      </c>
      <c r="G6" s="91">
        <f>SUM(T3:T5)</f>
        <v>8382.84</v>
      </c>
      <c r="H6" s="77" t="s">
        <v>21</v>
      </c>
      <c r="I6" s="3" t="s">
        <v>12</v>
      </c>
      <c r="J6" s="6" t="s">
        <v>157</v>
      </c>
      <c r="K6" s="20">
        <f>K4-46</f>
        <v>754</v>
      </c>
      <c r="L6" s="3">
        <f>G4*2</f>
        <v>2</v>
      </c>
      <c r="N6" s="18">
        <f t="shared" si="2"/>
        <v>4</v>
      </c>
      <c r="O6" s="124" t="s">
        <v>79</v>
      </c>
      <c r="P6" s="125"/>
      <c r="Q6" s="126"/>
      <c r="R6" s="37"/>
      <c r="S6" s="32"/>
      <c r="T6" s="81"/>
      <c r="U6" s="58">
        <v>0.05</v>
      </c>
      <c r="V6" s="37">
        <f>SUM(V3:V5)*U6</f>
        <v>53650.176000000007</v>
      </c>
      <c r="W6" s="179"/>
    </row>
    <row r="7" spans="2:23" ht="44.4" customHeight="1" x14ac:dyDescent="0.35">
      <c r="B7" s="132"/>
      <c r="C7" s="133"/>
      <c r="D7" s="162"/>
      <c r="E7" s="2"/>
      <c r="F7" s="2"/>
      <c r="G7" s="2"/>
      <c r="H7" s="77" t="s">
        <v>22</v>
      </c>
      <c r="I7" s="3" t="s">
        <v>13</v>
      </c>
      <c r="J7" s="6" t="s">
        <v>157</v>
      </c>
      <c r="K7" s="20">
        <f>K5-46</f>
        <v>954</v>
      </c>
      <c r="L7" s="3">
        <f>G4*2</f>
        <v>2</v>
      </c>
      <c r="N7" s="18">
        <f t="shared" si="2"/>
        <v>5</v>
      </c>
      <c r="O7" s="124" t="s">
        <v>155</v>
      </c>
      <c r="P7" s="125"/>
      <c r="Q7" s="125"/>
      <c r="R7" s="32"/>
      <c r="S7" s="32"/>
      <c r="T7" s="36">
        <v>4</v>
      </c>
      <c r="U7" s="37">
        <v>12500</v>
      </c>
      <c r="V7" s="34">
        <f t="shared" ref="V7:V9" si="3">U7*T7</f>
        <v>50000</v>
      </c>
      <c r="W7" s="29" t="s">
        <v>85</v>
      </c>
    </row>
    <row r="8" spans="2:23" ht="44.4" customHeight="1" x14ac:dyDescent="0.35">
      <c r="B8" s="132"/>
      <c r="C8" s="133"/>
      <c r="D8" s="162"/>
      <c r="E8" s="3"/>
      <c r="F8" s="3"/>
      <c r="G8" s="3"/>
      <c r="H8" s="77" t="s">
        <v>24</v>
      </c>
      <c r="I8" s="172" t="s">
        <v>80</v>
      </c>
      <c r="J8" s="3" t="s">
        <v>6</v>
      </c>
      <c r="K8" s="3" t="s">
        <v>7</v>
      </c>
      <c r="L8" s="5" t="s">
        <v>2</v>
      </c>
      <c r="N8" s="18">
        <f t="shared" si="2"/>
        <v>6</v>
      </c>
      <c r="O8" s="124" t="s">
        <v>154</v>
      </c>
      <c r="P8" s="125"/>
      <c r="Q8" s="125"/>
      <c r="R8" s="32"/>
      <c r="S8" s="32"/>
      <c r="T8" s="36">
        <v>4</v>
      </c>
      <c r="U8" s="37">
        <v>15000</v>
      </c>
      <c r="V8" s="34">
        <f t="shared" si="3"/>
        <v>60000</v>
      </c>
      <c r="W8" s="29" t="s">
        <v>74</v>
      </c>
    </row>
    <row r="9" spans="2:23" ht="44.4" customHeight="1" x14ac:dyDescent="0.35">
      <c r="B9" s="134"/>
      <c r="C9" s="135"/>
      <c r="D9" s="163"/>
      <c r="E9" s="3"/>
      <c r="F9" s="3"/>
      <c r="G9" s="3"/>
      <c r="H9" s="77" t="s">
        <v>25</v>
      </c>
      <c r="I9" s="173"/>
      <c r="J9" s="20">
        <f>K6-138</f>
        <v>616</v>
      </c>
      <c r="K9" s="20">
        <f>K7-138</f>
        <v>816</v>
      </c>
      <c r="L9" s="20">
        <f>G4</f>
        <v>1</v>
      </c>
      <c r="N9" s="18">
        <f t="shared" si="2"/>
        <v>7</v>
      </c>
      <c r="O9" s="124" t="s">
        <v>62</v>
      </c>
      <c r="P9" s="125"/>
      <c r="Q9" s="125"/>
      <c r="R9" s="32"/>
      <c r="S9" s="32"/>
      <c r="T9" s="36">
        <f>T8*2+T7</f>
        <v>12</v>
      </c>
      <c r="U9" s="37">
        <v>100</v>
      </c>
      <c r="V9" s="34">
        <f t="shared" si="3"/>
        <v>1200</v>
      </c>
      <c r="W9" s="29" t="s">
        <v>75</v>
      </c>
    </row>
    <row r="10" spans="2:23" ht="44.4" customHeight="1" x14ac:dyDescent="0.35">
      <c r="N10" s="18">
        <f t="shared" si="2"/>
        <v>8</v>
      </c>
      <c r="O10" s="138" t="s">
        <v>66</v>
      </c>
      <c r="P10" s="139"/>
      <c r="Q10" s="139"/>
      <c r="R10" s="139"/>
      <c r="S10" s="140"/>
      <c r="T10" s="38"/>
      <c r="U10" s="39"/>
      <c r="V10" s="40">
        <f>SUM(V3:V9)</f>
        <v>1237853.696</v>
      </c>
      <c r="W10" s="18"/>
    </row>
    <row r="11" spans="2:23" ht="44.4" customHeight="1" x14ac:dyDescent="0.35">
      <c r="N11" s="27" t="s">
        <v>14</v>
      </c>
      <c r="O11" s="129" t="s">
        <v>52</v>
      </c>
      <c r="P11" s="129"/>
      <c r="Q11" s="129"/>
      <c r="R11" s="27" t="s">
        <v>53</v>
      </c>
      <c r="S11" s="33" t="s">
        <v>59</v>
      </c>
      <c r="T11" s="33"/>
      <c r="U11" s="27" t="s">
        <v>45</v>
      </c>
      <c r="V11" s="27" t="s">
        <v>46</v>
      </c>
      <c r="W11" s="2"/>
    </row>
    <row r="12" spans="2:23" ht="44.4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44"/>
      <c r="N12" s="18">
        <v>1</v>
      </c>
      <c r="O12" s="124" t="s">
        <v>67</v>
      </c>
      <c r="P12" s="125"/>
      <c r="Q12" s="125"/>
      <c r="R12" s="41">
        <f>R3+R4</f>
        <v>7016</v>
      </c>
      <c r="S12" s="2">
        <v>1</v>
      </c>
      <c r="T12" s="28"/>
      <c r="U12" s="41">
        <v>1000</v>
      </c>
      <c r="V12" s="41">
        <f>U12*R12*S12/1000</f>
        <v>7016</v>
      </c>
      <c r="W12" s="2"/>
    </row>
    <row r="13" spans="2:23" ht="44.4" customHeight="1" x14ac:dyDescent="0.35">
      <c r="B13" s="127"/>
      <c r="C13" s="127"/>
      <c r="D13" s="141"/>
      <c r="E13" s="141"/>
      <c r="F13" s="141"/>
      <c r="G13" s="141"/>
      <c r="H13" s="141"/>
      <c r="I13" s="141"/>
      <c r="J13" s="60"/>
      <c r="K13" s="60"/>
      <c r="L13" s="60"/>
      <c r="N13" s="18">
        <f>N12+1</f>
        <v>2</v>
      </c>
      <c r="O13" s="124" t="s">
        <v>48</v>
      </c>
      <c r="P13" s="125"/>
      <c r="Q13" s="125"/>
      <c r="R13" s="41">
        <f>R4*2</f>
        <v>6832</v>
      </c>
      <c r="S13" s="2">
        <v>1</v>
      </c>
      <c r="T13" s="28"/>
      <c r="U13" s="41">
        <v>1000</v>
      </c>
      <c r="V13" s="41">
        <f>U13*R13*S13/1000</f>
        <v>6832</v>
      </c>
      <c r="W13" s="2"/>
    </row>
    <row r="14" spans="2:23" ht="44.4" customHeight="1" x14ac:dyDescent="0.35">
      <c r="B14" s="127"/>
      <c r="C14" s="127"/>
      <c r="D14" s="141"/>
      <c r="E14" s="141"/>
      <c r="F14" s="141"/>
      <c r="G14" s="141"/>
      <c r="H14" s="141"/>
      <c r="I14" s="141"/>
      <c r="J14" s="60"/>
      <c r="K14" s="60"/>
      <c r="L14" s="60"/>
      <c r="N14" s="18">
        <f t="shared" ref="N14:N17" si="4">N13+1</f>
        <v>3</v>
      </c>
      <c r="O14" s="124" t="s">
        <v>69</v>
      </c>
      <c r="P14" s="125"/>
      <c r="Q14" s="126"/>
      <c r="R14" s="41"/>
      <c r="S14" s="61">
        <v>1</v>
      </c>
      <c r="T14" s="28"/>
      <c r="U14" s="41">
        <v>1000</v>
      </c>
      <c r="V14" s="41">
        <f t="shared" ref="V14:V15" si="5">U14*S14</f>
        <v>1000</v>
      </c>
      <c r="W14" s="29" t="s">
        <v>87</v>
      </c>
    </row>
    <row r="15" spans="2:23" ht="44.4" customHeight="1" x14ac:dyDescent="0.35">
      <c r="B15" s="127"/>
      <c r="C15" s="127"/>
      <c r="D15" s="141"/>
      <c r="E15" s="141"/>
      <c r="F15" s="141"/>
      <c r="G15" s="141"/>
      <c r="H15" s="141"/>
      <c r="I15" s="141"/>
      <c r="J15" s="60"/>
      <c r="K15" s="60"/>
      <c r="L15" s="60"/>
      <c r="N15" s="18">
        <f t="shared" si="4"/>
        <v>4</v>
      </c>
      <c r="O15" s="124" t="s">
        <v>71</v>
      </c>
      <c r="P15" s="125"/>
      <c r="Q15" s="126"/>
      <c r="R15" s="41"/>
      <c r="S15" s="2">
        <v>1</v>
      </c>
      <c r="T15" s="28"/>
      <c r="U15" s="41">
        <v>2000</v>
      </c>
      <c r="V15" s="41">
        <f t="shared" si="5"/>
        <v>2000</v>
      </c>
      <c r="W15" s="29" t="s">
        <v>87</v>
      </c>
    </row>
    <row r="16" spans="2:23" ht="44.4" customHeight="1" x14ac:dyDescent="0.35">
      <c r="B16" s="127"/>
      <c r="C16" s="127"/>
      <c r="D16" s="127"/>
      <c r="E16" s="127"/>
      <c r="F16" s="127"/>
      <c r="G16" s="127"/>
      <c r="H16" s="141"/>
      <c r="I16" s="141"/>
      <c r="J16" s="60"/>
      <c r="K16" s="60"/>
      <c r="L16" s="60"/>
      <c r="N16" s="18">
        <f t="shared" si="4"/>
        <v>5</v>
      </c>
      <c r="O16" s="144" t="s">
        <v>70</v>
      </c>
      <c r="P16" s="144"/>
      <c r="Q16" s="144"/>
      <c r="R16" s="144"/>
      <c r="S16" s="144"/>
      <c r="T16" s="38"/>
      <c r="U16" s="39"/>
      <c r="V16" s="40">
        <f>SUM(V12:V15)</f>
        <v>16848</v>
      </c>
      <c r="W16" s="2"/>
    </row>
    <row r="17" spans="2:23" ht="44.4" customHeight="1" x14ac:dyDescent="0.35">
      <c r="B17" s="127"/>
      <c r="C17" s="127"/>
      <c r="D17" s="141"/>
      <c r="E17" s="141"/>
      <c r="F17" s="141"/>
      <c r="G17" s="141"/>
      <c r="H17" s="141"/>
      <c r="I17" s="141"/>
      <c r="J17" s="60"/>
      <c r="K17" s="60"/>
      <c r="L17" s="60"/>
      <c r="N17" s="115">
        <f t="shared" si="4"/>
        <v>6</v>
      </c>
      <c r="O17" s="145" t="s">
        <v>183</v>
      </c>
      <c r="P17" s="146"/>
      <c r="Q17" s="146"/>
      <c r="R17" s="146"/>
      <c r="S17" s="147"/>
      <c r="T17" s="116"/>
      <c r="U17" s="117"/>
      <c r="V17" s="118">
        <f>V10+V16</f>
        <v>1254701.696</v>
      </c>
      <c r="W17" s="115"/>
    </row>
    <row r="18" spans="2:23" ht="44.4" customHeight="1" x14ac:dyDescent="0.35">
      <c r="B18" s="127"/>
      <c r="C18" s="127"/>
      <c r="D18" s="127"/>
      <c r="E18" s="127"/>
      <c r="F18" s="127"/>
      <c r="G18" s="127"/>
      <c r="H18" s="141"/>
      <c r="I18" s="141"/>
      <c r="J18" s="60"/>
      <c r="K18" s="60"/>
      <c r="L18" s="60"/>
      <c r="O18" s="22"/>
      <c r="P18" s="143"/>
      <c r="Q18" s="143"/>
      <c r="R18" s="51"/>
      <c r="S18" s="49"/>
      <c r="T18" s="49"/>
      <c r="U18" s="53"/>
      <c r="V18" s="49"/>
      <c r="W18" s="53"/>
    </row>
    <row r="19" spans="2:23" ht="44.4" customHeight="1" x14ac:dyDescent="0.35">
      <c r="B19" s="127"/>
      <c r="C19" s="127"/>
      <c r="D19" s="127"/>
      <c r="E19" s="127"/>
      <c r="F19" s="127"/>
      <c r="G19" s="127"/>
      <c r="H19" s="148"/>
      <c r="I19" s="148"/>
      <c r="J19" s="60"/>
      <c r="K19" s="60"/>
      <c r="L19" s="60"/>
      <c r="O19" s="22"/>
      <c r="P19" s="143"/>
      <c r="Q19" s="143"/>
      <c r="R19" s="51"/>
      <c r="S19" s="49"/>
      <c r="T19" s="49"/>
      <c r="U19" s="52"/>
      <c r="V19" s="49"/>
      <c r="W19" s="53"/>
    </row>
    <row r="20" spans="2:23" ht="44.4" customHeight="1" x14ac:dyDescent="0.35">
      <c r="B20" s="127"/>
      <c r="C20" s="127"/>
      <c r="D20" s="127"/>
      <c r="E20" s="127"/>
      <c r="F20" s="127"/>
      <c r="G20" s="127"/>
      <c r="H20" s="141"/>
      <c r="I20" s="141"/>
      <c r="J20" s="60"/>
      <c r="K20" s="60"/>
    </row>
  </sheetData>
  <mergeCells count="57">
    <mergeCell ref="B1:L1"/>
    <mergeCell ref="N1:W1"/>
    <mergeCell ref="B2:F2"/>
    <mergeCell ref="H2:H3"/>
    <mergeCell ref="I2:L2"/>
    <mergeCell ref="O2:Q2"/>
    <mergeCell ref="B3:D9"/>
    <mergeCell ref="O3:Q3"/>
    <mergeCell ref="W3:W6"/>
    <mergeCell ref="O4:Q4"/>
    <mergeCell ref="O5:Q5"/>
    <mergeCell ref="O6:Q6"/>
    <mergeCell ref="O7:Q7"/>
    <mergeCell ref="I8:I9"/>
    <mergeCell ref="O8:Q8"/>
    <mergeCell ref="O9:Q9"/>
    <mergeCell ref="O10:S10"/>
    <mergeCell ref="O11:Q11"/>
    <mergeCell ref="B12:C12"/>
    <mergeCell ref="D12:E12"/>
    <mergeCell ref="F12:G12"/>
    <mergeCell ref="H12:I12"/>
    <mergeCell ref="J12:K12"/>
    <mergeCell ref="O12:Q12"/>
    <mergeCell ref="O13:Q13"/>
    <mergeCell ref="B14:C14"/>
    <mergeCell ref="D14:E14"/>
    <mergeCell ref="F14:G14"/>
    <mergeCell ref="H14:I14"/>
    <mergeCell ref="O14:Q14"/>
    <mergeCell ref="H15:I15"/>
    <mergeCell ref="B13:C13"/>
    <mergeCell ref="D13:E13"/>
    <mergeCell ref="F13:G13"/>
    <mergeCell ref="H13:I13"/>
    <mergeCell ref="P18:Q18"/>
    <mergeCell ref="B19:G19"/>
    <mergeCell ref="H19:I19"/>
    <mergeCell ref="P19:Q19"/>
    <mergeCell ref="O15:Q15"/>
    <mergeCell ref="B16:G16"/>
    <mergeCell ref="H16:I16"/>
    <mergeCell ref="O16:S16"/>
    <mergeCell ref="B17:C17"/>
    <mergeCell ref="D17:E17"/>
    <mergeCell ref="F17:G17"/>
    <mergeCell ref="H17:I17"/>
    <mergeCell ref="O17:S17"/>
    <mergeCell ref="B15:C15"/>
    <mergeCell ref="D15:E15"/>
    <mergeCell ref="F15:G15"/>
    <mergeCell ref="B20:C20"/>
    <mergeCell ref="D20:E20"/>
    <mergeCell ref="F20:G20"/>
    <mergeCell ref="H20:I20"/>
    <mergeCell ref="B18:G18"/>
    <mergeCell ref="H18:I1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W20"/>
  <sheetViews>
    <sheetView topLeftCell="F1" zoomScale="47" zoomScaleNormal="47" workbookViewId="0">
      <selection activeCell="V15" sqref="V15"/>
    </sheetView>
  </sheetViews>
  <sheetFormatPr defaultColWidth="20.44140625" defaultRowHeight="42" customHeight="1" x14ac:dyDescent="0.35"/>
  <cols>
    <col min="1" max="22" width="20.44140625" style="1"/>
    <col min="23" max="23" width="42.44140625" style="1" customWidth="1"/>
    <col min="24" max="16384" width="20.44140625" style="1"/>
  </cols>
  <sheetData>
    <row r="1" spans="2:23" ht="42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55.2" customHeight="1" x14ac:dyDescent="0.35">
      <c r="B2" s="152" t="s">
        <v>8</v>
      </c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2" customHeight="1" x14ac:dyDescent="0.35">
      <c r="B3" s="155"/>
      <c r="C3" s="156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81</v>
      </c>
      <c r="P3" s="125"/>
      <c r="Q3" s="125"/>
      <c r="R3" s="37">
        <f>K4*L4+K5*L5</f>
        <v>5600</v>
      </c>
      <c r="S3" s="32">
        <v>0.89100000000000001</v>
      </c>
      <c r="T3" s="35">
        <f>S3*R3</f>
        <v>4989.6000000000004</v>
      </c>
      <c r="U3" s="37">
        <v>128000</v>
      </c>
      <c r="V3" s="34">
        <f>U3*T3/1000</f>
        <v>638668.80000000005</v>
      </c>
      <c r="W3" s="177"/>
    </row>
    <row r="4" spans="2:23" ht="42" customHeight="1" x14ac:dyDescent="0.35">
      <c r="B4" s="132"/>
      <c r="C4" s="133"/>
      <c r="D4" s="162"/>
      <c r="E4" s="3">
        <v>1800</v>
      </c>
      <c r="F4" s="3">
        <v>1000</v>
      </c>
      <c r="G4" s="3">
        <v>1</v>
      </c>
      <c r="H4" s="6">
        <v>1</v>
      </c>
      <c r="I4" s="3" t="s">
        <v>10</v>
      </c>
      <c r="J4" s="6" t="s">
        <v>156</v>
      </c>
      <c r="K4" s="3">
        <f>E4</f>
        <v>1800</v>
      </c>
      <c r="L4" s="3">
        <f>G4*2</f>
        <v>2</v>
      </c>
      <c r="N4" s="18">
        <f>N3+1</f>
        <v>2</v>
      </c>
      <c r="O4" s="124" t="s">
        <v>82</v>
      </c>
      <c r="P4" s="125"/>
      <c r="Q4" s="125"/>
      <c r="R4" s="37">
        <f>K6*L6+K7*L7</f>
        <v>7310</v>
      </c>
      <c r="S4" s="32">
        <v>1.238</v>
      </c>
      <c r="T4" s="35">
        <f t="shared" ref="T4:T5" si="0">S4*R4</f>
        <v>9049.7800000000007</v>
      </c>
      <c r="U4" s="37">
        <v>128000</v>
      </c>
      <c r="V4" s="34">
        <f t="shared" ref="V4:V6" si="1">U4*T4/1000</f>
        <v>1158371.8400000001</v>
      </c>
      <c r="W4" s="178"/>
    </row>
    <row r="5" spans="2:23" ht="42" customHeight="1" x14ac:dyDescent="0.35">
      <c r="B5" s="132"/>
      <c r="C5" s="133"/>
      <c r="D5" s="162"/>
      <c r="E5" s="92"/>
      <c r="F5" s="45" t="s">
        <v>47</v>
      </c>
      <c r="G5" s="45" t="s">
        <v>120</v>
      </c>
      <c r="H5" s="6">
        <f>H4+1</f>
        <v>2</v>
      </c>
      <c r="I5" s="3" t="s">
        <v>11</v>
      </c>
      <c r="J5" s="6" t="s">
        <v>156</v>
      </c>
      <c r="K5" s="3">
        <f>F4</f>
        <v>1000</v>
      </c>
      <c r="L5" s="3">
        <f>G4*2</f>
        <v>2</v>
      </c>
      <c r="N5" s="18">
        <f t="shared" ref="N5:N11" si="2">N4+1</f>
        <v>3</v>
      </c>
      <c r="O5" s="124" t="s">
        <v>56</v>
      </c>
      <c r="P5" s="125"/>
      <c r="Q5" s="125"/>
      <c r="R5" s="37">
        <f>R4</f>
        <v>7310</v>
      </c>
      <c r="S5" s="32">
        <v>0.27700000000000002</v>
      </c>
      <c r="T5" s="35">
        <f t="shared" si="0"/>
        <v>2024.8700000000001</v>
      </c>
      <c r="U5" s="37">
        <v>128000</v>
      </c>
      <c r="V5" s="34">
        <f t="shared" si="1"/>
        <v>259183.36000000004</v>
      </c>
      <c r="W5" s="178"/>
    </row>
    <row r="6" spans="2:23" ht="42" customHeight="1" x14ac:dyDescent="0.35">
      <c r="B6" s="132"/>
      <c r="C6" s="133"/>
      <c r="D6" s="162"/>
      <c r="E6" s="61"/>
      <c r="F6" s="20">
        <f>F4*E4/1000</f>
        <v>1800</v>
      </c>
      <c r="G6" s="91">
        <f>SUM(T3:T6)</f>
        <v>16974.852000000003</v>
      </c>
      <c r="H6" s="6">
        <f t="shared" ref="H6:H10" si="3">H5+1</f>
        <v>3</v>
      </c>
      <c r="I6" s="3" t="s">
        <v>17</v>
      </c>
      <c r="J6" s="6" t="s">
        <v>157</v>
      </c>
      <c r="K6" s="20">
        <f>(E4-53)/2</f>
        <v>873.5</v>
      </c>
      <c r="L6" s="3">
        <f>G4*4</f>
        <v>4</v>
      </c>
      <c r="N6" s="18">
        <f t="shared" si="2"/>
        <v>4</v>
      </c>
      <c r="O6" s="124" t="s">
        <v>72</v>
      </c>
      <c r="P6" s="125"/>
      <c r="Q6" s="125"/>
      <c r="R6" s="37">
        <f>K8*L8</f>
        <v>891</v>
      </c>
      <c r="S6" s="32">
        <v>1.022</v>
      </c>
      <c r="T6" s="35">
        <f>S6*R6</f>
        <v>910.60199999999998</v>
      </c>
      <c r="U6" s="37">
        <v>128000</v>
      </c>
      <c r="V6" s="34">
        <f t="shared" si="1"/>
        <v>116557.056</v>
      </c>
      <c r="W6" s="179"/>
    </row>
    <row r="7" spans="2:23" ht="42" customHeight="1" x14ac:dyDescent="0.35">
      <c r="B7" s="132"/>
      <c r="C7" s="133"/>
      <c r="D7" s="162"/>
      <c r="E7" s="2"/>
      <c r="F7" s="2"/>
      <c r="G7" s="2"/>
      <c r="H7" s="6">
        <f t="shared" si="3"/>
        <v>4</v>
      </c>
      <c r="I7" s="3" t="s">
        <v>18</v>
      </c>
      <c r="J7" s="6" t="s">
        <v>157</v>
      </c>
      <c r="K7" s="20">
        <f>F4-46</f>
        <v>954</v>
      </c>
      <c r="L7" s="3">
        <f>G4*4</f>
        <v>4</v>
      </c>
      <c r="N7" s="18">
        <f t="shared" si="2"/>
        <v>5</v>
      </c>
      <c r="O7" s="124" t="s">
        <v>79</v>
      </c>
      <c r="P7" s="125"/>
      <c r="Q7" s="126"/>
      <c r="R7" s="37"/>
      <c r="S7" s="32"/>
      <c r="T7" s="81"/>
      <c r="U7" s="58">
        <v>0.05</v>
      </c>
      <c r="V7" s="37">
        <f>SUM(V3:V6)*U7</f>
        <v>108639.05280000002</v>
      </c>
      <c r="W7" s="46"/>
    </row>
    <row r="8" spans="2:23" ht="42" customHeight="1" x14ac:dyDescent="0.35">
      <c r="B8" s="132"/>
      <c r="C8" s="133"/>
      <c r="D8" s="162"/>
      <c r="E8" s="2"/>
      <c r="F8" s="2"/>
      <c r="G8" s="2"/>
      <c r="H8" s="6">
        <f t="shared" si="3"/>
        <v>5</v>
      </c>
      <c r="I8" s="3" t="s">
        <v>16</v>
      </c>
      <c r="J8" s="6">
        <v>615</v>
      </c>
      <c r="K8" s="108">
        <f>K7-63</f>
        <v>891</v>
      </c>
      <c r="L8" s="3">
        <f>G4*1</f>
        <v>1</v>
      </c>
      <c r="N8" s="18">
        <f t="shared" si="2"/>
        <v>6</v>
      </c>
      <c r="O8" s="124" t="s">
        <v>155</v>
      </c>
      <c r="P8" s="125"/>
      <c r="Q8" s="125"/>
      <c r="R8" s="32"/>
      <c r="S8" s="32"/>
      <c r="T8" s="36">
        <v>4</v>
      </c>
      <c r="U8" s="37">
        <v>12500</v>
      </c>
      <c r="V8" s="34">
        <f t="shared" ref="V8:V10" si="4">U8*T8</f>
        <v>50000</v>
      </c>
      <c r="W8" s="18"/>
    </row>
    <row r="9" spans="2:23" ht="42" customHeight="1" x14ac:dyDescent="0.35">
      <c r="B9" s="132"/>
      <c r="C9" s="133"/>
      <c r="D9" s="162"/>
      <c r="E9" s="3"/>
      <c r="F9" s="3"/>
      <c r="G9" s="3"/>
      <c r="H9" s="6">
        <f t="shared" si="3"/>
        <v>6</v>
      </c>
      <c r="I9" s="172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154</v>
      </c>
      <c r="P9" s="125"/>
      <c r="Q9" s="125"/>
      <c r="R9" s="32"/>
      <c r="S9" s="32"/>
      <c r="T9" s="36">
        <v>8</v>
      </c>
      <c r="U9" s="37">
        <v>15000</v>
      </c>
      <c r="V9" s="34">
        <f t="shared" si="4"/>
        <v>120000</v>
      </c>
      <c r="W9" s="29" t="s">
        <v>74</v>
      </c>
    </row>
    <row r="10" spans="2:23" ht="42" customHeight="1" x14ac:dyDescent="0.35">
      <c r="B10" s="134"/>
      <c r="C10" s="135"/>
      <c r="D10" s="163"/>
      <c r="E10" s="3"/>
      <c r="F10" s="3"/>
      <c r="G10" s="3"/>
      <c r="H10" s="6">
        <f t="shared" si="3"/>
        <v>7</v>
      </c>
      <c r="I10" s="173"/>
      <c r="J10" s="3">
        <f>K6-138</f>
        <v>735.5</v>
      </c>
      <c r="K10" s="3">
        <f>K7-138</f>
        <v>816</v>
      </c>
      <c r="L10" s="3">
        <f>G4*2</f>
        <v>2</v>
      </c>
      <c r="N10" s="18">
        <f t="shared" si="2"/>
        <v>8</v>
      </c>
      <c r="O10" s="124" t="s">
        <v>62</v>
      </c>
      <c r="P10" s="125"/>
      <c r="Q10" s="125"/>
      <c r="R10" s="32"/>
      <c r="S10" s="32"/>
      <c r="T10" s="36">
        <f>T9*2+T8</f>
        <v>20</v>
      </c>
      <c r="U10" s="37">
        <v>100</v>
      </c>
      <c r="V10" s="34">
        <f t="shared" si="4"/>
        <v>2000</v>
      </c>
      <c r="W10" s="29" t="s">
        <v>75</v>
      </c>
    </row>
    <row r="11" spans="2:23" ht="42" customHeight="1" x14ac:dyDescent="0.35">
      <c r="N11" s="18">
        <f t="shared" si="2"/>
        <v>9</v>
      </c>
      <c r="O11" s="138" t="s">
        <v>66</v>
      </c>
      <c r="P11" s="139"/>
      <c r="Q11" s="139"/>
      <c r="R11" s="139"/>
      <c r="S11" s="140"/>
      <c r="T11" s="38"/>
      <c r="U11" s="39"/>
      <c r="V11" s="40">
        <f>SUM(V3:V10)</f>
        <v>2453420.1088000005</v>
      </c>
      <c r="W11" s="18"/>
    </row>
    <row r="12" spans="2:23" ht="42" customHeight="1" x14ac:dyDescent="0.35"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N12" s="27" t="s">
        <v>14</v>
      </c>
      <c r="O12" s="129" t="s">
        <v>52</v>
      </c>
      <c r="P12" s="129"/>
      <c r="Q12" s="129"/>
      <c r="R12" s="27" t="s">
        <v>53</v>
      </c>
      <c r="S12" s="33" t="s">
        <v>59</v>
      </c>
      <c r="T12" s="33"/>
      <c r="U12" s="27" t="s">
        <v>45</v>
      </c>
      <c r="V12" s="27" t="s">
        <v>46</v>
      </c>
      <c r="W12" s="2"/>
    </row>
    <row r="13" spans="2:23" ht="42" customHeight="1" x14ac:dyDescent="0.35">
      <c r="B13" s="127"/>
      <c r="C13" s="127"/>
      <c r="D13" s="141"/>
      <c r="E13" s="141"/>
      <c r="F13" s="141"/>
      <c r="G13" s="141"/>
      <c r="H13" s="141"/>
      <c r="I13" s="141"/>
      <c r="J13" s="127"/>
      <c r="K13" s="127"/>
      <c r="N13" s="18">
        <v>1</v>
      </c>
      <c r="O13" s="124" t="s">
        <v>67</v>
      </c>
      <c r="P13" s="125"/>
      <c r="Q13" s="125"/>
      <c r="R13" s="41">
        <f>R3+R4+R6</f>
        <v>13801</v>
      </c>
      <c r="S13" s="2">
        <v>1</v>
      </c>
      <c r="T13" s="28"/>
      <c r="U13" s="41">
        <v>1000</v>
      </c>
      <c r="V13" s="41">
        <f>U13*R13*S13/1000</f>
        <v>13801</v>
      </c>
      <c r="W13" s="2"/>
    </row>
    <row r="14" spans="2:23" ht="42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f>N13+1</f>
        <v>2</v>
      </c>
      <c r="O14" s="124" t="s">
        <v>48</v>
      </c>
      <c r="P14" s="125"/>
      <c r="Q14" s="125"/>
      <c r="R14" s="41">
        <f>R4*2</f>
        <v>14620</v>
      </c>
      <c r="S14" s="2">
        <v>1</v>
      </c>
      <c r="T14" s="28"/>
      <c r="U14" s="41">
        <v>1000</v>
      </c>
      <c r="V14" s="41">
        <f>U14*R14*S14/1000</f>
        <v>14620</v>
      </c>
      <c r="W14" s="2"/>
    </row>
    <row r="15" spans="2:23" ht="42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 t="shared" ref="N15:N19" si="5">N14+1</f>
        <v>3</v>
      </c>
      <c r="O15" s="124" t="s">
        <v>73</v>
      </c>
      <c r="P15" s="125"/>
      <c r="Q15" s="125"/>
      <c r="R15" s="41"/>
      <c r="S15" s="2">
        <v>1</v>
      </c>
      <c r="T15" s="28"/>
      <c r="U15" s="106">
        <v>3500</v>
      </c>
      <c r="V15" s="41">
        <f>U15*S15</f>
        <v>3500</v>
      </c>
      <c r="W15" s="29" t="s">
        <v>86</v>
      </c>
    </row>
    <row r="16" spans="2:23" ht="42" customHeight="1" x14ac:dyDescent="0.35">
      <c r="B16" s="127"/>
      <c r="C16" s="127"/>
      <c r="D16" s="127"/>
      <c r="E16" s="127"/>
      <c r="F16" s="127"/>
      <c r="G16" s="127"/>
      <c r="H16" s="141"/>
      <c r="I16" s="141"/>
      <c r="J16" s="127"/>
      <c r="K16" s="127"/>
      <c r="N16" s="18">
        <f t="shared" si="5"/>
        <v>4</v>
      </c>
      <c r="O16" s="124" t="s">
        <v>69</v>
      </c>
      <c r="P16" s="125"/>
      <c r="Q16" s="126"/>
      <c r="R16" s="41"/>
      <c r="S16" s="61">
        <v>1</v>
      </c>
      <c r="T16" s="28"/>
      <c r="U16" s="41">
        <v>1000</v>
      </c>
      <c r="V16" s="41">
        <f t="shared" ref="V16:V17" si="6">U16*S16</f>
        <v>1000</v>
      </c>
      <c r="W16" s="29" t="s">
        <v>87</v>
      </c>
    </row>
    <row r="17" spans="2:23" ht="42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5"/>
        <v>5</v>
      </c>
      <c r="O17" s="124" t="s">
        <v>71</v>
      </c>
      <c r="P17" s="125"/>
      <c r="Q17" s="126"/>
      <c r="R17" s="41"/>
      <c r="S17" s="2">
        <v>1</v>
      </c>
      <c r="T17" s="28"/>
      <c r="U17" s="41">
        <v>2000</v>
      </c>
      <c r="V17" s="41">
        <f t="shared" si="6"/>
        <v>2000</v>
      </c>
      <c r="W17" s="2" t="s">
        <v>87</v>
      </c>
    </row>
    <row r="18" spans="2:23" ht="42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N18" s="18">
        <f t="shared" si="5"/>
        <v>6</v>
      </c>
      <c r="O18" s="144" t="s">
        <v>70</v>
      </c>
      <c r="P18" s="144"/>
      <c r="Q18" s="144"/>
      <c r="R18" s="144"/>
      <c r="S18" s="144"/>
      <c r="T18" s="38"/>
      <c r="U18" s="39"/>
      <c r="V18" s="40">
        <f>SUM(V13:V17)</f>
        <v>34921</v>
      </c>
      <c r="W18" s="2"/>
    </row>
    <row r="19" spans="2:23" ht="42" customHeight="1" x14ac:dyDescent="0.35">
      <c r="B19" s="127"/>
      <c r="C19" s="127"/>
      <c r="D19" s="127"/>
      <c r="E19" s="127"/>
      <c r="F19" s="127"/>
      <c r="G19" s="127"/>
      <c r="H19" s="148"/>
      <c r="I19" s="148"/>
      <c r="J19" s="127"/>
      <c r="K19" s="127"/>
      <c r="N19" s="115">
        <f t="shared" si="5"/>
        <v>7</v>
      </c>
      <c r="O19" s="145" t="s">
        <v>183</v>
      </c>
      <c r="P19" s="146"/>
      <c r="Q19" s="146"/>
      <c r="R19" s="146"/>
      <c r="S19" s="147"/>
      <c r="T19" s="116"/>
      <c r="U19" s="117"/>
      <c r="V19" s="118">
        <f>V11+V18</f>
        <v>2488341.1088000005</v>
      </c>
      <c r="W19" s="115"/>
    </row>
    <row r="20" spans="2:23" ht="42" customHeight="1" x14ac:dyDescent="0.35">
      <c r="B20" s="193"/>
      <c r="C20" s="193"/>
      <c r="D20" s="193"/>
      <c r="E20" s="193"/>
      <c r="F20" s="194"/>
      <c r="G20" s="195"/>
      <c r="H20" s="196">
        <f t="shared" ref="H20" si="7">F20</f>
        <v>0</v>
      </c>
      <c r="I20" s="197"/>
      <c r="J20" s="193"/>
      <c r="K20" s="193"/>
    </row>
  </sheetData>
  <mergeCells count="64">
    <mergeCell ref="B3:D10"/>
    <mergeCell ref="O3:Q3"/>
    <mergeCell ref="W3:W6"/>
    <mergeCell ref="O4:Q4"/>
    <mergeCell ref="O5:Q5"/>
    <mergeCell ref="O6:Q6"/>
    <mergeCell ref="O7:Q7"/>
    <mergeCell ref="O8:Q8"/>
    <mergeCell ref="I9:I10"/>
    <mergeCell ref="O9:Q9"/>
    <mergeCell ref="O10:Q10"/>
    <mergeCell ref="B1:L1"/>
    <mergeCell ref="N1:W1"/>
    <mergeCell ref="B2:F2"/>
    <mergeCell ref="I2:L2"/>
    <mergeCell ref="O2:Q2"/>
    <mergeCell ref="O13:Q13"/>
    <mergeCell ref="O11:S11"/>
    <mergeCell ref="B12:C12"/>
    <mergeCell ref="D12:E12"/>
    <mergeCell ref="F12:G12"/>
    <mergeCell ref="H12:I12"/>
    <mergeCell ref="J12:K12"/>
    <mergeCell ref="O12:Q12"/>
    <mergeCell ref="B13:C13"/>
    <mergeCell ref="D13:E13"/>
    <mergeCell ref="F13:G13"/>
    <mergeCell ref="H13:I13"/>
    <mergeCell ref="J13:K13"/>
    <mergeCell ref="O15:Q15"/>
    <mergeCell ref="B14:C14"/>
    <mergeCell ref="D14:E14"/>
    <mergeCell ref="F14:G14"/>
    <mergeCell ref="H14:I14"/>
    <mergeCell ref="J14:K14"/>
    <mergeCell ref="O14:Q14"/>
    <mergeCell ref="B15:C15"/>
    <mergeCell ref="D15:E15"/>
    <mergeCell ref="F15:G15"/>
    <mergeCell ref="H15:I15"/>
    <mergeCell ref="J15:K15"/>
    <mergeCell ref="B16:G16"/>
    <mergeCell ref="H16:I16"/>
    <mergeCell ref="J16:K16"/>
    <mergeCell ref="O16:Q16"/>
    <mergeCell ref="B17:C17"/>
    <mergeCell ref="D17:E17"/>
    <mergeCell ref="F17:G17"/>
    <mergeCell ref="H17:I17"/>
    <mergeCell ref="J17:K17"/>
    <mergeCell ref="O17:Q17"/>
    <mergeCell ref="B18:G18"/>
    <mergeCell ref="H18:I18"/>
    <mergeCell ref="J18:K18"/>
    <mergeCell ref="O18:S18"/>
    <mergeCell ref="B19:G19"/>
    <mergeCell ref="H19:I19"/>
    <mergeCell ref="J19:K19"/>
    <mergeCell ref="O19:S19"/>
    <mergeCell ref="B20:C20"/>
    <mergeCell ref="D20:E20"/>
    <mergeCell ref="F20:G20"/>
    <mergeCell ref="H20:I20"/>
    <mergeCell ref="J20:K20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Y21"/>
  <sheetViews>
    <sheetView zoomScale="36" zoomScaleNormal="36" workbookViewId="0">
      <selection activeCell="W21" sqref="W21"/>
    </sheetView>
  </sheetViews>
  <sheetFormatPr defaultColWidth="18.109375" defaultRowHeight="19.2" x14ac:dyDescent="0.35"/>
  <cols>
    <col min="1" max="24" width="18.109375" style="1"/>
    <col min="25" max="25" width="36.5546875" style="1" customWidth="1"/>
    <col min="26" max="16384" width="18.109375" style="1"/>
  </cols>
  <sheetData>
    <row r="1" spans="2:25" ht="34.950000000000003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P1" s="128" t="s">
        <v>65</v>
      </c>
      <c r="Q1" s="128"/>
      <c r="R1" s="128"/>
      <c r="S1" s="128"/>
      <c r="T1" s="128"/>
      <c r="U1" s="128"/>
      <c r="V1" s="128"/>
      <c r="W1" s="128"/>
      <c r="X1" s="128"/>
      <c r="Y1" s="128"/>
    </row>
    <row r="2" spans="2:25" ht="53.4" customHeight="1" x14ac:dyDescent="0.35">
      <c r="B2" s="152" t="s">
        <v>8</v>
      </c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M2" s="153"/>
      <c r="N2" s="153"/>
      <c r="P2" s="27" t="s">
        <v>14</v>
      </c>
      <c r="Q2" s="129" t="s">
        <v>52</v>
      </c>
      <c r="R2" s="129"/>
      <c r="S2" s="129"/>
      <c r="T2" s="27" t="s">
        <v>53</v>
      </c>
      <c r="U2" s="33" t="s">
        <v>63</v>
      </c>
      <c r="V2" s="33" t="s">
        <v>64</v>
      </c>
      <c r="W2" s="27" t="s">
        <v>45</v>
      </c>
      <c r="X2" s="27" t="s">
        <v>46</v>
      </c>
      <c r="Y2" s="27" t="s">
        <v>39</v>
      </c>
    </row>
    <row r="3" spans="2:25" ht="34.950000000000003" customHeight="1" x14ac:dyDescent="0.35">
      <c r="B3" s="164"/>
      <c r="C3" s="165"/>
      <c r="D3" s="16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M3" s="185" t="s">
        <v>39</v>
      </c>
      <c r="N3" s="186"/>
      <c r="P3" s="18">
        <v>1</v>
      </c>
      <c r="Q3" s="124" t="s">
        <v>117</v>
      </c>
      <c r="R3" s="125"/>
      <c r="S3" s="125"/>
      <c r="T3" s="37">
        <f>K4*L4+K5*L5</f>
        <v>8000</v>
      </c>
      <c r="U3" s="32">
        <v>0.81899999999999995</v>
      </c>
      <c r="V3" s="35">
        <f>U3*T3</f>
        <v>6552</v>
      </c>
      <c r="W3" s="37">
        <v>128000</v>
      </c>
      <c r="X3" s="34">
        <f>W3*V3/1000</f>
        <v>838656</v>
      </c>
      <c r="Y3" s="177"/>
    </row>
    <row r="4" spans="2:25" ht="34.950000000000003" customHeight="1" x14ac:dyDescent="0.35">
      <c r="B4" s="166"/>
      <c r="C4" s="167"/>
      <c r="D4" s="167"/>
      <c r="E4" s="3">
        <v>3000</v>
      </c>
      <c r="F4" s="3">
        <v>1000</v>
      </c>
      <c r="G4" s="3">
        <v>1</v>
      </c>
      <c r="H4" s="6" t="s">
        <v>19</v>
      </c>
      <c r="I4" s="3" t="s">
        <v>10</v>
      </c>
      <c r="J4" s="6" t="s">
        <v>156</v>
      </c>
      <c r="K4" s="3">
        <f>E4</f>
        <v>3000</v>
      </c>
      <c r="L4" s="3">
        <f>G4*2</f>
        <v>2</v>
      </c>
      <c r="M4" s="2"/>
      <c r="N4" s="2"/>
      <c r="P4" s="18">
        <f>P3+1</f>
        <v>2</v>
      </c>
      <c r="Q4" s="124" t="s">
        <v>82</v>
      </c>
      <c r="R4" s="125"/>
      <c r="S4" s="125"/>
      <c r="T4" s="37">
        <f>K6*L6+K7*L7</f>
        <v>11532</v>
      </c>
      <c r="U4" s="32">
        <v>1.238</v>
      </c>
      <c r="V4" s="35">
        <f t="shared" ref="V4:V6" si="0">U4*T4</f>
        <v>14276.616</v>
      </c>
      <c r="W4" s="37">
        <v>128000</v>
      </c>
      <c r="X4" s="34">
        <f t="shared" ref="X4:X6" si="1">W4*V4/1000</f>
        <v>1827406.848</v>
      </c>
      <c r="Y4" s="178"/>
    </row>
    <row r="5" spans="2:25" ht="34.950000000000003" customHeight="1" x14ac:dyDescent="0.35">
      <c r="B5" s="166"/>
      <c r="C5" s="167"/>
      <c r="D5" s="167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">
        <v>156</v>
      </c>
      <c r="K5" s="3">
        <f>F4</f>
        <v>1000</v>
      </c>
      <c r="L5" s="3">
        <f>G4*2</f>
        <v>2</v>
      </c>
      <c r="M5" s="2"/>
      <c r="N5" s="2"/>
      <c r="P5" s="18">
        <f t="shared" ref="P5:P11" si="2">P4+1</f>
        <v>3</v>
      </c>
      <c r="Q5" s="124" t="s">
        <v>56</v>
      </c>
      <c r="R5" s="125"/>
      <c r="S5" s="125"/>
      <c r="T5" s="37">
        <f>T4</f>
        <v>11532</v>
      </c>
      <c r="U5" s="32">
        <v>0.27700000000000002</v>
      </c>
      <c r="V5" s="35">
        <f t="shared" si="0"/>
        <v>3194.3640000000005</v>
      </c>
      <c r="W5" s="37">
        <v>128000</v>
      </c>
      <c r="X5" s="34">
        <f t="shared" si="1"/>
        <v>408878.59200000006</v>
      </c>
      <c r="Y5" s="178"/>
    </row>
    <row r="6" spans="2:25" ht="34.950000000000003" customHeight="1" x14ac:dyDescent="0.35">
      <c r="B6" s="166"/>
      <c r="C6" s="167"/>
      <c r="D6" s="167"/>
      <c r="E6" s="61"/>
      <c r="F6" s="20">
        <f>F4*E4/1000</f>
        <v>3000</v>
      </c>
      <c r="G6" s="91">
        <f>SUM(V3:V6)</f>
        <v>26187.828000000001</v>
      </c>
      <c r="H6" s="6" t="s">
        <v>21</v>
      </c>
      <c r="I6" s="3" t="s">
        <v>17</v>
      </c>
      <c r="J6" s="6" t="s">
        <v>157</v>
      </c>
      <c r="K6" s="20">
        <f>(E4-96)/3</f>
        <v>968</v>
      </c>
      <c r="L6" s="3">
        <f>G4*6</f>
        <v>6</v>
      </c>
      <c r="M6" s="2"/>
      <c r="N6" s="2"/>
      <c r="P6" s="18">
        <f t="shared" si="2"/>
        <v>4</v>
      </c>
      <c r="Q6" s="124" t="s">
        <v>88</v>
      </c>
      <c r="R6" s="125"/>
      <c r="S6" s="125"/>
      <c r="T6" s="37">
        <f>K8*L8</f>
        <v>1904</v>
      </c>
      <c r="U6" s="32">
        <v>1.137</v>
      </c>
      <c r="V6" s="35">
        <f t="shared" si="0"/>
        <v>2164.848</v>
      </c>
      <c r="W6" s="37">
        <v>128000</v>
      </c>
      <c r="X6" s="34">
        <f t="shared" si="1"/>
        <v>277100.54399999999</v>
      </c>
      <c r="Y6" s="179"/>
    </row>
    <row r="7" spans="2:25" ht="34.950000000000003" customHeight="1" x14ac:dyDescent="0.35">
      <c r="B7" s="166"/>
      <c r="C7" s="167"/>
      <c r="D7" s="167"/>
      <c r="E7" s="2"/>
      <c r="F7" s="2"/>
      <c r="G7" s="2"/>
      <c r="H7" s="6" t="s">
        <v>22</v>
      </c>
      <c r="I7" s="3" t="s">
        <v>18</v>
      </c>
      <c r="J7" s="6" t="s">
        <v>157</v>
      </c>
      <c r="K7" s="20">
        <f>F4-46</f>
        <v>954</v>
      </c>
      <c r="L7" s="3">
        <f>G4*6</f>
        <v>6</v>
      </c>
      <c r="M7" s="2"/>
      <c r="N7" s="2"/>
      <c r="P7" s="18">
        <f t="shared" si="2"/>
        <v>5</v>
      </c>
      <c r="Q7" s="124" t="s">
        <v>79</v>
      </c>
      <c r="R7" s="125"/>
      <c r="S7" s="126"/>
      <c r="T7" s="37"/>
      <c r="U7" s="32"/>
      <c r="V7" s="81"/>
      <c r="W7" s="58">
        <v>0.05</v>
      </c>
      <c r="X7" s="37">
        <f>SUM(X3:X6)*W7</f>
        <v>167602.09920000003</v>
      </c>
      <c r="Y7" s="46"/>
    </row>
    <row r="8" spans="2:25" ht="34.950000000000003" customHeight="1" x14ac:dyDescent="0.35">
      <c r="B8" s="166"/>
      <c r="C8" s="167"/>
      <c r="D8" s="167"/>
      <c r="E8" s="2"/>
      <c r="F8" s="2"/>
      <c r="G8" s="2"/>
      <c r="H8" s="6" t="s">
        <v>24</v>
      </c>
      <c r="I8" s="3" t="s">
        <v>27</v>
      </c>
      <c r="J8" s="6">
        <v>415</v>
      </c>
      <c r="K8" s="109">
        <f>K5-48</f>
        <v>952</v>
      </c>
      <c r="L8" s="3">
        <f>G4*2</f>
        <v>2</v>
      </c>
      <c r="M8" s="2"/>
      <c r="N8" s="2"/>
      <c r="P8" s="18">
        <f t="shared" si="2"/>
        <v>6</v>
      </c>
      <c r="Q8" s="124" t="s">
        <v>155</v>
      </c>
      <c r="R8" s="125"/>
      <c r="S8" s="125"/>
      <c r="T8" s="32"/>
      <c r="U8" s="32"/>
      <c r="V8" s="36">
        <v>4</v>
      </c>
      <c r="W8" s="37">
        <v>12500</v>
      </c>
      <c r="X8" s="34">
        <f t="shared" ref="X8:X10" si="3">W8*V8</f>
        <v>50000</v>
      </c>
      <c r="Y8" s="18"/>
    </row>
    <row r="9" spans="2:25" ht="34.950000000000003" customHeight="1" x14ac:dyDescent="0.35">
      <c r="B9" s="166"/>
      <c r="C9" s="167"/>
      <c r="D9" s="167"/>
      <c r="E9" s="3"/>
      <c r="F9" s="3"/>
      <c r="G9" s="3"/>
      <c r="H9" s="3"/>
      <c r="I9" s="172" t="s">
        <v>80</v>
      </c>
      <c r="J9" s="3" t="s">
        <v>6</v>
      </c>
      <c r="K9" s="3" t="s">
        <v>7</v>
      </c>
      <c r="L9" s="5" t="s">
        <v>2</v>
      </c>
      <c r="M9" s="2"/>
      <c r="N9" s="2"/>
      <c r="P9" s="18">
        <f t="shared" si="2"/>
        <v>7</v>
      </c>
      <c r="Q9" s="124" t="s">
        <v>154</v>
      </c>
      <c r="R9" s="125"/>
      <c r="S9" s="125"/>
      <c r="T9" s="32"/>
      <c r="U9" s="32"/>
      <c r="V9" s="36">
        <v>12</v>
      </c>
      <c r="W9" s="37">
        <v>15000</v>
      </c>
      <c r="X9" s="34">
        <f t="shared" si="3"/>
        <v>180000</v>
      </c>
      <c r="Y9" s="29" t="s">
        <v>74</v>
      </c>
    </row>
    <row r="10" spans="2:25" ht="34.950000000000003" customHeight="1" x14ac:dyDescent="0.35">
      <c r="B10" s="168"/>
      <c r="C10" s="169"/>
      <c r="D10" s="169"/>
      <c r="E10" s="3"/>
      <c r="F10" s="3"/>
      <c r="G10" s="3"/>
      <c r="H10" s="3"/>
      <c r="I10" s="173"/>
      <c r="J10" s="20">
        <f>K6-138</f>
        <v>830</v>
      </c>
      <c r="K10" s="20">
        <f>K7-138</f>
        <v>816</v>
      </c>
      <c r="L10" s="20">
        <f>G4*3</f>
        <v>3</v>
      </c>
      <c r="M10" s="2"/>
      <c r="N10" s="2"/>
      <c r="P10" s="18">
        <f>P9+1</f>
        <v>8</v>
      </c>
      <c r="Q10" s="124" t="s">
        <v>62</v>
      </c>
      <c r="R10" s="125"/>
      <c r="S10" s="125"/>
      <c r="T10" s="32"/>
      <c r="U10" s="32"/>
      <c r="V10" s="36">
        <f>V9*2+V8</f>
        <v>28</v>
      </c>
      <c r="W10" s="37">
        <v>100</v>
      </c>
      <c r="X10" s="34">
        <f t="shared" si="3"/>
        <v>2800</v>
      </c>
      <c r="Y10" s="29" t="s">
        <v>75</v>
      </c>
    </row>
    <row r="11" spans="2:25" ht="34.950000000000003" customHeight="1" x14ac:dyDescent="0.35">
      <c r="P11" s="18">
        <f t="shared" si="2"/>
        <v>9</v>
      </c>
      <c r="Q11" s="138" t="s">
        <v>66</v>
      </c>
      <c r="R11" s="139"/>
      <c r="S11" s="139"/>
      <c r="T11" s="139"/>
      <c r="U11" s="140"/>
      <c r="V11" s="38"/>
      <c r="W11" s="39"/>
      <c r="X11" s="40">
        <f>SUM(X3:X10)</f>
        <v>3752444.0832000002</v>
      </c>
      <c r="Y11" s="18"/>
    </row>
    <row r="12" spans="2:25" ht="34.950000000000003" customHeight="1" x14ac:dyDescent="0.35">
      <c r="P12" s="27" t="s">
        <v>14</v>
      </c>
      <c r="Q12" s="129" t="s">
        <v>52</v>
      </c>
      <c r="R12" s="129"/>
      <c r="S12" s="129"/>
      <c r="T12" s="27" t="s">
        <v>53</v>
      </c>
      <c r="U12" s="33" t="s">
        <v>59</v>
      </c>
      <c r="V12" s="33"/>
      <c r="W12" s="27" t="s">
        <v>45</v>
      </c>
      <c r="X12" s="27" t="s">
        <v>46</v>
      </c>
      <c r="Y12" s="2"/>
    </row>
    <row r="13" spans="2:25" ht="34.95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P13" s="18">
        <v>1</v>
      </c>
      <c r="Q13" s="124" t="s">
        <v>67</v>
      </c>
      <c r="R13" s="125"/>
      <c r="S13" s="125"/>
      <c r="T13" s="41">
        <f>T3+T6+T4</f>
        <v>21436</v>
      </c>
      <c r="U13" s="2">
        <v>1</v>
      </c>
      <c r="V13" s="28"/>
      <c r="W13" s="41">
        <v>1000</v>
      </c>
      <c r="X13" s="41">
        <f>W13*T13/1000</f>
        <v>21436</v>
      </c>
      <c r="Y13" s="2"/>
    </row>
    <row r="14" spans="2:25" ht="34.95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P14" s="18">
        <f>P13+1</f>
        <v>2</v>
      </c>
      <c r="Q14" s="124" t="s">
        <v>48</v>
      </c>
      <c r="R14" s="125"/>
      <c r="S14" s="125"/>
      <c r="T14" s="41">
        <f>T4*2</f>
        <v>23064</v>
      </c>
      <c r="U14" s="2">
        <v>1</v>
      </c>
      <c r="V14" s="28"/>
      <c r="W14" s="41">
        <v>1000</v>
      </c>
      <c r="X14" s="41">
        <f>W14*T14/1000</f>
        <v>23064</v>
      </c>
      <c r="Y14" s="2"/>
    </row>
    <row r="15" spans="2:25" ht="34.95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P15" s="18">
        <v>3</v>
      </c>
      <c r="Q15" s="124" t="s">
        <v>69</v>
      </c>
      <c r="R15" s="125"/>
      <c r="S15" s="126"/>
      <c r="T15" s="41"/>
      <c r="U15" s="61">
        <v>1</v>
      </c>
      <c r="V15" s="28"/>
      <c r="W15" s="41">
        <v>1000</v>
      </c>
      <c r="X15" s="41">
        <f t="shared" ref="X15:X16" si="4">W15*U15</f>
        <v>1000</v>
      </c>
      <c r="Y15" s="29" t="s">
        <v>87</v>
      </c>
    </row>
    <row r="16" spans="2:25" ht="34.950000000000003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P16" s="18">
        <f t="shared" ref="P16:P18" si="5">P15+1</f>
        <v>4</v>
      </c>
      <c r="Q16" s="124" t="s">
        <v>71</v>
      </c>
      <c r="R16" s="125"/>
      <c r="S16" s="126"/>
      <c r="T16" s="41"/>
      <c r="U16" s="2">
        <v>1</v>
      </c>
      <c r="V16" s="28"/>
      <c r="W16" s="41">
        <v>2000</v>
      </c>
      <c r="X16" s="41">
        <f t="shared" si="4"/>
        <v>2000</v>
      </c>
      <c r="Y16" s="29" t="s">
        <v>87</v>
      </c>
    </row>
    <row r="17" spans="2:25" ht="34.95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P17" s="18">
        <f t="shared" si="5"/>
        <v>5</v>
      </c>
      <c r="Q17" s="144" t="s">
        <v>70</v>
      </c>
      <c r="R17" s="144"/>
      <c r="S17" s="144"/>
      <c r="T17" s="144"/>
      <c r="U17" s="144"/>
      <c r="V17" s="38"/>
      <c r="W17" s="39"/>
      <c r="X17" s="40">
        <f>SUM(X13:X16)</f>
        <v>47500</v>
      </c>
      <c r="Y17" s="2"/>
    </row>
    <row r="18" spans="2:25" ht="34.95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P18" s="115">
        <f t="shared" si="5"/>
        <v>6</v>
      </c>
      <c r="Q18" s="145" t="s">
        <v>183</v>
      </c>
      <c r="R18" s="146"/>
      <c r="S18" s="146"/>
      <c r="T18" s="146"/>
      <c r="U18" s="147"/>
      <c r="V18" s="116"/>
      <c r="W18" s="117"/>
      <c r="X18" s="118">
        <f>X11+X17</f>
        <v>3799944.0832000002</v>
      </c>
      <c r="Y18" s="115"/>
    </row>
    <row r="19" spans="2:25" ht="34.95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Y19" s="1" t="s">
        <v>89</v>
      </c>
    </row>
    <row r="20" spans="2:25" ht="34.95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</row>
    <row r="21" spans="2:25" ht="34.95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</row>
  </sheetData>
  <mergeCells count="64">
    <mergeCell ref="B3:D10"/>
    <mergeCell ref="M3:N3"/>
    <mergeCell ref="Q3:S3"/>
    <mergeCell ref="Y3:Y6"/>
    <mergeCell ref="Q4:S4"/>
    <mergeCell ref="Q5:S5"/>
    <mergeCell ref="Q6:S6"/>
    <mergeCell ref="Q7:S7"/>
    <mergeCell ref="Q8:S8"/>
    <mergeCell ref="I9:I10"/>
    <mergeCell ref="Q9:S9"/>
    <mergeCell ref="Q10:S10"/>
    <mergeCell ref="B1:N1"/>
    <mergeCell ref="P1:Y1"/>
    <mergeCell ref="B2:F2"/>
    <mergeCell ref="I2:N2"/>
    <mergeCell ref="Q2:S2"/>
    <mergeCell ref="Q14:S14"/>
    <mergeCell ref="Q11:U11"/>
    <mergeCell ref="Q12:S12"/>
    <mergeCell ref="B13:C13"/>
    <mergeCell ref="D13:E13"/>
    <mergeCell ref="F13:G13"/>
    <mergeCell ref="H13:I13"/>
    <mergeCell ref="J13:K13"/>
    <mergeCell ref="Q13:S13"/>
    <mergeCell ref="B14:C14"/>
    <mergeCell ref="D14:E14"/>
    <mergeCell ref="F14:G14"/>
    <mergeCell ref="H14:I14"/>
    <mergeCell ref="J14:K14"/>
    <mergeCell ref="Q16:S16"/>
    <mergeCell ref="B15:C15"/>
    <mergeCell ref="D15:E15"/>
    <mergeCell ref="F15:G15"/>
    <mergeCell ref="H15:I15"/>
    <mergeCell ref="J15:K15"/>
    <mergeCell ref="Q15:S15"/>
    <mergeCell ref="B16:C16"/>
    <mergeCell ref="D16:E16"/>
    <mergeCell ref="F16:G16"/>
    <mergeCell ref="H16:I16"/>
    <mergeCell ref="J16:K16"/>
    <mergeCell ref="B17:G17"/>
    <mergeCell ref="H17:I17"/>
    <mergeCell ref="J17:K17"/>
    <mergeCell ref="Q17:U17"/>
    <mergeCell ref="B18:C18"/>
    <mergeCell ref="D18:E18"/>
    <mergeCell ref="F18:G18"/>
    <mergeCell ref="H18:I18"/>
    <mergeCell ref="J18:K18"/>
    <mergeCell ref="Q18:U18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W21"/>
  <sheetViews>
    <sheetView zoomScale="45" zoomScaleNormal="45" workbookViewId="0">
      <selection activeCell="N20" sqref="N20:W20"/>
    </sheetView>
  </sheetViews>
  <sheetFormatPr defaultColWidth="17.6640625" defaultRowHeight="44.4" customHeight="1" x14ac:dyDescent="0.35"/>
  <cols>
    <col min="1" max="22" width="17.6640625" style="1"/>
    <col min="23" max="23" width="35" style="1" customWidth="1"/>
    <col min="24" max="16384" width="17.6640625" style="1"/>
  </cols>
  <sheetData>
    <row r="1" spans="2:23" ht="44.4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3" ht="44.4" customHeight="1" x14ac:dyDescent="0.35">
      <c r="B2" s="152"/>
      <c r="C2" s="153"/>
      <c r="D2" s="153"/>
      <c r="E2" s="153"/>
      <c r="F2" s="153"/>
      <c r="G2" s="8"/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3" ht="44.4" customHeight="1" x14ac:dyDescent="0.35">
      <c r="B3" s="164"/>
      <c r="C3" s="165"/>
      <c r="D3" s="17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54</v>
      </c>
      <c r="P3" s="125"/>
      <c r="Q3" s="125"/>
      <c r="R3" s="37">
        <f>K4*L4+K5*L5</f>
        <v>9200</v>
      </c>
      <c r="S3" s="32">
        <v>0.81899999999999995</v>
      </c>
      <c r="T3" s="35">
        <f>S3*R3</f>
        <v>7534.7999999999993</v>
      </c>
      <c r="U3" s="37">
        <v>128000</v>
      </c>
      <c r="V3" s="34">
        <f>U3*T3/1000</f>
        <v>964454.39999999991</v>
      </c>
      <c r="W3" s="177"/>
    </row>
    <row r="4" spans="2:23" ht="44.4" customHeight="1" x14ac:dyDescent="0.35">
      <c r="B4" s="166"/>
      <c r="C4" s="167"/>
      <c r="D4" s="175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">
        <v>156</v>
      </c>
      <c r="K4" s="3">
        <f>E4</f>
        <v>3600</v>
      </c>
      <c r="L4" s="3">
        <f>G4*2</f>
        <v>2</v>
      </c>
      <c r="N4" s="18">
        <f>N3+1</f>
        <v>2</v>
      </c>
      <c r="O4" s="124" t="s">
        <v>55</v>
      </c>
      <c r="P4" s="125"/>
      <c r="Q4" s="125"/>
      <c r="R4" s="37">
        <f>K7*L7+K8*L8</f>
        <v>14636.8</v>
      </c>
      <c r="S4" s="32">
        <v>1.238</v>
      </c>
      <c r="T4" s="35">
        <f t="shared" ref="T4:T7" si="0">S4*R4</f>
        <v>18120.358399999997</v>
      </c>
      <c r="U4" s="37">
        <v>128000</v>
      </c>
      <c r="V4" s="34">
        <f t="shared" ref="V4:V7" si="1">U4*T4/1000</f>
        <v>2319405.8751999997</v>
      </c>
      <c r="W4" s="178"/>
    </row>
    <row r="5" spans="2:23" ht="44.4" customHeight="1" x14ac:dyDescent="0.35">
      <c r="B5" s="166"/>
      <c r="C5" s="167"/>
      <c r="D5" s="175"/>
      <c r="E5" s="92"/>
      <c r="F5" s="45" t="s">
        <v>47</v>
      </c>
      <c r="G5" s="45" t="s">
        <v>120</v>
      </c>
      <c r="H5" s="6" t="s">
        <v>20</v>
      </c>
      <c r="I5" s="3" t="s">
        <v>11</v>
      </c>
      <c r="J5" s="6" t="s">
        <v>156</v>
      </c>
      <c r="K5" s="3">
        <f>F4</f>
        <v>1000</v>
      </c>
      <c r="L5" s="3">
        <f>G4*2</f>
        <v>2</v>
      </c>
      <c r="N5" s="18">
        <f t="shared" ref="N5:N12" si="2">N4+1</f>
        <v>3</v>
      </c>
      <c r="O5" s="124" t="s">
        <v>56</v>
      </c>
      <c r="P5" s="125"/>
      <c r="Q5" s="125"/>
      <c r="R5" s="37">
        <f>R4</f>
        <v>14636.8</v>
      </c>
      <c r="S5" s="32">
        <v>0.27700000000000002</v>
      </c>
      <c r="T5" s="35">
        <f t="shared" si="0"/>
        <v>4054.3936000000003</v>
      </c>
      <c r="U5" s="37">
        <v>128000</v>
      </c>
      <c r="V5" s="34">
        <f t="shared" si="1"/>
        <v>518962.38080000004</v>
      </c>
      <c r="W5" s="178"/>
    </row>
    <row r="6" spans="2:23" ht="44.4" customHeight="1" x14ac:dyDescent="0.35">
      <c r="B6" s="166"/>
      <c r="C6" s="167"/>
      <c r="D6" s="175"/>
      <c r="E6" s="61"/>
      <c r="F6" s="20">
        <f>F4*E4/1000</f>
        <v>3600</v>
      </c>
      <c r="G6" s="91">
        <f>SUM(T3:T7)</f>
        <v>32785.001999999993</v>
      </c>
      <c r="H6" s="6" t="s">
        <v>21</v>
      </c>
      <c r="I6" s="3" t="s">
        <v>27</v>
      </c>
      <c r="J6" s="6" t="s">
        <v>175</v>
      </c>
      <c r="K6" s="20">
        <f>K5-48</f>
        <v>952</v>
      </c>
      <c r="L6" s="3">
        <f>G4*2</f>
        <v>2</v>
      </c>
      <c r="N6" s="18">
        <f t="shared" si="2"/>
        <v>4</v>
      </c>
      <c r="O6" s="124" t="s">
        <v>90</v>
      </c>
      <c r="P6" s="125"/>
      <c r="Q6" s="125"/>
      <c r="R6" s="37">
        <f>K9*L9</f>
        <v>891</v>
      </c>
      <c r="S6" s="32">
        <v>1.022</v>
      </c>
      <c r="T6" s="35">
        <f t="shared" si="0"/>
        <v>910.60199999999998</v>
      </c>
      <c r="U6" s="37">
        <v>128000</v>
      </c>
      <c r="V6" s="34">
        <f t="shared" si="1"/>
        <v>116557.056</v>
      </c>
      <c r="W6" s="179"/>
    </row>
    <row r="7" spans="2:23" ht="44.4" customHeight="1" x14ac:dyDescent="0.35">
      <c r="B7" s="166"/>
      <c r="C7" s="167"/>
      <c r="D7" s="175"/>
      <c r="E7" s="2"/>
      <c r="F7" s="2"/>
      <c r="G7" s="2"/>
      <c r="H7" s="6" t="s">
        <v>22</v>
      </c>
      <c r="I7" s="3" t="s">
        <v>17</v>
      </c>
      <c r="J7" s="6" t="s">
        <v>157</v>
      </c>
      <c r="K7" s="20">
        <f>(E4-97.6)/4</f>
        <v>875.6</v>
      </c>
      <c r="L7" s="3">
        <f>G4*8</f>
        <v>8</v>
      </c>
      <c r="N7" s="18">
        <f t="shared" si="2"/>
        <v>5</v>
      </c>
      <c r="O7" s="124" t="s">
        <v>88</v>
      </c>
      <c r="P7" s="125"/>
      <c r="Q7" s="125"/>
      <c r="R7" s="37">
        <f>K6*L6</f>
        <v>1904</v>
      </c>
      <c r="S7" s="32">
        <v>1.137</v>
      </c>
      <c r="T7" s="35">
        <f t="shared" si="0"/>
        <v>2164.848</v>
      </c>
      <c r="U7" s="37">
        <v>128000</v>
      </c>
      <c r="V7" s="34">
        <f t="shared" si="1"/>
        <v>277100.54399999999</v>
      </c>
      <c r="W7" s="46"/>
    </row>
    <row r="8" spans="2:23" ht="44.4" customHeight="1" x14ac:dyDescent="0.35">
      <c r="B8" s="166"/>
      <c r="C8" s="167"/>
      <c r="D8" s="175"/>
      <c r="E8" s="2"/>
      <c r="F8" s="2"/>
      <c r="G8" s="2"/>
      <c r="H8" s="6" t="s">
        <v>24</v>
      </c>
      <c r="I8" s="3" t="s">
        <v>18</v>
      </c>
      <c r="J8" s="6" t="s">
        <v>157</v>
      </c>
      <c r="K8" s="20">
        <f>F4-46</f>
        <v>954</v>
      </c>
      <c r="L8" s="3">
        <f>G4*8</f>
        <v>8</v>
      </c>
      <c r="N8" s="18">
        <f t="shared" si="2"/>
        <v>6</v>
      </c>
      <c r="O8" s="124" t="s">
        <v>79</v>
      </c>
      <c r="P8" s="125"/>
      <c r="Q8" s="126"/>
      <c r="R8" s="37"/>
      <c r="S8" s="32"/>
      <c r="T8" s="81"/>
      <c r="U8" s="58">
        <v>0.05</v>
      </c>
      <c r="V8" s="37">
        <f>SUM(V3:V7)*U8</f>
        <v>209824.01279999997</v>
      </c>
      <c r="W8" s="46"/>
    </row>
    <row r="9" spans="2:23" ht="44.4" customHeight="1" x14ac:dyDescent="0.35">
      <c r="B9" s="166"/>
      <c r="C9" s="167"/>
      <c r="D9" s="175"/>
      <c r="E9" s="2"/>
      <c r="F9" s="2"/>
      <c r="G9" s="2"/>
      <c r="H9" s="6" t="s">
        <v>25</v>
      </c>
      <c r="I9" s="3" t="s">
        <v>16</v>
      </c>
      <c r="J9" s="6" t="s">
        <v>176</v>
      </c>
      <c r="K9" s="110">
        <f>K8-63</f>
        <v>891</v>
      </c>
      <c r="L9" s="3">
        <f>G4*1</f>
        <v>1</v>
      </c>
      <c r="N9" s="18">
        <f t="shared" si="2"/>
        <v>7</v>
      </c>
      <c r="O9" s="124" t="s">
        <v>155</v>
      </c>
      <c r="P9" s="125"/>
      <c r="Q9" s="125"/>
      <c r="R9" s="32"/>
      <c r="S9" s="32"/>
      <c r="T9" s="36">
        <v>4</v>
      </c>
      <c r="U9" s="37">
        <v>12500</v>
      </c>
      <c r="V9" s="34">
        <f t="shared" ref="V9:V11" si="3">U9*T9</f>
        <v>50000</v>
      </c>
      <c r="W9" s="18"/>
    </row>
    <row r="10" spans="2:23" ht="44.4" customHeight="1" x14ac:dyDescent="0.35">
      <c r="B10" s="166"/>
      <c r="C10" s="167"/>
      <c r="D10" s="175"/>
      <c r="E10" s="3"/>
      <c r="F10" s="3"/>
      <c r="G10" s="3"/>
      <c r="H10" s="3"/>
      <c r="I10" s="172" t="s">
        <v>80</v>
      </c>
      <c r="J10" s="3" t="s">
        <v>6</v>
      </c>
      <c r="K10" s="3" t="s">
        <v>7</v>
      </c>
      <c r="L10" s="5" t="s">
        <v>2</v>
      </c>
      <c r="N10" s="18">
        <f t="shared" si="2"/>
        <v>8</v>
      </c>
      <c r="O10" s="124" t="s">
        <v>154</v>
      </c>
      <c r="P10" s="125"/>
      <c r="Q10" s="125"/>
      <c r="R10" s="32"/>
      <c r="S10" s="32"/>
      <c r="T10" s="36">
        <v>16</v>
      </c>
      <c r="U10" s="37">
        <v>15000</v>
      </c>
      <c r="V10" s="34">
        <f t="shared" si="3"/>
        <v>240000</v>
      </c>
      <c r="W10" s="29" t="s">
        <v>74</v>
      </c>
    </row>
    <row r="11" spans="2:23" ht="44.4" customHeight="1" x14ac:dyDescent="0.35">
      <c r="B11" s="168"/>
      <c r="C11" s="169"/>
      <c r="D11" s="176"/>
      <c r="E11" s="3"/>
      <c r="F11" s="3"/>
      <c r="G11" s="3"/>
      <c r="H11" s="3"/>
      <c r="I11" s="173"/>
      <c r="J11" s="20">
        <f>K7-138</f>
        <v>737.6</v>
      </c>
      <c r="K11" s="20">
        <f>K8-138</f>
        <v>816</v>
      </c>
      <c r="L11" s="3">
        <f>G4*4</f>
        <v>4</v>
      </c>
      <c r="N11" s="18">
        <f t="shared" si="2"/>
        <v>9</v>
      </c>
      <c r="O11" s="124" t="s">
        <v>62</v>
      </c>
      <c r="P11" s="125"/>
      <c r="Q11" s="125"/>
      <c r="R11" s="32"/>
      <c r="S11" s="32"/>
      <c r="T11" s="36">
        <f>T10*2+T9</f>
        <v>36</v>
      </c>
      <c r="U11" s="37">
        <v>100</v>
      </c>
      <c r="V11" s="34">
        <f t="shared" si="3"/>
        <v>3600</v>
      </c>
      <c r="W11" s="29" t="s">
        <v>75</v>
      </c>
    </row>
    <row r="12" spans="2:23" ht="44.4" customHeight="1" x14ac:dyDescent="0.35">
      <c r="N12" s="18">
        <f t="shared" si="2"/>
        <v>10</v>
      </c>
      <c r="O12" s="138" t="s">
        <v>66</v>
      </c>
      <c r="P12" s="139"/>
      <c r="Q12" s="139"/>
      <c r="R12" s="139"/>
      <c r="S12" s="140"/>
      <c r="T12" s="38"/>
      <c r="U12" s="39"/>
      <c r="V12" s="40">
        <f>SUM(V3:V11)</f>
        <v>4699904.2687999988</v>
      </c>
      <c r="W12" s="18"/>
    </row>
    <row r="13" spans="2:23" ht="44.4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27" t="s">
        <v>14</v>
      </c>
      <c r="O13" s="129" t="s">
        <v>52</v>
      </c>
      <c r="P13" s="129"/>
      <c r="Q13" s="129"/>
      <c r="R13" s="27" t="s">
        <v>53</v>
      </c>
      <c r="S13" s="33" t="s">
        <v>59</v>
      </c>
      <c r="T13" s="33"/>
      <c r="U13" s="27" t="s">
        <v>45</v>
      </c>
      <c r="V13" s="27" t="s">
        <v>46</v>
      </c>
      <c r="W13" s="2"/>
    </row>
    <row r="14" spans="2:23" ht="44.4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>
        <v>1</v>
      </c>
      <c r="O14" s="124" t="s">
        <v>67</v>
      </c>
      <c r="P14" s="125"/>
      <c r="Q14" s="125"/>
      <c r="R14" s="41">
        <f>R3+R4+R6+R7*2</f>
        <v>28535.8</v>
      </c>
      <c r="S14" s="2">
        <v>1</v>
      </c>
      <c r="T14" s="28"/>
      <c r="U14" s="41">
        <v>1000</v>
      </c>
      <c r="V14" s="41">
        <f>U14*R14*S14/1000</f>
        <v>28535.8</v>
      </c>
      <c r="W14" s="2"/>
    </row>
    <row r="15" spans="2:23" ht="44.4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>N14+1</f>
        <v>2</v>
      </c>
      <c r="O15" s="124" t="s">
        <v>48</v>
      </c>
      <c r="P15" s="125"/>
      <c r="Q15" s="125"/>
      <c r="R15" s="41">
        <f>R4*2</f>
        <v>29273.599999999999</v>
      </c>
      <c r="S15" s="2">
        <v>1</v>
      </c>
      <c r="T15" s="28"/>
      <c r="U15" s="41">
        <v>1000</v>
      </c>
      <c r="V15" s="41">
        <f>U15*R15*S15/1000</f>
        <v>29273.599999999999</v>
      </c>
      <c r="W15" s="2"/>
    </row>
    <row r="16" spans="2:23" ht="44.4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ref="N16:N20" si="4">N15+1</f>
        <v>3</v>
      </c>
      <c r="O16" s="124" t="s">
        <v>73</v>
      </c>
      <c r="P16" s="125"/>
      <c r="Q16" s="125"/>
      <c r="R16" s="41"/>
      <c r="S16" s="2">
        <v>1</v>
      </c>
      <c r="T16" s="28"/>
      <c r="U16" s="106">
        <v>6500</v>
      </c>
      <c r="V16" s="41">
        <f>U16*S16</f>
        <v>6500</v>
      </c>
      <c r="W16" s="29" t="s">
        <v>76</v>
      </c>
    </row>
    <row r="17" spans="2:23" ht="44.4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4"/>
        <v>4</v>
      </c>
      <c r="O17" s="124" t="s">
        <v>69</v>
      </c>
      <c r="P17" s="125"/>
      <c r="Q17" s="126"/>
      <c r="R17" s="41"/>
      <c r="S17" s="61">
        <v>1</v>
      </c>
      <c r="T17" s="28"/>
      <c r="U17" s="41">
        <v>1000</v>
      </c>
      <c r="V17" s="41">
        <f t="shared" ref="V17:V18" si="5">U17*S17</f>
        <v>1000</v>
      </c>
      <c r="W17" s="29"/>
    </row>
    <row r="18" spans="2:23" ht="44.4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8">
        <f t="shared" si="4"/>
        <v>5</v>
      </c>
      <c r="O18" s="124" t="s">
        <v>71</v>
      </c>
      <c r="P18" s="125"/>
      <c r="Q18" s="126"/>
      <c r="R18" s="41"/>
      <c r="S18" s="2">
        <v>1</v>
      </c>
      <c r="T18" s="28"/>
      <c r="U18" s="41">
        <v>2000</v>
      </c>
      <c r="V18" s="41">
        <f t="shared" si="5"/>
        <v>2000</v>
      </c>
      <c r="W18" s="2"/>
    </row>
    <row r="19" spans="2:23" ht="44.4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18">
        <f t="shared" si="4"/>
        <v>6</v>
      </c>
      <c r="O19" s="144" t="s">
        <v>70</v>
      </c>
      <c r="P19" s="144"/>
      <c r="Q19" s="144"/>
      <c r="R19" s="144"/>
      <c r="S19" s="144"/>
      <c r="T19" s="38"/>
      <c r="U19" s="39"/>
      <c r="V19" s="40">
        <f>SUM(V14:V18)</f>
        <v>67309.399999999994</v>
      </c>
      <c r="W19" s="2"/>
    </row>
    <row r="20" spans="2:23" ht="44.4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N20" s="115">
        <f t="shared" si="4"/>
        <v>7</v>
      </c>
      <c r="O20" s="145" t="s">
        <v>183</v>
      </c>
      <c r="P20" s="146"/>
      <c r="Q20" s="146"/>
      <c r="R20" s="146"/>
      <c r="S20" s="147"/>
      <c r="T20" s="116"/>
      <c r="U20" s="117"/>
      <c r="V20" s="118">
        <f>V12+V19</f>
        <v>4767213.6687999992</v>
      </c>
      <c r="W20" s="115"/>
    </row>
    <row r="21" spans="2:23" ht="44.4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</row>
  </sheetData>
  <mergeCells count="65">
    <mergeCell ref="O11:Q11"/>
    <mergeCell ref="B1:L1"/>
    <mergeCell ref="N1:W1"/>
    <mergeCell ref="B2:F2"/>
    <mergeCell ref="I2:L2"/>
    <mergeCell ref="O2:Q2"/>
    <mergeCell ref="B3:D11"/>
    <mergeCell ref="O3:Q3"/>
    <mergeCell ref="W3:W6"/>
    <mergeCell ref="O4:Q4"/>
    <mergeCell ref="O5:Q5"/>
    <mergeCell ref="O6:Q6"/>
    <mergeCell ref="O7:Q7"/>
    <mergeCell ref="O8:Q8"/>
    <mergeCell ref="O9:Q9"/>
    <mergeCell ref="I10:I11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O10:Q10"/>
    <mergeCell ref="O16:Q16"/>
    <mergeCell ref="B15:C15"/>
    <mergeCell ref="D15:E15"/>
    <mergeCell ref="F15:G15"/>
    <mergeCell ref="H15:I15"/>
    <mergeCell ref="J15:K15"/>
    <mergeCell ref="O15:Q15"/>
    <mergeCell ref="B16:C16"/>
    <mergeCell ref="D16:E16"/>
    <mergeCell ref="F16:G16"/>
    <mergeCell ref="H16:I16"/>
    <mergeCell ref="J16:K16"/>
    <mergeCell ref="O14:Q14"/>
    <mergeCell ref="O12:S12"/>
    <mergeCell ref="O13:Q13"/>
    <mergeCell ref="B17:G17"/>
    <mergeCell ref="H17:I17"/>
    <mergeCell ref="J17:K17"/>
    <mergeCell ref="O17:Q17"/>
    <mergeCell ref="B18:C18"/>
    <mergeCell ref="D18:E18"/>
    <mergeCell ref="F18:G18"/>
    <mergeCell ref="H18:I18"/>
    <mergeCell ref="J18:K18"/>
    <mergeCell ref="O18:Q18"/>
    <mergeCell ref="B19:G19"/>
    <mergeCell ref="H19:I19"/>
    <mergeCell ref="J19:K19"/>
    <mergeCell ref="O19:S19"/>
    <mergeCell ref="B20:G20"/>
    <mergeCell ref="H20:I20"/>
    <mergeCell ref="J20:K20"/>
    <mergeCell ref="O20:S20"/>
    <mergeCell ref="B21:C21"/>
    <mergeCell ref="D21:E21"/>
    <mergeCell ref="F21:G21"/>
    <mergeCell ref="H21:I21"/>
    <mergeCell ref="J21:K2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Y27"/>
  <sheetViews>
    <sheetView zoomScale="46" zoomScaleNormal="46" workbookViewId="0">
      <selection activeCell="C28" sqref="C28"/>
    </sheetView>
  </sheetViews>
  <sheetFormatPr defaultColWidth="17.6640625" defaultRowHeight="19.2" x14ac:dyDescent="0.35"/>
  <cols>
    <col min="1" max="24" width="17.6640625" style="1"/>
    <col min="25" max="25" width="35.6640625" style="1" customWidth="1"/>
    <col min="26" max="16384" width="17.6640625" style="1"/>
  </cols>
  <sheetData>
    <row r="1" spans="2:25" ht="34.200000000000003" customHeight="1" x14ac:dyDescent="0.4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P1" s="128" t="s">
        <v>65</v>
      </c>
      <c r="Q1" s="128"/>
      <c r="R1" s="128"/>
      <c r="S1" s="128"/>
      <c r="T1" s="128"/>
      <c r="U1" s="128"/>
      <c r="V1" s="128"/>
      <c r="W1" s="128"/>
      <c r="X1" s="128"/>
      <c r="Y1" s="128"/>
    </row>
    <row r="2" spans="2:25" ht="34.200000000000003" customHeight="1" x14ac:dyDescent="0.35">
      <c r="B2" s="152" t="s">
        <v>8</v>
      </c>
      <c r="C2" s="153"/>
      <c r="D2" s="153"/>
      <c r="E2" s="153"/>
      <c r="F2" s="154"/>
      <c r="G2" s="13"/>
      <c r="H2" s="7"/>
      <c r="I2" s="152" t="s">
        <v>9</v>
      </c>
      <c r="J2" s="153"/>
      <c r="K2" s="153"/>
      <c r="L2" s="153"/>
      <c r="M2" s="198" t="s">
        <v>42</v>
      </c>
      <c r="N2" s="186"/>
      <c r="O2" s="2"/>
      <c r="P2" s="27" t="s">
        <v>14</v>
      </c>
      <c r="Q2" s="129" t="s">
        <v>52</v>
      </c>
      <c r="R2" s="129"/>
      <c r="S2" s="129"/>
      <c r="T2" s="27" t="s">
        <v>53</v>
      </c>
      <c r="U2" s="33" t="s">
        <v>63</v>
      </c>
      <c r="V2" s="33" t="s">
        <v>64</v>
      </c>
      <c r="W2" s="27" t="s">
        <v>45</v>
      </c>
      <c r="X2" s="27" t="s">
        <v>46</v>
      </c>
      <c r="Y2" s="27" t="s">
        <v>39</v>
      </c>
    </row>
    <row r="3" spans="2:25" ht="34.200000000000003" customHeight="1" x14ac:dyDescent="0.35">
      <c r="B3" s="155"/>
      <c r="C3" s="156"/>
      <c r="D3" s="15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M3" s="2"/>
      <c r="N3" s="17"/>
      <c r="P3" s="18">
        <v>1</v>
      </c>
      <c r="Q3" s="124" t="s">
        <v>99</v>
      </c>
      <c r="R3" s="125"/>
      <c r="S3" s="125"/>
      <c r="T3" s="37">
        <f>K4*L4</f>
        <v>2000</v>
      </c>
      <c r="U3" s="88">
        <v>0.81899999999999995</v>
      </c>
      <c r="V3" s="35">
        <f>U3*T3</f>
        <v>1638</v>
      </c>
      <c r="W3" s="37">
        <v>128000</v>
      </c>
      <c r="X3" s="34">
        <f>W3*V3/1000</f>
        <v>209664</v>
      </c>
      <c r="Y3" s="82"/>
    </row>
    <row r="4" spans="2:25" ht="34.200000000000003" customHeight="1" x14ac:dyDescent="0.35">
      <c r="B4" s="132"/>
      <c r="C4" s="133"/>
      <c r="D4" s="133"/>
      <c r="E4" s="3">
        <v>1000</v>
      </c>
      <c r="F4" s="3">
        <v>1000</v>
      </c>
      <c r="G4" s="3">
        <v>1</v>
      </c>
      <c r="H4" s="6" t="s">
        <v>19</v>
      </c>
      <c r="I4" s="3" t="s">
        <v>11</v>
      </c>
      <c r="J4" s="6" t="s">
        <v>126</v>
      </c>
      <c r="K4" s="3">
        <f>F4</f>
        <v>1000</v>
      </c>
      <c r="L4" s="3">
        <v>2</v>
      </c>
      <c r="M4" s="2"/>
      <c r="N4" s="2"/>
      <c r="P4" s="18">
        <f>P3+1</f>
        <v>2</v>
      </c>
      <c r="Q4" s="124" t="s">
        <v>121</v>
      </c>
      <c r="R4" s="125"/>
      <c r="S4" s="125"/>
      <c r="T4" s="37">
        <f>K5*L5</f>
        <v>2000</v>
      </c>
      <c r="U4" s="88">
        <v>0.81899999999999995</v>
      </c>
      <c r="V4" s="35">
        <f t="shared" ref="V4:V5" si="0">U4*T4</f>
        <v>1638</v>
      </c>
      <c r="W4" s="37">
        <v>128000</v>
      </c>
      <c r="X4" s="34">
        <f t="shared" ref="X4:X5" si="1">W4*V4/1000</f>
        <v>209664</v>
      </c>
      <c r="Y4" s="83"/>
    </row>
    <row r="5" spans="2:25" ht="34.200000000000003" customHeight="1" x14ac:dyDescent="0.35">
      <c r="B5" s="132"/>
      <c r="C5" s="133"/>
      <c r="D5" s="133"/>
      <c r="E5" s="92"/>
      <c r="F5" s="45" t="s">
        <v>47</v>
      </c>
      <c r="G5" s="45" t="s">
        <v>120</v>
      </c>
      <c r="H5" s="6" t="s">
        <v>20</v>
      </c>
      <c r="I5" s="3" t="s">
        <v>10</v>
      </c>
      <c r="J5" s="6" t="s">
        <v>127</v>
      </c>
      <c r="K5" s="3">
        <f>E4</f>
        <v>1000</v>
      </c>
      <c r="L5" s="3">
        <v>2</v>
      </c>
      <c r="M5" s="2"/>
      <c r="N5" s="2"/>
      <c r="P5" s="18">
        <f t="shared" ref="P5:P15" si="2">P4+1</f>
        <v>3</v>
      </c>
      <c r="Q5" s="124" t="s">
        <v>125</v>
      </c>
      <c r="R5" s="125"/>
      <c r="S5" s="125"/>
      <c r="T5" s="37">
        <f>T3+T4</f>
        <v>4000</v>
      </c>
      <c r="U5" s="88">
        <v>0.33900000000000002</v>
      </c>
      <c r="V5" s="35">
        <f t="shared" si="0"/>
        <v>1356</v>
      </c>
      <c r="W5" s="37">
        <v>128000</v>
      </c>
      <c r="X5" s="34">
        <f t="shared" si="1"/>
        <v>173568</v>
      </c>
      <c r="Y5" s="83"/>
    </row>
    <row r="6" spans="2:25" ht="34.200000000000003" customHeight="1" x14ac:dyDescent="0.35">
      <c r="B6" s="132"/>
      <c r="C6" s="133"/>
      <c r="D6" s="133"/>
      <c r="E6" s="61"/>
      <c r="F6" s="20">
        <f>F4*E4/1000</f>
        <v>1000</v>
      </c>
      <c r="G6" s="91">
        <f>SUM(V3:V5)</f>
        <v>4632</v>
      </c>
      <c r="H6" s="6" t="s">
        <v>21</v>
      </c>
      <c r="I6" s="3" t="s">
        <v>124</v>
      </c>
      <c r="J6" s="6" t="s">
        <v>128</v>
      </c>
      <c r="K6" s="3">
        <f>E4</f>
        <v>1000</v>
      </c>
      <c r="L6" s="3">
        <v>1</v>
      </c>
      <c r="M6" s="2"/>
      <c r="N6" s="2"/>
      <c r="P6" s="18">
        <f t="shared" si="2"/>
        <v>4</v>
      </c>
      <c r="Q6" s="124" t="s">
        <v>79</v>
      </c>
      <c r="R6" s="125"/>
      <c r="S6" s="126"/>
      <c r="T6" s="37"/>
      <c r="U6" s="32"/>
      <c r="V6" s="81"/>
      <c r="W6" s="58">
        <v>0.05</v>
      </c>
      <c r="X6" s="37">
        <f>SUM(X3:X5)*W6</f>
        <v>29644.800000000003</v>
      </c>
      <c r="Y6" s="46"/>
    </row>
    <row r="7" spans="2:25" ht="34.200000000000003" customHeight="1" x14ac:dyDescent="0.35">
      <c r="B7" s="132"/>
      <c r="C7" s="133"/>
      <c r="D7" s="133"/>
      <c r="E7" s="61"/>
      <c r="F7" s="20"/>
      <c r="G7" s="91"/>
      <c r="H7" s="6" t="s">
        <v>21</v>
      </c>
      <c r="I7" s="172" t="s">
        <v>80</v>
      </c>
      <c r="J7" s="3" t="s">
        <v>6</v>
      </c>
      <c r="K7" s="3" t="s">
        <v>7</v>
      </c>
      <c r="L7" s="5" t="s">
        <v>2</v>
      </c>
      <c r="M7" s="2"/>
      <c r="N7" s="2"/>
      <c r="P7" s="18">
        <f t="shared" si="2"/>
        <v>5</v>
      </c>
      <c r="Q7" s="124" t="s">
        <v>123</v>
      </c>
      <c r="R7" s="125"/>
      <c r="S7" s="125"/>
      <c r="T7" s="32"/>
      <c r="U7" s="32"/>
      <c r="V7" s="36">
        <v>4</v>
      </c>
      <c r="W7" s="48">
        <v>4200</v>
      </c>
      <c r="X7" s="34">
        <f>W7*V7</f>
        <v>16800</v>
      </c>
      <c r="Y7" s="29" t="s">
        <v>122</v>
      </c>
    </row>
    <row r="8" spans="2:25" ht="34.200000000000003" customHeight="1" x14ac:dyDescent="0.35">
      <c r="B8" s="134"/>
      <c r="C8" s="135"/>
      <c r="D8" s="135"/>
      <c r="E8" s="3"/>
      <c r="F8" s="3"/>
      <c r="G8" s="3"/>
      <c r="H8" s="6" t="s">
        <v>22</v>
      </c>
      <c r="I8" s="173"/>
      <c r="J8" s="20">
        <f>K4-75</f>
        <v>925</v>
      </c>
      <c r="K8" s="20">
        <f>K5-75</f>
        <v>925</v>
      </c>
      <c r="L8" s="3">
        <v>1</v>
      </c>
      <c r="M8" s="2"/>
      <c r="N8" s="2"/>
      <c r="P8" s="18">
        <f t="shared" si="2"/>
        <v>6</v>
      </c>
      <c r="Q8" s="124" t="s">
        <v>62</v>
      </c>
      <c r="R8" s="125"/>
      <c r="S8" s="125"/>
      <c r="T8" s="32"/>
      <c r="U8" s="32"/>
      <c r="V8" s="36">
        <v>4</v>
      </c>
      <c r="W8" s="37">
        <v>100</v>
      </c>
      <c r="X8" s="34">
        <f t="shared" ref="X8" si="3">W8*V8</f>
        <v>400</v>
      </c>
      <c r="Y8" s="29" t="s">
        <v>114</v>
      </c>
    </row>
    <row r="9" spans="2:25" ht="34.200000000000003" customHeight="1" x14ac:dyDescent="0.35">
      <c r="P9" s="18">
        <f t="shared" si="2"/>
        <v>7</v>
      </c>
      <c r="Q9" s="138" t="s">
        <v>66</v>
      </c>
      <c r="R9" s="139"/>
      <c r="S9" s="139"/>
      <c r="T9" s="139"/>
      <c r="U9" s="140"/>
      <c r="V9" s="38"/>
      <c r="W9" s="39"/>
      <c r="X9" s="40">
        <f>SUM(X3:X8)</f>
        <v>639740.80000000005</v>
      </c>
      <c r="Y9" s="18"/>
    </row>
    <row r="10" spans="2:25" ht="34.200000000000003" customHeight="1" x14ac:dyDescent="0.35">
      <c r="P10" s="18">
        <f t="shared" si="2"/>
        <v>8</v>
      </c>
      <c r="Q10" s="129" t="s">
        <v>52</v>
      </c>
      <c r="R10" s="129"/>
      <c r="S10" s="129"/>
      <c r="T10" s="27" t="s">
        <v>53</v>
      </c>
      <c r="U10" s="33" t="s">
        <v>59</v>
      </c>
      <c r="V10" s="33"/>
      <c r="W10" s="27" t="s">
        <v>45</v>
      </c>
      <c r="X10" s="27" t="s">
        <v>46</v>
      </c>
      <c r="Y10" s="2"/>
    </row>
    <row r="11" spans="2:25" ht="34.200000000000003" customHeight="1" x14ac:dyDescent="0.35">
      <c r="E11" s="4"/>
      <c r="G11" s="12"/>
      <c r="P11" s="18">
        <f t="shared" si="2"/>
        <v>9</v>
      </c>
      <c r="Q11" s="124" t="s">
        <v>48</v>
      </c>
      <c r="R11" s="125"/>
      <c r="S11" s="125"/>
      <c r="T11" s="41">
        <f>T3+T4*2</f>
        <v>6000</v>
      </c>
      <c r="U11" s="2">
        <v>1</v>
      </c>
      <c r="V11" s="28"/>
      <c r="W11" s="41">
        <v>1000</v>
      </c>
      <c r="X11" s="41">
        <f>W11*T11*U11/1000</f>
        <v>6000</v>
      </c>
      <c r="Y11" s="2"/>
    </row>
    <row r="12" spans="2:25" ht="34.200000000000003" customHeight="1" x14ac:dyDescent="0.35">
      <c r="E12" s="4"/>
      <c r="G12" s="12"/>
      <c r="P12" s="18">
        <f t="shared" si="2"/>
        <v>10</v>
      </c>
      <c r="Q12" s="124" t="s">
        <v>69</v>
      </c>
      <c r="R12" s="125"/>
      <c r="S12" s="126"/>
      <c r="T12" s="41"/>
      <c r="U12" s="61">
        <v>1</v>
      </c>
      <c r="V12" s="28"/>
      <c r="W12" s="41">
        <v>1000</v>
      </c>
      <c r="X12" s="41">
        <f t="shared" ref="X12:X13" si="4">W12*U12</f>
        <v>1000</v>
      </c>
      <c r="Y12" s="29"/>
    </row>
    <row r="13" spans="2:25" ht="34.200000000000003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P13" s="18">
        <f t="shared" si="2"/>
        <v>11</v>
      </c>
      <c r="Q13" s="124" t="s">
        <v>71</v>
      </c>
      <c r="R13" s="125"/>
      <c r="S13" s="126"/>
      <c r="T13" s="41"/>
      <c r="U13" s="2">
        <v>1</v>
      </c>
      <c r="V13" s="28"/>
      <c r="W13" s="41">
        <v>2000</v>
      </c>
      <c r="X13" s="41">
        <f t="shared" si="4"/>
        <v>2000</v>
      </c>
      <c r="Y13" s="2"/>
    </row>
    <row r="14" spans="2:25" ht="34.200000000000003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P14" s="18">
        <f t="shared" si="2"/>
        <v>12</v>
      </c>
      <c r="Q14" s="144" t="s">
        <v>70</v>
      </c>
      <c r="R14" s="144"/>
      <c r="S14" s="144"/>
      <c r="T14" s="144"/>
      <c r="U14" s="144"/>
      <c r="V14" s="38"/>
      <c r="W14" s="39"/>
      <c r="X14" s="40">
        <f>SUM(X11:X13)</f>
        <v>9000</v>
      </c>
      <c r="Y14" s="2"/>
    </row>
    <row r="15" spans="2:25" ht="34.200000000000003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P15" s="115">
        <f t="shared" si="2"/>
        <v>13</v>
      </c>
      <c r="Q15" s="145" t="s">
        <v>183</v>
      </c>
      <c r="R15" s="146"/>
      <c r="S15" s="146"/>
      <c r="T15" s="146"/>
      <c r="U15" s="147"/>
      <c r="V15" s="116"/>
      <c r="W15" s="117"/>
      <c r="X15" s="118">
        <f>X9+X14</f>
        <v>648740.80000000005</v>
      </c>
      <c r="Y15" s="115"/>
    </row>
    <row r="16" spans="2:25" ht="34.200000000000003" customHeight="1" x14ac:dyDescent="0.4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M16" s="4"/>
      <c r="O16" s="12"/>
      <c r="P16" s="128" t="s">
        <v>65</v>
      </c>
      <c r="Q16" s="128"/>
      <c r="R16" s="128"/>
      <c r="S16" s="128"/>
      <c r="T16" s="128"/>
      <c r="U16" s="128"/>
      <c r="V16" s="128"/>
      <c r="W16" s="128"/>
      <c r="X16" s="128"/>
      <c r="Y16" s="128"/>
    </row>
    <row r="17" spans="2:25" ht="34.200000000000003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M17" s="4"/>
      <c r="O17" s="12"/>
      <c r="P17" s="27" t="s">
        <v>14</v>
      </c>
      <c r="Q17" s="129" t="s">
        <v>52</v>
      </c>
      <c r="R17" s="129"/>
      <c r="S17" s="129"/>
      <c r="T17" s="27" t="s">
        <v>53</v>
      </c>
      <c r="U17" s="33" t="s">
        <v>63</v>
      </c>
      <c r="V17" s="33" t="s">
        <v>64</v>
      </c>
      <c r="W17" s="27" t="s">
        <v>45</v>
      </c>
      <c r="X17" s="27" t="s">
        <v>46</v>
      </c>
      <c r="Y17" s="27" t="s">
        <v>39</v>
      </c>
    </row>
    <row r="18" spans="2:25" ht="34.200000000000003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M18" s="4"/>
      <c r="O18" s="12"/>
      <c r="P18" s="18">
        <v>1</v>
      </c>
      <c r="Q18" s="124" t="s">
        <v>167</v>
      </c>
      <c r="R18" s="125"/>
      <c r="S18" s="125"/>
      <c r="T18" s="37">
        <v>1000</v>
      </c>
      <c r="U18" s="88">
        <v>1.137</v>
      </c>
      <c r="V18" s="35">
        <f>U18*T18</f>
        <v>1137</v>
      </c>
      <c r="W18" s="37">
        <v>128000</v>
      </c>
      <c r="X18" s="34">
        <f>W18*V18/1000</f>
        <v>145536</v>
      </c>
      <c r="Y18" s="82"/>
    </row>
    <row r="19" spans="2:25" ht="34.200000000000003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M19" s="4"/>
      <c r="O19" s="12"/>
      <c r="P19" s="18">
        <v>2</v>
      </c>
      <c r="Q19" s="124" t="s">
        <v>125</v>
      </c>
      <c r="R19" s="125"/>
      <c r="S19" s="125"/>
      <c r="T19" s="37">
        <f>T18*2</f>
        <v>2000</v>
      </c>
      <c r="U19" s="88">
        <v>0.33900000000000002</v>
      </c>
      <c r="V19" s="35">
        <f t="shared" ref="V19" si="5">U19*T19</f>
        <v>678</v>
      </c>
      <c r="W19" s="37">
        <v>128000</v>
      </c>
      <c r="X19" s="34">
        <f t="shared" ref="X19" si="6">W19*V19/1000</f>
        <v>86784</v>
      </c>
      <c r="Y19" s="83"/>
    </row>
    <row r="20" spans="2:25" ht="34.200000000000003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M20" s="4"/>
      <c r="O20" s="12"/>
      <c r="P20" s="18">
        <f t="shared" ref="P20:P27" si="7">P19+1</f>
        <v>3</v>
      </c>
      <c r="Q20" s="124" t="s">
        <v>79</v>
      </c>
      <c r="R20" s="125"/>
      <c r="S20" s="126"/>
      <c r="T20" s="37"/>
      <c r="U20" s="32"/>
      <c r="V20" s="81"/>
      <c r="W20" s="58">
        <v>0.05</v>
      </c>
      <c r="X20" s="37">
        <f>SUM(X18:X19)*W20</f>
        <v>11616</v>
      </c>
      <c r="Y20" s="46"/>
    </row>
    <row r="21" spans="2:25" ht="34.200000000000003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M21" s="4"/>
      <c r="O21" s="12"/>
      <c r="P21" s="18">
        <f t="shared" si="7"/>
        <v>4</v>
      </c>
      <c r="Q21" s="138" t="s">
        <v>66</v>
      </c>
      <c r="R21" s="139"/>
      <c r="S21" s="139"/>
      <c r="T21" s="139"/>
      <c r="U21" s="140"/>
      <c r="V21" s="38"/>
      <c r="W21" s="39"/>
      <c r="X21" s="40">
        <f>SUM(X18:X20)</f>
        <v>243936</v>
      </c>
      <c r="Y21" s="18"/>
    </row>
    <row r="22" spans="2:25" ht="34.200000000000003" customHeight="1" x14ac:dyDescent="0.35">
      <c r="E22" s="4"/>
      <c r="G22" s="12"/>
      <c r="M22" s="4"/>
      <c r="O22" s="12"/>
      <c r="P22" s="18">
        <f t="shared" si="7"/>
        <v>5</v>
      </c>
      <c r="Q22" s="129" t="s">
        <v>52</v>
      </c>
      <c r="R22" s="129"/>
      <c r="S22" s="129"/>
      <c r="T22" s="27" t="s">
        <v>53</v>
      </c>
      <c r="U22" s="33" t="s">
        <v>59</v>
      </c>
      <c r="V22" s="33"/>
      <c r="W22" s="27" t="s">
        <v>45</v>
      </c>
      <c r="X22" s="27" t="s">
        <v>46</v>
      </c>
      <c r="Y22" s="2"/>
    </row>
    <row r="23" spans="2:25" ht="34.200000000000003" customHeight="1" x14ac:dyDescent="0.35">
      <c r="E23" s="4"/>
      <c r="G23" s="12"/>
      <c r="M23" s="4"/>
      <c r="O23" s="12"/>
      <c r="P23" s="18">
        <f t="shared" si="7"/>
        <v>6</v>
      </c>
      <c r="Q23" s="124" t="s">
        <v>48</v>
      </c>
      <c r="R23" s="125"/>
      <c r="S23" s="125"/>
      <c r="T23" s="41">
        <f>T18*2+T19*2</f>
        <v>6000</v>
      </c>
      <c r="U23" s="2">
        <v>1</v>
      </c>
      <c r="V23" s="28"/>
      <c r="W23" s="41">
        <v>1000</v>
      </c>
      <c r="X23" s="41">
        <f>W23*T23*U23/1000</f>
        <v>6000</v>
      </c>
      <c r="Y23" s="2"/>
    </row>
    <row r="24" spans="2:25" ht="34.200000000000003" customHeight="1" x14ac:dyDescent="0.35">
      <c r="E24" s="4"/>
      <c r="G24" s="12"/>
      <c r="M24" s="4"/>
      <c r="P24" s="18">
        <f t="shared" si="7"/>
        <v>7</v>
      </c>
      <c r="Q24" s="124" t="s">
        <v>69</v>
      </c>
      <c r="R24" s="125"/>
      <c r="S24" s="126"/>
      <c r="T24" s="41"/>
      <c r="U24" s="61">
        <v>1</v>
      </c>
      <c r="V24" s="28"/>
      <c r="W24" s="41">
        <v>1000</v>
      </c>
      <c r="X24" s="41">
        <f t="shared" ref="X24:X25" si="8">W24*U24</f>
        <v>1000</v>
      </c>
      <c r="Y24" s="29"/>
    </row>
    <row r="25" spans="2:25" ht="40.799999999999997" customHeight="1" x14ac:dyDescent="0.35">
      <c r="P25" s="18">
        <f t="shared" si="7"/>
        <v>8</v>
      </c>
      <c r="Q25" s="124" t="s">
        <v>71</v>
      </c>
      <c r="R25" s="125"/>
      <c r="S25" s="126"/>
      <c r="T25" s="41"/>
      <c r="U25" s="2">
        <v>1</v>
      </c>
      <c r="V25" s="28"/>
      <c r="W25" s="41">
        <v>2000</v>
      </c>
      <c r="X25" s="41">
        <f t="shared" si="8"/>
        <v>2000</v>
      </c>
      <c r="Y25" s="2"/>
    </row>
    <row r="26" spans="2:25" ht="40.799999999999997" customHeight="1" x14ac:dyDescent="0.35">
      <c r="P26" s="18">
        <f t="shared" si="7"/>
        <v>9</v>
      </c>
      <c r="Q26" s="144" t="s">
        <v>70</v>
      </c>
      <c r="R26" s="144"/>
      <c r="S26" s="144"/>
      <c r="T26" s="144"/>
      <c r="U26" s="144"/>
      <c r="V26" s="38"/>
      <c r="W26" s="39"/>
      <c r="X26" s="40">
        <f>SUM(X23:X25)</f>
        <v>9000</v>
      </c>
      <c r="Y26" s="2"/>
    </row>
    <row r="27" spans="2:25" ht="40.799999999999997" customHeight="1" x14ac:dyDescent="0.35">
      <c r="P27" s="115">
        <f t="shared" si="7"/>
        <v>10</v>
      </c>
      <c r="Q27" s="145" t="s">
        <v>183</v>
      </c>
      <c r="R27" s="146"/>
      <c r="S27" s="146"/>
      <c r="T27" s="146"/>
      <c r="U27" s="147"/>
      <c r="V27" s="116"/>
      <c r="W27" s="117"/>
      <c r="X27" s="118">
        <f>X21+X26</f>
        <v>252936</v>
      </c>
      <c r="Y27" s="115"/>
    </row>
  </sheetData>
  <mergeCells count="72">
    <mergeCell ref="B1:N1"/>
    <mergeCell ref="P1:Y1"/>
    <mergeCell ref="B2:F2"/>
    <mergeCell ref="I2:L2"/>
    <mergeCell ref="M2:N2"/>
    <mergeCell ref="Q2:S2"/>
    <mergeCell ref="B3:D8"/>
    <mergeCell ref="Q3:S3"/>
    <mergeCell ref="Q4:S4"/>
    <mergeCell ref="Q5:S5"/>
    <mergeCell ref="Q6:S6"/>
    <mergeCell ref="I7:I8"/>
    <mergeCell ref="Q7:S7"/>
    <mergeCell ref="Q8:S8"/>
    <mergeCell ref="B13:C13"/>
    <mergeCell ref="D13:E13"/>
    <mergeCell ref="F13:G13"/>
    <mergeCell ref="H13:I13"/>
    <mergeCell ref="J13:K13"/>
    <mergeCell ref="Q14:U14"/>
    <mergeCell ref="Q9:U9"/>
    <mergeCell ref="Q10:S10"/>
    <mergeCell ref="Q11:S11"/>
    <mergeCell ref="Q12:S12"/>
    <mergeCell ref="Q13:S13"/>
    <mergeCell ref="J15:K15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7:K17"/>
    <mergeCell ref="Q17:S17"/>
    <mergeCell ref="B16:C16"/>
    <mergeCell ref="D16:E16"/>
    <mergeCell ref="F16:G16"/>
    <mergeCell ref="H16:I16"/>
    <mergeCell ref="J16:K16"/>
    <mergeCell ref="B17:G17"/>
    <mergeCell ref="H17:I17"/>
    <mergeCell ref="J18:K18"/>
    <mergeCell ref="Q18:S18"/>
    <mergeCell ref="B19:G19"/>
    <mergeCell ref="H19:I19"/>
    <mergeCell ref="J19:K19"/>
    <mergeCell ref="Q19:S19"/>
    <mergeCell ref="B18:C18"/>
    <mergeCell ref="D18:E18"/>
    <mergeCell ref="F18:G18"/>
    <mergeCell ref="H18:I18"/>
    <mergeCell ref="B21:C21"/>
    <mergeCell ref="B20:G20"/>
    <mergeCell ref="H20:I20"/>
    <mergeCell ref="J20:K20"/>
    <mergeCell ref="Q20:S20"/>
    <mergeCell ref="D21:E21"/>
    <mergeCell ref="F21:G21"/>
    <mergeCell ref="H21:I21"/>
    <mergeCell ref="J21:K21"/>
    <mergeCell ref="Q22:S22"/>
    <mergeCell ref="Q21:U21"/>
    <mergeCell ref="Q15:U15"/>
    <mergeCell ref="Q27:U27"/>
    <mergeCell ref="Q24:S24"/>
    <mergeCell ref="Q25:S25"/>
    <mergeCell ref="Q26:U26"/>
    <mergeCell ref="Q23:S23"/>
    <mergeCell ref="P16:Y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X27"/>
  <sheetViews>
    <sheetView zoomScale="43" zoomScaleNormal="43" workbookViewId="0">
      <selection activeCell="J15" sqref="J15:K15"/>
    </sheetView>
  </sheetViews>
  <sheetFormatPr defaultColWidth="17.21875" defaultRowHeight="19.2" x14ac:dyDescent="0.35"/>
  <cols>
    <col min="1" max="1" width="10.5546875" style="1" customWidth="1"/>
    <col min="2" max="9" width="17.21875" style="1"/>
    <col min="10" max="10" width="20.44140625" style="1" customWidth="1"/>
    <col min="11" max="11" width="17.21875" style="1"/>
    <col min="12" max="12" width="22.109375" style="1" customWidth="1"/>
    <col min="13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4" ht="39.6" customHeight="1" x14ac:dyDescent="0.35">
      <c r="B2" s="152" t="s">
        <v>8</v>
      </c>
      <c r="C2" s="153"/>
      <c r="D2" s="153"/>
      <c r="E2" s="153"/>
      <c r="F2" s="154"/>
      <c r="G2" s="8" t="s">
        <v>36</v>
      </c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4" ht="39.6" customHeight="1" x14ac:dyDescent="0.35">
      <c r="B3" s="97"/>
      <c r="C3" s="98"/>
      <c r="D3" s="99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5000</v>
      </c>
      <c r="S3" s="32">
        <v>1.7010000000000001</v>
      </c>
      <c r="T3" s="89">
        <f>S3*R3</f>
        <v>8505</v>
      </c>
      <c r="U3" s="37">
        <v>131000</v>
      </c>
      <c r="V3" s="34">
        <f>U3*T3/1000</f>
        <v>1114155</v>
      </c>
      <c r="W3" s="119"/>
    </row>
    <row r="4" spans="2:24" ht="39.6" customHeight="1" x14ac:dyDescent="0.35">
      <c r="B4" s="100"/>
      <c r="D4" s="101"/>
      <c r="E4" s="3">
        <v>2700</v>
      </c>
      <c r="F4" s="3">
        <v>2500</v>
      </c>
      <c r="G4" s="3">
        <v>1</v>
      </c>
      <c r="H4" s="6" t="s">
        <v>19</v>
      </c>
      <c r="I4" s="3" t="s">
        <v>29</v>
      </c>
      <c r="J4" s="6" t="s">
        <v>177</v>
      </c>
      <c r="K4" s="3">
        <f>E4</f>
        <v>2700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2700</v>
      </c>
      <c r="S4" s="32">
        <v>1.7010000000000001</v>
      </c>
      <c r="T4" s="89">
        <f t="shared" ref="T4:T13" si="0">S4*R4</f>
        <v>4592.7</v>
      </c>
      <c r="U4" s="37">
        <v>131000</v>
      </c>
      <c r="V4" s="34">
        <f t="shared" ref="V4:V13" si="1">U4*T4/1000</f>
        <v>601643.69999999995</v>
      </c>
      <c r="W4" s="83"/>
    </row>
    <row r="5" spans="2:24" ht="39.6" customHeight="1" x14ac:dyDescent="0.35">
      <c r="B5" s="100"/>
      <c r="D5" s="101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">
        <v>179</v>
      </c>
      <c r="K5" s="3">
        <f>E4-73</f>
        <v>2627</v>
      </c>
      <c r="L5" s="3">
        <f>G4*1</f>
        <v>1</v>
      </c>
      <c r="N5" s="18">
        <f t="shared" ref="N5:N18" si="2">N4+1</f>
        <v>3</v>
      </c>
      <c r="O5" s="124" t="s">
        <v>101</v>
      </c>
      <c r="P5" s="125"/>
      <c r="Q5" s="125"/>
      <c r="R5" s="37">
        <f>K5*L5</f>
        <v>2627</v>
      </c>
      <c r="S5" s="32">
        <v>0.82299999999999995</v>
      </c>
      <c r="T5" s="89">
        <f t="shared" si="0"/>
        <v>2162.0209999999997</v>
      </c>
      <c r="U5" s="37">
        <v>131000</v>
      </c>
      <c r="V5" s="34">
        <f t="shared" si="1"/>
        <v>283224.75099999993</v>
      </c>
      <c r="W5" s="83"/>
    </row>
    <row r="6" spans="2:24" ht="39.6" customHeight="1" x14ac:dyDescent="0.35">
      <c r="B6" s="100"/>
      <c r="D6" s="101"/>
      <c r="E6" s="61"/>
      <c r="F6" s="20">
        <f>F4*E4/1000</f>
        <v>6750</v>
      </c>
      <c r="G6" s="91">
        <f>SUM(T3:T15)</f>
        <v>52510.769</v>
      </c>
      <c r="H6" s="6" t="s">
        <v>21</v>
      </c>
      <c r="I6" s="3" t="s">
        <v>11</v>
      </c>
      <c r="J6" s="6" t="s">
        <v>177</v>
      </c>
      <c r="K6" s="3">
        <f>F4</f>
        <v>2500</v>
      </c>
      <c r="L6" s="3">
        <f>G4*2</f>
        <v>2</v>
      </c>
      <c r="N6" s="18">
        <f t="shared" si="2"/>
        <v>4</v>
      </c>
      <c r="O6" s="124" t="s">
        <v>158</v>
      </c>
      <c r="P6" s="125"/>
      <c r="Q6" s="125"/>
      <c r="R6" s="37">
        <f>K7*L7</f>
        <v>9768</v>
      </c>
      <c r="S6" s="32">
        <v>1.661</v>
      </c>
      <c r="T6" s="89">
        <f t="shared" si="0"/>
        <v>16224.648000000001</v>
      </c>
      <c r="U6" s="37">
        <v>131000</v>
      </c>
      <c r="V6" s="34">
        <f t="shared" si="1"/>
        <v>2125428.8880000003</v>
      </c>
      <c r="W6" s="84"/>
    </row>
    <row r="7" spans="2:24" ht="39.6" customHeight="1" x14ac:dyDescent="0.35">
      <c r="B7" s="100"/>
      <c r="D7" s="101"/>
      <c r="E7" s="2"/>
      <c r="F7" s="2"/>
      <c r="G7" s="2"/>
      <c r="H7" s="6" t="s">
        <v>22</v>
      </c>
      <c r="I7" s="3" t="s">
        <v>164</v>
      </c>
      <c r="J7" s="6" t="s">
        <v>178</v>
      </c>
      <c r="K7" s="20">
        <f>F4-58</f>
        <v>2442</v>
      </c>
      <c r="L7" s="3">
        <v>4</v>
      </c>
      <c r="N7" s="18">
        <f t="shared" si="2"/>
        <v>5</v>
      </c>
      <c r="O7" s="124" t="s">
        <v>145</v>
      </c>
      <c r="P7" s="125"/>
      <c r="Q7" s="125"/>
      <c r="R7" s="37">
        <f>K8*L8</f>
        <v>5406</v>
      </c>
      <c r="S7" s="32">
        <v>1.661</v>
      </c>
      <c r="T7" s="89">
        <f t="shared" si="0"/>
        <v>8979.366</v>
      </c>
      <c r="U7" s="37">
        <v>131000</v>
      </c>
      <c r="V7" s="34">
        <f t="shared" si="1"/>
        <v>1176296.946</v>
      </c>
      <c r="W7" s="83"/>
    </row>
    <row r="8" spans="2:24" ht="39.6" customHeight="1" x14ac:dyDescent="0.35">
      <c r="B8" s="100"/>
      <c r="D8" s="101"/>
      <c r="E8" s="2"/>
      <c r="F8" s="2"/>
      <c r="G8" s="2"/>
      <c r="H8" s="6" t="s">
        <v>24</v>
      </c>
      <c r="I8" s="3" t="s">
        <v>37</v>
      </c>
      <c r="J8" s="6" t="s">
        <v>178</v>
      </c>
      <c r="K8" s="109">
        <f>(E4+3)/2</f>
        <v>1351.5</v>
      </c>
      <c r="L8" s="3">
        <v>4</v>
      </c>
      <c r="N8" s="18">
        <f t="shared" si="2"/>
        <v>6</v>
      </c>
      <c r="O8" s="124" t="s">
        <v>159</v>
      </c>
      <c r="P8" s="125"/>
      <c r="Q8" s="125"/>
      <c r="R8" s="37">
        <f>R6+R7</f>
        <v>15174</v>
      </c>
      <c r="S8" s="32">
        <v>0.26700000000000002</v>
      </c>
      <c r="T8" s="89">
        <f t="shared" si="0"/>
        <v>4051.4580000000001</v>
      </c>
      <c r="U8" s="37">
        <v>131000</v>
      </c>
      <c r="V8" s="34">
        <f t="shared" si="1"/>
        <v>530740.99800000002</v>
      </c>
      <c r="W8" s="83"/>
    </row>
    <row r="9" spans="2:24" ht="39.6" customHeight="1" x14ac:dyDescent="0.35">
      <c r="B9" s="100"/>
      <c r="D9" s="101"/>
      <c r="E9" s="3"/>
      <c r="F9" s="3"/>
      <c r="G9" s="3"/>
      <c r="H9" s="3"/>
      <c r="I9" s="172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160</v>
      </c>
      <c r="P9" s="125"/>
      <c r="Q9" s="125"/>
      <c r="R9" s="37">
        <f>K5*2</f>
        <v>5254</v>
      </c>
      <c r="S9" s="32">
        <v>0.13500000000000001</v>
      </c>
      <c r="T9" s="89">
        <f t="shared" si="0"/>
        <v>709.29000000000008</v>
      </c>
      <c r="U9" s="37">
        <v>131000</v>
      </c>
      <c r="V9" s="34">
        <f t="shared" si="1"/>
        <v>92916.99000000002</v>
      </c>
      <c r="W9" s="83"/>
    </row>
    <row r="10" spans="2:24" ht="39.6" customHeight="1" x14ac:dyDescent="0.35">
      <c r="B10" s="102"/>
      <c r="C10" s="80"/>
      <c r="D10" s="103"/>
      <c r="E10" s="3"/>
      <c r="F10" s="3"/>
      <c r="G10" s="3"/>
      <c r="H10" s="3"/>
      <c r="I10" s="173"/>
      <c r="J10" s="15">
        <f>K8-145</f>
        <v>1206.5</v>
      </c>
      <c r="K10" s="15">
        <f>K7-145</f>
        <v>2297</v>
      </c>
      <c r="L10" s="3">
        <f>G4*2</f>
        <v>2</v>
      </c>
      <c r="N10" s="18">
        <f t="shared" si="2"/>
        <v>8</v>
      </c>
      <c r="O10" s="124" t="s">
        <v>161</v>
      </c>
      <c r="P10" s="125"/>
      <c r="Q10" s="125"/>
      <c r="R10" s="37">
        <f>R3*2+R4*2+R6+R7+R13</f>
        <v>35480</v>
      </c>
      <c r="S10" s="32">
        <v>7.3999999999999996E-2</v>
      </c>
      <c r="T10" s="89">
        <f t="shared" si="0"/>
        <v>2625.52</v>
      </c>
      <c r="U10" s="37">
        <v>131000</v>
      </c>
      <c r="V10" s="34">
        <f t="shared" si="1"/>
        <v>343943.12</v>
      </c>
      <c r="W10" s="83"/>
      <c r="X10" s="2"/>
    </row>
    <row r="11" spans="2:24" ht="39.6" customHeight="1" x14ac:dyDescent="0.35">
      <c r="L11" s="1">
        <f>J10*K10*L10/1000000</f>
        <v>5.5426609999999998</v>
      </c>
      <c r="N11" s="18">
        <f t="shared" si="2"/>
        <v>9</v>
      </c>
      <c r="O11" s="124" t="s">
        <v>95</v>
      </c>
      <c r="P11" s="125"/>
      <c r="Q11" s="125"/>
      <c r="R11" s="37">
        <f>K7*2</f>
        <v>4884</v>
      </c>
      <c r="S11" s="32">
        <v>0.52500000000000002</v>
      </c>
      <c r="T11" s="89">
        <f t="shared" si="0"/>
        <v>2564.1</v>
      </c>
      <c r="U11" s="37">
        <v>131000</v>
      </c>
      <c r="V11" s="34">
        <f t="shared" si="1"/>
        <v>335897.1</v>
      </c>
      <c r="W11" s="83"/>
    </row>
    <row r="12" spans="2:24" ht="39.6" customHeight="1" x14ac:dyDescent="0.35">
      <c r="L12" s="118">
        <f>L11*220000</f>
        <v>1219385.42</v>
      </c>
      <c r="N12" s="18">
        <f t="shared" si="2"/>
        <v>10</v>
      </c>
      <c r="O12" s="124" t="s">
        <v>162</v>
      </c>
      <c r="P12" s="125"/>
      <c r="Q12" s="125"/>
      <c r="R12" s="37">
        <f>K5*2</f>
        <v>5254</v>
      </c>
      <c r="S12" s="32">
        <v>0.22500000000000001</v>
      </c>
      <c r="T12" s="89">
        <f t="shared" si="0"/>
        <v>1182.1500000000001</v>
      </c>
      <c r="U12" s="37">
        <v>131000</v>
      </c>
      <c r="V12" s="34">
        <f t="shared" si="1"/>
        <v>154861.65</v>
      </c>
      <c r="W12" s="83"/>
    </row>
    <row r="13" spans="2:24" ht="39.6" customHeight="1" x14ac:dyDescent="0.35">
      <c r="B13" s="136"/>
      <c r="C13" s="136"/>
      <c r="D13" s="136"/>
      <c r="E13" s="136"/>
      <c r="F13" s="136"/>
      <c r="G13" s="136"/>
      <c r="H13" s="136"/>
      <c r="I13" s="136"/>
      <c r="J13" s="201">
        <f>F6*400</f>
        <v>2700000</v>
      </c>
      <c r="K13" s="201"/>
      <c r="N13" s="18">
        <f t="shared" si="2"/>
        <v>11</v>
      </c>
      <c r="O13" s="124" t="s">
        <v>163</v>
      </c>
      <c r="P13" s="125"/>
      <c r="Q13" s="125"/>
      <c r="R13" s="37">
        <f>(K6-47)*2</f>
        <v>4906</v>
      </c>
      <c r="S13" s="32">
        <v>0.186</v>
      </c>
      <c r="T13" s="89">
        <f t="shared" si="0"/>
        <v>912.51599999999996</v>
      </c>
      <c r="U13" s="37">
        <v>131000</v>
      </c>
      <c r="V13" s="34">
        <f t="shared" si="1"/>
        <v>119539.59600000001</v>
      </c>
      <c r="W13" s="83"/>
    </row>
    <row r="14" spans="2:24" ht="39.6" customHeight="1" x14ac:dyDescent="0.35">
      <c r="B14" s="127"/>
      <c r="C14" s="127"/>
      <c r="D14" s="141"/>
      <c r="E14" s="141"/>
      <c r="F14" s="141"/>
      <c r="G14" s="141"/>
      <c r="H14" s="141"/>
      <c r="I14" s="141"/>
      <c r="J14" s="200">
        <f>J13+V25+L12+J15</f>
        <v>12894149.076300001</v>
      </c>
      <c r="K14" s="127"/>
      <c r="N14" s="18"/>
      <c r="O14" s="124" t="s">
        <v>79</v>
      </c>
      <c r="P14" s="125"/>
      <c r="Q14" s="126"/>
      <c r="R14" s="37"/>
      <c r="S14" s="32"/>
      <c r="T14" s="81"/>
      <c r="U14" s="58">
        <v>0.05</v>
      </c>
      <c r="V14" s="37">
        <f>SUM(V11:V13)*U14</f>
        <v>30514.917300000001</v>
      </c>
      <c r="W14" s="83"/>
    </row>
    <row r="15" spans="2:24" ht="39.6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>
        <v>1910000</v>
      </c>
      <c r="K15" s="127"/>
      <c r="N15" s="18">
        <f>N13+1</f>
        <v>12</v>
      </c>
      <c r="O15" s="124" t="s">
        <v>165</v>
      </c>
      <c r="P15" s="125"/>
      <c r="Q15" s="125"/>
      <c r="R15" s="37">
        <f>K7*L7</f>
        <v>9768</v>
      </c>
      <c r="S15" s="32"/>
      <c r="T15" s="91">
        <v>2</v>
      </c>
      <c r="U15" s="37">
        <v>8400</v>
      </c>
      <c r="V15" s="34">
        <f>U15*T15</f>
        <v>16800</v>
      </c>
      <c r="W15" s="83"/>
    </row>
    <row r="16" spans="2:24" ht="39.6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L16" s="1">
        <f>(J10*K10*L10)/1000000</f>
        <v>5.5426609999999998</v>
      </c>
      <c r="N16" s="18">
        <f t="shared" si="2"/>
        <v>13</v>
      </c>
      <c r="O16" s="124" t="s">
        <v>166</v>
      </c>
      <c r="P16" s="125"/>
      <c r="Q16" s="125"/>
      <c r="R16" s="32"/>
      <c r="S16" s="32"/>
      <c r="T16" s="91">
        <v>8</v>
      </c>
      <c r="U16" s="37">
        <v>11100</v>
      </c>
      <c r="V16" s="34">
        <f t="shared" ref="V16:V17" si="3">U16*T16</f>
        <v>88800</v>
      </c>
      <c r="W16" s="18"/>
    </row>
    <row r="17" spans="2:23" ht="39.6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L17" s="1">
        <v>1100000</v>
      </c>
      <c r="N17" s="18">
        <f t="shared" si="2"/>
        <v>14</v>
      </c>
      <c r="O17" s="124" t="s">
        <v>62</v>
      </c>
      <c r="P17" s="125"/>
      <c r="Q17" s="125"/>
      <c r="R17" s="32"/>
      <c r="S17" s="32"/>
      <c r="T17" s="107">
        <f>T16*2+T15*2</f>
        <v>20</v>
      </c>
      <c r="U17" s="37">
        <v>100</v>
      </c>
      <c r="V17" s="34">
        <f t="shared" si="3"/>
        <v>2000</v>
      </c>
      <c r="W17" s="18"/>
    </row>
    <row r="18" spans="2:23" ht="39.6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99">
        <f>J14/L19</f>
        <v>0.64038485603675199</v>
      </c>
      <c r="K18" s="199"/>
      <c r="L18" s="11">
        <f>F6*2700</f>
        <v>18225000</v>
      </c>
      <c r="N18" s="18">
        <f t="shared" si="2"/>
        <v>15</v>
      </c>
      <c r="O18" s="138" t="s">
        <v>66</v>
      </c>
      <c r="P18" s="139"/>
      <c r="Q18" s="139"/>
      <c r="R18" s="139"/>
      <c r="S18" s="140"/>
      <c r="T18" s="38"/>
      <c r="U18" s="39"/>
      <c r="V18" s="40">
        <f>SUM(V3:V17)</f>
        <v>7016763.6562999999</v>
      </c>
      <c r="W18" s="18"/>
    </row>
    <row r="19" spans="2:23" ht="37.799999999999997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L19" s="23">
        <f>L18+J15</f>
        <v>20135000</v>
      </c>
      <c r="N19" s="27" t="s">
        <v>14</v>
      </c>
      <c r="O19" s="129" t="s">
        <v>52</v>
      </c>
      <c r="P19" s="129"/>
      <c r="Q19" s="129"/>
      <c r="R19" s="27" t="s">
        <v>53</v>
      </c>
      <c r="S19" s="33" t="s">
        <v>59</v>
      </c>
      <c r="T19" s="33"/>
      <c r="U19" s="27" t="s">
        <v>45</v>
      </c>
      <c r="V19" s="27" t="s">
        <v>46</v>
      </c>
      <c r="W19" s="29"/>
    </row>
    <row r="20" spans="2:23" ht="37.799999999999997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N20" s="18">
        <v>1</v>
      </c>
      <c r="O20" s="124" t="s">
        <v>96</v>
      </c>
      <c r="P20" s="125"/>
      <c r="Q20" s="125"/>
      <c r="R20" s="41">
        <f>R11</f>
        <v>4884</v>
      </c>
      <c r="S20" s="2">
        <v>1</v>
      </c>
      <c r="T20" s="28"/>
      <c r="U20" s="41">
        <v>1000</v>
      </c>
      <c r="V20" s="41">
        <f>U20*R20*S20/1000</f>
        <v>4884</v>
      </c>
      <c r="W20" s="29"/>
    </row>
    <row r="21" spans="2:23" ht="37.799999999999997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N21" s="18">
        <v>2</v>
      </c>
      <c r="O21" s="124" t="s">
        <v>113</v>
      </c>
      <c r="P21" s="125"/>
      <c r="Q21" s="125"/>
      <c r="R21" s="41">
        <f>(R6+R7+R11)*2</f>
        <v>40116</v>
      </c>
      <c r="S21" s="2">
        <v>1</v>
      </c>
      <c r="T21" s="28"/>
      <c r="U21" s="41">
        <v>1000</v>
      </c>
      <c r="V21" s="41">
        <f>U21*R21*S21/1000</f>
        <v>40116</v>
      </c>
      <c r="W21" s="29"/>
    </row>
    <row r="22" spans="2:23" ht="37.799999999999997" customHeight="1" x14ac:dyDescent="0.35">
      <c r="N22" s="18">
        <v>3</v>
      </c>
      <c r="O22" s="124" t="s">
        <v>69</v>
      </c>
      <c r="P22" s="125"/>
      <c r="Q22" s="126"/>
      <c r="R22" s="41"/>
      <c r="S22" s="61">
        <v>1</v>
      </c>
      <c r="T22" s="28"/>
      <c r="U22" s="41">
        <v>1000</v>
      </c>
      <c r="V22" s="41">
        <f t="shared" ref="V22:V23" si="4">U22*S22</f>
        <v>1000</v>
      </c>
      <c r="W22" s="2"/>
    </row>
    <row r="23" spans="2:23" ht="37.799999999999997" customHeight="1" x14ac:dyDescent="0.35">
      <c r="N23" s="18">
        <f t="shared" ref="N23:N25" si="5">N22+1</f>
        <v>4</v>
      </c>
      <c r="O23" s="124" t="s">
        <v>71</v>
      </c>
      <c r="P23" s="125"/>
      <c r="Q23" s="126"/>
      <c r="R23" s="41"/>
      <c r="S23" s="2">
        <v>1</v>
      </c>
      <c r="T23" s="28"/>
      <c r="U23" s="41">
        <v>2000</v>
      </c>
      <c r="V23" s="41">
        <f t="shared" si="4"/>
        <v>2000</v>
      </c>
      <c r="W23" s="2"/>
    </row>
    <row r="24" spans="2:23" ht="37.799999999999997" customHeight="1" x14ac:dyDescent="0.35">
      <c r="N24" s="18">
        <f t="shared" si="5"/>
        <v>5</v>
      </c>
      <c r="O24" s="144" t="s">
        <v>70</v>
      </c>
      <c r="P24" s="144"/>
      <c r="Q24" s="144"/>
      <c r="R24" s="144"/>
      <c r="S24" s="144"/>
      <c r="T24" s="38"/>
      <c r="U24" s="39"/>
      <c r="V24" s="40">
        <f>SUM(V20:V23)</f>
        <v>48000</v>
      </c>
      <c r="W24" s="2"/>
    </row>
    <row r="25" spans="2:23" ht="37.799999999999997" customHeight="1" x14ac:dyDescent="0.35">
      <c r="N25" s="115">
        <f t="shared" si="5"/>
        <v>6</v>
      </c>
      <c r="O25" s="145" t="s">
        <v>183</v>
      </c>
      <c r="P25" s="146"/>
      <c r="Q25" s="146"/>
      <c r="R25" s="146"/>
      <c r="S25" s="147"/>
      <c r="T25" s="116"/>
      <c r="U25" s="117"/>
      <c r="V25" s="118">
        <f>V18+V24</f>
        <v>7064763.6562999999</v>
      </c>
      <c r="W25" s="115"/>
    </row>
    <row r="26" spans="2:23" ht="37.799999999999997" customHeight="1" x14ac:dyDescent="0.35">
      <c r="V26" s="1">
        <v>2065000</v>
      </c>
    </row>
    <row r="27" spans="2:23" ht="37.799999999999997" customHeight="1" x14ac:dyDescent="0.35"/>
  </sheetData>
  <mergeCells count="68">
    <mergeCell ref="O5:Q5"/>
    <mergeCell ref="O6:Q6"/>
    <mergeCell ref="O3:Q3"/>
    <mergeCell ref="O4:Q4"/>
    <mergeCell ref="B1:L1"/>
    <mergeCell ref="N1:W1"/>
    <mergeCell ref="B2:F2"/>
    <mergeCell ref="I2:L2"/>
    <mergeCell ref="O2:Q2"/>
    <mergeCell ref="O7:Q7"/>
    <mergeCell ref="O15:Q15"/>
    <mergeCell ref="O9:Q9"/>
    <mergeCell ref="O10:Q10"/>
    <mergeCell ref="O8:Q8"/>
    <mergeCell ref="O11:Q11"/>
    <mergeCell ref="O12:Q12"/>
    <mergeCell ref="O13:Q13"/>
    <mergeCell ref="B19:G19"/>
    <mergeCell ref="H19:I19"/>
    <mergeCell ref="I9:I10"/>
    <mergeCell ref="O16:Q16"/>
    <mergeCell ref="O18:S18"/>
    <mergeCell ref="O19:Q19"/>
    <mergeCell ref="O17:Q17"/>
    <mergeCell ref="J19:K19"/>
    <mergeCell ref="O14:Q14"/>
    <mergeCell ref="B13:C13"/>
    <mergeCell ref="D13:E13"/>
    <mergeCell ref="F13:G13"/>
    <mergeCell ref="H13:I13"/>
    <mergeCell ref="J13:K13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  <mergeCell ref="O25:S25"/>
    <mergeCell ref="B20:G20"/>
    <mergeCell ref="H20:I20"/>
    <mergeCell ref="J20:K20"/>
    <mergeCell ref="B21:C21"/>
    <mergeCell ref="D21:E21"/>
    <mergeCell ref="F21:G21"/>
    <mergeCell ref="H21:I21"/>
    <mergeCell ref="J21:K21"/>
    <mergeCell ref="O24:S24"/>
    <mergeCell ref="O21:Q21"/>
    <mergeCell ref="O22:Q22"/>
    <mergeCell ref="O23:Q23"/>
    <mergeCell ref="O20:Q2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X25"/>
  <sheetViews>
    <sheetView topLeftCell="C1" zoomScale="40" zoomScaleNormal="40" workbookViewId="0">
      <selection activeCell="I22" sqref="I22"/>
    </sheetView>
  </sheetViews>
  <sheetFormatPr defaultColWidth="17.21875" defaultRowHeight="19.2" x14ac:dyDescent="0.35"/>
  <cols>
    <col min="1" max="1" width="10.5546875" style="1" customWidth="1"/>
    <col min="2" max="9" width="17.21875" style="1"/>
    <col min="10" max="10" width="20.44140625" style="1" customWidth="1"/>
    <col min="11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4" ht="39.6" customHeight="1" x14ac:dyDescent="0.35">
      <c r="B2" s="152" t="s">
        <v>8</v>
      </c>
      <c r="C2" s="153"/>
      <c r="D2" s="153"/>
      <c r="E2" s="153"/>
      <c r="F2" s="154"/>
      <c r="G2" s="8" t="s">
        <v>36</v>
      </c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4" ht="39.6" customHeight="1" x14ac:dyDescent="0.35">
      <c r="B3" s="97"/>
      <c r="C3" s="98"/>
      <c r="D3" s="99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4000</v>
      </c>
      <c r="S3" s="32">
        <v>2.4020000000000001</v>
      </c>
      <c r="T3" s="89">
        <f>S3*R3</f>
        <v>9608</v>
      </c>
      <c r="U3" s="37">
        <v>128000</v>
      </c>
      <c r="V3" s="34">
        <f>U3*T3/1000</f>
        <v>1229824</v>
      </c>
      <c r="W3" s="119"/>
    </row>
    <row r="4" spans="2:24" ht="39.6" customHeight="1" x14ac:dyDescent="0.35">
      <c r="B4" s="100"/>
      <c r="D4" s="101"/>
      <c r="E4" s="3">
        <v>2700</v>
      </c>
      <c r="F4" s="3">
        <v>2000</v>
      </c>
      <c r="G4" s="3">
        <v>1</v>
      </c>
      <c r="H4" s="6" t="s">
        <v>19</v>
      </c>
      <c r="I4" s="3" t="s">
        <v>29</v>
      </c>
      <c r="J4" s="6" t="s">
        <v>181</v>
      </c>
      <c r="K4" s="3">
        <f>E4</f>
        <v>2700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2700</v>
      </c>
      <c r="S4" s="32">
        <v>2.4020000000000001</v>
      </c>
      <c r="T4" s="89">
        <f t="shared" ref="T4:T13" si="0">S4*R4</f>
        <v>6485.4000000000005</v>
      </c>
      <c r="U4" s="37">
        <v>128000</v>
      </c>
      <c r="V4" s="34">
        <f t="shared" ref="V4:V13" si="1">U4*T4/1000</f>
        <v>830131.20000000007</v>
      </c>
      <c r="W4" s="120"/>
    </row>
    <row r="5" spans="2:24" ht="39.6" customHeight="1" x14ac:dyDescent="0.35">
      <c r="B5" s="100"/>
      <c r="D5" s="101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">
        <v>182</v>
      </c>
      <c r="K5" s="3">
        <f>E4-73</f>
        <v>2627</v>
      </c>
      <c r="L5" s="3">
        <f>G4*1</f>
        <v>1</v>
      </c>
      <c r="N5" s="18">
        <f t="shared" ref="N5:N18" si="2">N4+1</f>
        <v>3</v>
      </c>
      <c r="O5" s="124" t="s">
        <v>101</v>
      </c>
      <c r="P5" s="125"/>
      <c r="Q5" s="125"/>
      <c r="R5" s="37">
        <f>K5*L5</f>
        <v>2627</v>
      </c>
      <c r="S5" s="32">
        <v>1.1830000000000001</v>
      </c>
      <c r="T5" s="89">
        <f t="shared" si="0"/>
        <v>3107.741</v>
      </c>
      <c r="U5" s="37">
        <v>128000</v>
      </c>
      <c r="V5" s="34">
        <f t="shared" si="1"/>
        <v>397790.848</v>
      </c>
      <c r="W5" s="120"/>
    </row>
    <row r="6" spans="2:24" ht="39.6" customHeight="1" x14ac:dyDescent="0.35">
      <c r="B6" s="100"/>
      <c r="D6" s="101"/>
      <c r="E6" s="61"/>
      <c r="F6" s="20">
        <f>F4*E4/1000</f>
        <v>5400</v>
      </c>
      <c r="G6" s="91">
        <f>SUM(T3:T15)</f>
        <v>59633.299000000006</v>
      </c>
      <c r="H6" s="6" t="s">
        <v>21</v>
      </c>
      <c r="I6" s="3" t="s">
        <v>11</v>
      </c>
      <c r="J6" s="6" t="s">
        <v>181</v>
      </c>
      <c r="K6" s="3">
        <f>F4</f>
        <v>2000</v>
      </c>
      <c r="L6" s="3">
        <f>G4*2</f>
        <v>2</v>
      </c>
      <c r="N6" s="18">
        <f t="shared" si="2"/>
        <v>4</v>
      </c>
      <c r="O6" s="124" t="s">
        <v>158</v>
      </c>
      <c r="P6" s="125"/>
      <c r="Q6" s="125"/>
      <c r="R6" s="37">
        <f>K7*L7</f>
        <v>11652</v>
      </c>
      <c r="S6" s="32">
        <v>1.661</v>
      </c>
      <c r="T6" s="89">
        <f t="shared" si="0"/>
        <v>19353.972000000002</v>
      </c>
      <c r="U6" s="37">
        <v>128000</v>
      </c>
      <c r="V6" s="34">
        <f t="shared" si="1"/>
        <v>2477308.4160000002</v>
      </c>
      <c r="W6" s="120"/>
    </row>
    <row r="7" spans="2:24" ht="39.6" customHeight="1" x14ac:dyDescent="0.35">
      <c r="B7" s="100"/>
      <c r="D7" s="101"/>
      <c r="E7" s="2"/>
      <c r="F7" s="2"/>
      <c r="G7" s="2"/>
      <c r="H7" s="6" t="s">
        <v>22</v>
      </c>
      <c r="I7" s="3" t="s">
        <v>164</v>
      </c>
      <c r="J7" s="6" t="s">
        <v>178</v>
      </c>
      <c r="K7" s="20">
        <f>F4-58</f>
        <v>1942</v>
      </c>
      <c r="L7" s="3">
        <v>6</v>
      </c>
      <c r="N7" s="18">
        <f t="shared" si="2"/>
        <v>5</v>
      </c>
      <c r="O7" s="124" t="s">
        <v>145</v>
      </c>
      <c r="P7" s="125"/>
      <c r="Q7" s="125"/>
      <c r="R7" s="37">
        <f>K8*L8</f>
        <v>5577</v>
      </c>
      <c r="S7" s="32">
        <v>1.661</v>
      </c>
      <c r="T7" s="89">
        <f t="shared" si="0"/>
        <v>9263.3970000000008</v>
      </c>
      <c r="U7" s="37">
        <v>128000</v>
      </c>
      <c r="V7" s="34">
        <f t="shared" si="1"/>
        <v>1185714.8160000001</v>
      </c>
      <c r="W7" s="120"/>
    </row>
    <row r="8" spans="2:24" ht="39.6" customHeight="1" x14ac:dyDescent="0.35">
      <c r="B8" s="100"/>
      <c r="D8" s="101"/>
      <c r="E8" s="2"/>
      <c r="F8" s="2"/>
      <c r="G8" s="2"/>
      <c r="H8" s="6" t="s">
        <v>24</v>
      </c>
      <c r="I8" s="3" t="s">
        <v>37</v>
      </c>
      <c r="J8" s="6" t="s">
        <v>178</v>
      </c>
      <c r="K8" s="109">
        <f>(E4+88.5)/3</f>
        <v>929.5</v>
      </c>
      <c r="L8" s="3">
        <v>6</v>
      </c>
      <c r="N8" s="18">
        <f t="shared" si="2"/>
        <v>6</v>
      </c>
      <c r="O8" s="124" t="s">
        <v>159</v>
      </c>
      <c r="P8" s="125"/>
      <c r="Q8" s="125"/>
      <c r="R8" s="37">
        <f>R6+R7</f>
        <v>17229</v>
      </c>
      <c r="S8" s="32">
        <v>0.26700000000000002</v>
      </c>
      <c r="T8" s="89">
        <f t="shared" si="0"/>
        <v>4600.143</v>
      </c>
      <c r="U8" s="37">
        <v>128000</v>
      </c>
      <c r="V8" s="34">
        <f t="shared" si="1"/>
        <v>588818.304</v>
      </c>
      <c r="W8" s="120"/>
    </row>
    <row r="9" spans="2:24" ht="39.6" customHeight="1" x14ac:dyDescent="0.35">
      <c r="B9" s="100"/>
      <c r="D9" s="101"/>
      <c r="E9" s="3"/>
      <c r="F9" s="3"/>
      <c r="G9" s="3"/>
      <c r="H9" s="3"/>
      <c r="I9" s="150" t="s">
        <v>80</v>
      </c>
      <c r="J9" s="3" t="s">
        <v>6</v>
      </c>
      <c r="K9" s="3" t="s">
        <v>7</v>
      </c>
      <c r="L9" s="5" t="s">
        <v>2</v>
      </c>
      <c r="N9" s="18">
        <f t="shared" si="2"/>
        <v>7</v>
      </c>
      <c r="O9" s="124" t="s">
        <v>160</v>
      </c>
      <c r="P9" s="125"/>
      <c r="Q9" s="125"/>
      <c r="R9" s="37">
        <f>K5*2</f>
        <v>5254</v>
      </c>
      <c r="S9" s="32">
        <v>0.13500000000000001</v>
      </c>
      <c r="T9" s="89">
        <f t="shared" si="0"/>
        <v>709.29000000000008</v>
      </c>
      <c r="U9" s="37">
        <v>128000</v>
      </c>
      <c r="V9" s="34">
        <f t="shared" si="1"/>
        <v>90789.12000000001</v>
      </c>
      <c r="W9" s="120"/>
    </row>
    <row r="10" spans="2:24" ht="39.6" customHeight="1" x14ac:dyDescent="0.35">
      <c r="B10" s="102"/>
      <c r="C10" s="80"/>
      <c r="D10" s="103"/>
      <c r="E10" s="3"/>
      <c r="F10" s="3"/>
      <c r="G10" s="3"/>
      <c r="H10" s="3"/>
      <c r="I10" s="151"/>
      <c r="J10" s="15">
        <f>K8-145</f>
        <v>784.5</v>
      </c>
      <c r="K10" s="15">
        <f>K7-145</f>
        <v>1797</v>
      </c>
      <c r="L10" s="3">
        <v>3</v>
      </c>
      <c r="N10" s="18">
        <f t="shared" si="2"/>
        <v>8</v>
      </c>
      <c r="O10" s="124" t="s">
        <v>161</v>
      </c>
      <c r="P10" s="125"/>
      <c r="Q10" s="125"/>
      <c r="R10" s="37">
        <f>R3*2+R4*2+R6+R7+R13</f>
        <v>34535</v>
      </c>
      <c r="S10" s="32">
        <v>7.3999999999999996E-2</v>
      </c>
      <c r="T10" s="89">
        <f t="shared" si="0"/>
        <v>2555.5899999999997</v>
      </c>
      <c r="U10" s="37">
        <v>128000</v>
      </c>
      <c r="V10" s="34">
        <f t="shared" si="1"/>
        <v>327115.51999999996</v>
      </c>
      <c r="W10" s="120"/>
      <c r="X10" s="2"/>
    </row>
    <row r="11" spans="2:24" ht="39.6" customHeight="1" x14ac:dyDescent="0.35">
      <c r="N11" s="18">
        <f t="shared" si="2"/>
        <v>9</v>
      </c>
      <c r="O11" s="124" t="s">
        <v>95</v>
      </c>
      <c r="P11" s="125"/>
      <c r="Q11" s="125"/>
      <c r="R11" s="37">
        <f>K7*2</f>
        <v>3884</v>
      </c>
      <c r="S11" s="32">
        <v>0.52500000000000002</v>
      </c>
      <c r="T11" s="89">
        <f t="shared" si="0"/>
        <v>2039.1000000000001</v>
      </c>
      <c r="U11" s="37">
        <v>128000</v>
      </c>
      <c r="V11" s="34">
        <f t="shared" si="1"/>
        <v>261004.80000000002</v>
      </c>
      <c r="W11" s="120"/>
    </row>
    <row r="12" spans="2:24" ht="39.6" customHeight="1" x14ac:dyDescent="0.35">
      <c r="N12" s="18">
        <f t="shared" si="2"/>
        <v>10</v>
      </c>
      <c r="O12" s="124" t="s">
        <v>162</v>
      </c>
      <c r="P12" s="125"/>
      <c r="Q12" s="125"/>
      <c r="R12" s="37">
        <f>K5*2</f>
        <v>5254</v>
      </c>
      <c r="S12" s="32">
        <v>0.22500000000000001</v>
      </c>
      <c r="T12" s="89">
        <f t="shared" si="0"/>
        <v>1182.1500000000001</v>
      </c>
      <c r="U12" s="37">
        <v>128000</v>
      </c>
      <c r="V12" s="34">
        <f t="shared" si="1"/>
        <v>151315.20000000001</v>
      </c>
      <c r="W12" s="120"/>
    </row>
    <row r="13" spans="2:24" ht="39.6" customHeight="1" x14ac:dyDescent="0.35"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N13" s="18">
        <f t="shared" si="2"/>
        <v>11</v>
      </c>
      <c r="O13" s="124" t="s">
        <v>163</v>
      </c>
      <c r="P13" s="125"/>
      <c r="Q13" s="125"/>
      <c r="R13" s="37">
        <f>(K6-47)*2</f>
        <v>3906</v>
      </c>
      <c r="S13" s="32">
        <v>0.186</v>
      </c>
      <c r="T13" s="89">
        <f t="shared" si="0"/>
        <v>726.51599999999996</v>
      </c>
      <c r="U13" s="37">
        <v>128000</v>
      </c>
      <c r="V13" s="34">
        <f t="shared" si="1"/>
        <v>92994.047999999995</v>
      </c>
      <c r="W13" s="120"/>
    </row>
    <row r="14" spans="2:24" ht="39.6" customHeight="1" x14ac:dyDescent="0.35">
      <c r="B14" s="127"/>
      <c r="C14" s="127"/>
      <c r="D14" s="141"/>
      <c r="E14" s="141"/>
      <c r="F14" s="141"/>
      <c r="G14" s="141"/>
      <c r="H14" s="141"/>
      <c r="I14" s="141"/>
      <c r="J14" s="127"/>
      <c r="K14" s="127"/>
      <c r="N14" s="18"/>
      <c r="O14" s="124" t="s">
        <v>79</v>
      </c>
      <c r="P14" s="125"/>
      <c r="Q14" s="126"/>
      <c r="R14" s="37"/>
      <c r="S14" s="32"/>
      <c r="T14" s="81"/>
      <c r="U14" s="58">
        <v>0.05</v>
      </c>
      <c r="V14" s="37">
        <f>SUM(V3:V13)*U14</f>
        <v>381640.31360000005</v>
      </c>
      <c r="W14" s="113"/>
    </row>
    <row r="15" spans="2:24" ht="39.6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>N13+1</f>
        <v>12</v>
      </c>
      <c r="O15" s="124" t="s">
        <v>165</v>
      </c>
      <c r="P15" s="125"/>
      <c r="Q15" s="125"/>
      <c r="R15" s="37">
        <f>K7*L7</f>
        <v>11652</v>
      </c>
      <c r="S15" s="32"/>
      <c r="T15" s="89">
        <v>2</v>
      </c>
      <c r="U15" s="37">
        <v>8400</v>
      </c>
      <c r="V15" s="34">
        <f>U15*T15</f>
        <v>16800</v>
      </c>
      <c r="W15" s="83"/>
    </row>
    <row r="16" spans="2:24" ht="39.6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si="2"/>
        <v>13</v>
      </c>
      <c r="O16" s="124" t="s">
        <v>166</v>
      </c>
      <c r="P16" s="125"/>
      <c r="Q16" s="125"/>
      <c r="R16" s="32"/>
      <c r="S16" s="32"/>
      <c r="T16" s="36">
        <v>12</v>
      </c>
      <c r="U16" s="37">
        <v>11100</v>
      </c>
      <c r="V16" s="34">
        <f>U16*T16</f>
        <v>133200</v>
      </c>
      <c r="W16" s="18"/>
    </row>
    <row r="17" spans="2:23" ht="39.6" customHeight="1" x14ac:dyDescent="0.35">
      <c r="B17" s="127"/>
      <c r="C17" s="127"/>
      <c r="D17" s="127"/>
      <c r="E17" s="127"/>
      <c r="F17" s="127"/>
      <c r="G17" s="127"/>
      <c r="H17" s="141"/>
      <c r="I17" s="141"/>
      <c r="J17" s="127"/>
      <c r="K17" s="127"/>
      <c r="N17" s="18">
        <f t="shared" si="2"/>
        <v>14</v>
      </c>
      <c r="O17" s="124" t="s">
        <v>62</v>
      </c>
      <c r="P17" s="125"/>
      <c r="Q17" s="125"/>
      <c r="R17" s="32"/>
      <c r="S17" s="32"/>
      <c r="T17" s="35">
        <f>T15*2+T16*2</f>
        <v>28</v>
      </c>
      <c r="U17" s="37">
        <v>100</v>
      </c>
      <c r="V17" s="34">
        <f>U17*T17</f>
        <v>2800</v>
      </c>
      <c r="W17" s="18"/>
    </row>
    <row r="18" spans="2:23" ht="46.2" customHeight="1" x14ac:dyDescent="0.35">
      <c r="B18" s="127"/>
      <c r="C18" s="127"/>
      <c r="D18" s="141"/>
      <c r="E18" s="141"/>
      <c r="F18" s="141"/>
      <c r="G18" s="141"/>
      <c r="H18" s="141"/>
      <c r="I18" s="141"/>
      <c r="J18" s="127"/>
      <c r="K18" s="127"/>
      <c r="N18" s="18">
        <f t="shared" si="2"/>
        <v>15</v>
      </c>
      <c r="O18" s="138" t="s">
        <v>66</v>
      </c>
      <c r="P18" s="139"/>
      <c r="Q18" s="139"/>
      <c r="R18" s="139"/>
      <c r="S18" s="140"/>
      <c r="T18" s="38"/>
      <c r="U18" s="39"/>
      <c r="V18" s="40">
        <f>SUM(V3:V17)</f>
        <v>8167246.5856000008</v>
      </c>
      <c r="W18" s="18"/>
    </row>
    <row r="19" spans="2:23" ht="46.2" customHeight="1" x14ac:dyDescent="0.35">
      <c r="B19" s="127"/>
      <c r="C19" s="127"/>
      <c r="D19" s="127"/>
      <c r="E19" s="127"/>
      <c r="F19" s="127"/>
      <c r="G19" s="127"/>
      <c r="H19" s="141"/>
      <c r="I19" s="141"/>
      <c r="J19" s="127"/>
      <c r="K19" s="127"/>
      <c r="N19" s="27" t="s">
        <v>14</v>
      </c>
      <c r="O19" s="129" t="s">
        <v>52</v>
      </c>
      <c r="P19" s="129"/>
      <c r="Q19" s="129"/>
      <c r="R19" s="27" t="s">
        <v>53</v>
      </c>
      <c r="S19" s="33" t="s">
        <v>59</v>
      </c>
      <c r="T19" s="33"/>
      <c r="U19" s="27" t="s">
        <v>45</v>
      </c>
      <c r="V19" s="27" t="s">
        <v>46</v>
      </c>
      <c r="W19" s="29"/>
    </row>
    <row r="20" spans="2:23" ht="46.2" customHeight="1" x14ac:dyDescent="0.35">
      <c r="B20" s="127"/>
      <c r="C20" s="127"/>
      <c r="D20" s="127"/>
      <c r="E20" s="127"/>
      <c r="F20" s="127"/>
      <c r="G20" s="127"/>
      <c r="H20" s="148"/>
      <c r="I20" s="148"/>
      <c r="J20" s="127"/>
      <c r="K20" s="127"/>
      <c r="N20" s="18">
        <v>1</v>
      </c>
      <c r="O20" s="124" t="s">
        <v>96</v>
      </c>
      <c r="P20" s="125"/>
      <c r="Q20" s="125"/>
      <c r="R20" s="41">
        <f>R11</f>
        <v>3884</v>
      </c>
      <c r="S20" s="2">
        <v>1</v>
      </c>
      <c r="T20" s="28"/>
      <c r="U20" s="41">
        <v>1000</v>
      </c>
      <c r="V20" s="41">
        <f>U20*R20*S20/1000</f>
        <v>3884</v>
      </c>
      <c r="W20" s="29"/>
    </row>
    <row r="21" spans="2:23" ht="46.2" customHeight="1" x14ac:dyDescent="0.35">
      <c r="B21" s="127"/>
      <c r="C21" s="127"/>
      <c r="D21" s="127"/>
      <c r="E21" s="127"/>
      <c r="F21" s="127"/>
      <c r="G21" s="127"/>
      <c r="H21" s="141"/>
      <c r="I21" s="141"/>
      <c r="J21" s="127"/>
      <c r="K21" s="127"/>
      <c r="N21" s="18">
        <v>2</v>
      </c>
      <c r="O21" s="124" t="s">
        <v>113</v>
      </c>
      <c r="P21" s="125"/>
      <c r="Q21" s="125"/>
      <c r="R21" s="41">
        <f>(R6+R7+R11)*2</f>
        <v>42226</v>
      </c>
      <c r="S21" s="2">
        <v>1</v>
      </c>
      <c r="T21" s="28"/>
      <c r="U21" s="41">
        <v>1000</v>
      </c>
      <c r="V21" s="41">
        <f>U21*R21*S21/1000</f>
        <v>42226</v>
      </c>
      <c r="W21" s="29"/>
    </row>
    <row r="22" spans="2:23" ht="46.2" customHeight="1" x14ac:dyDescent="0.35">
      <c r="N22" s="18">
        <v>3</v>
      </c>
      <c r="O22" s="124" t="s">
        <v>69</v>
      </c>
      <c r="P22" s="125"/>
      <c r="Q22" s="126"/>
      <c r="R22" s="41"/>
      <c r="S22" s="61">
        <v>1</v>
      </c>
      <c r="T22" s="28"/>
      <c r="U22" s="41">
        <v>1000</v>
      </c>
      <c r="V22" s="41">
        <f t="shared" ref="V22:V23" si="3">U22*S22</f>
        <v>1000</v>
      </c>
      <c r="W22" s="2"/>
    </row>
    <row r="23" spans="2:23" ht="46.2" customHeight="1" x14ac:dyDescent="0.35">
      <c r="N23" s="18">
        <f t="shared" ref="N23:N25" si="4">N22+1</f>
        <v>4</v>
      </c>
      <c r="O23" s="124" t="s">
        <v>71</v>
      </c>
      <c r="P23" s="125"/>
      <c r="Q23" s="126"/>
      <c r="R23" s="41"/>
      <c r="S23" s="2">
        <v>1</v>
      </c>
      <c r="T23" s="28"/>
      <c r="U23" s="41">
        <v>2000</v>
      </c>
      <c r="V23" s="41">
        <f t="shared" si="3"/>
        <v>2000</v>
      </c>
      <c r="W23" s="2"/>
    </row>
    <row r="24" spans="2:23" ht="40.200000000000003" customHeight="1" x14ac:dyDescent="0.35">
      <c r="N24" s="18">
        <f t="shared" si="4"/>
        <v>5</v>
      </c>
      <c r="O24" s="144" t="s">
        <v>70</v>
      </c>
      <c r="P24" s="144"/>
      <c r="Q24" s="144"/>
      <c r="R24" s="144"/>
      <c r="S24" s="144"/>
      <c r="T24" s="38"/>
      <c r="U24" s="39"/>
      <c r="V24" s="40">
        <f>SUM(V20:V23)</f>
        <v>49110</v>
      </c>
      <c r="W24" s="2"/>
    </row>
    <row r="25" spans="2:23" ht="40.200000000000003" customHeight="1" x14ac:dyDescent="0.35">
      <c r="N25" s="115">
        <f t="shared" si="4"/>
        <v>6</v>
      </c>
      <c r="O25" s="145" t="s">
        <v>183</v>
      </c>
      <c r="P25" s="146"/>
      <c r="Q25" s="146"/>
      <c r="R25" s="146"/>
      <c r="S25" s="147"/>
      <c r="T25" s="116"/>
      <c r="U25" s="117"/>
      <c r="V25" s="118">
        <f>V18+V24</f>
        <v>8216356.5856000008</v>
      </c>
      <c r="W25" s="115"/>
    </row>
  </sheetData>
  <mergeCells count="68">
    <mergeCell ref="O3:Q3"/>
    <mergeCell ref="O4:Q4"/>
    <mergeCell ref="O5:Q5"/>
    <mergeCell ref="B1:L1"/>
    <mergeCell ref="N1:W1"/>
    <mergeCell ref="B2:F2"/>
    <mergeCell ref="I2:L2"/>
    <mergeCell ref="O2:Q2"/>
    <mergeCell ref="O14:Q14"/>
    <mergeCell ref="B15:C15"/>
    <mergeCell ref="O6:Q6"/>
    <mergeCell ref="O7:Q7"/>
    <mergeCell ref="O8:Q8"/>
    <mergeCell ref="I9:I10"/>
    <mergeCell ref="O9:Q9"/>
    <mergeCell ref="O10:Q10"/>
    <mergeCell ref="B14:C14"/>
    <mergeCell ref="D14:E14"/>
    <mergeCell ref="F14:G14"/>
    <mergeCell ref="H14:I14"/>
    <mergeCell ref="J14:K14"/>
    <mergeCell ref="O11:Q11"/>
    <mergeCell ref="O12:Q12"/>
    <mergeCell ref="B13:C13"/>
    <mergeCell ref="D13:E13"/>
    <mergeCell ref="F13:G13"/>
    <mergeCell ref="H13:I13"/>
    <mergeCell ref="J13:K13"/>
    <mergeCell ref="O13:Q13"/>
    <mergeCell ref="B16:C16"/>
    <mergeCell ref="D16:E16"/>
    <mergeCell ref="F16:G16"/>
    <mergeCell ref="H16:I16"/>
    <mergeCell ref="J16:K16"/>
    <mergeCell ref="O18:S18"/>
    <mergeCell ref="D15:E15"/>
    <mergeCell ref="F15:G15"/>
    <mergeCell ref="H15:I15"/>
    <mergeCell ref="J15:K15"/>
    <mergeCell ref="J17:K17"/>
    <mergeCell ref="O16:Q16"/>
    <mergeCell ref="O15:Q15"/>
    <mergeCell ref="B20:G20"/>
    <mergeCell ref="H20:I20"/>
    <mergeCell ref="J20:K20"/>
    <mergeCell ref="O20:Q20"/>
    <mergeCell ref="O17:Q17"/>
    <mergeCell ref="B17:G17"/>
    <mergeCell ref="H17:I17"/>
    <mergeCell ref="B19:G19"/>
    <mergeCell ref="H19:I19"/>
    <mergeCell ref="J19:K19"/>
    <mergeCell ref="O19:Q19"/>
    <mergeCell ref="B18:C18"/>
    <mergeCell ref="D18:E18"/>
    <mergeCell ref="F18:G18"/>
    <mergeCell ref="H18:I18"/>
    <mergeCell ref="J18:K18"/>
    <mergeCell ref="O25:S25"/>
    <mergeCell ref="O24:S24"/>
    <mergeCell ref="B21:C21"/>
    <mergeCell ref="D21:E21"/>
    <mergeCell ref="F21:G21"/>
    <mergeCell ref="H21:I21"/>
    <mergeCell ref="J21:K21"/>
    <mergeCell ref="O23:Q23"/>
    <mergeCell ref="O22:Q22"/>
    <mergeCell ref="O21:Q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X26"/>
  <sheetViews>
    <sheetView topLeftCell="A19" zoomScale="52" zoomScaleNormal="52" workbookViewId="0">
      <selection activeCell="G4" sqref="G4"/>
    </sheetView>
  </sheetViews>
  <sheetFormatPr defaultColWidth="17.21875" defaultRowHeight="19.2" x14ac:dyDescent="0.35"/>
  <cols>
    <col min="1" max="1" width="10.5546875" style="1" customWidth="1"/>
    <col min="2" max="9" width="17.21875" style="1"/>
    <col min="10" max="10" width="20.44140625" style="1" customWidth="1"/>
    <col min="11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28" t="s">
        <v>51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N1" s="128" t="s">
        <v>65</v>
      </c>
      <c r="O1" s="128"/>
      <c r="P1" s="128"/>
      <c r="Q1" s="128"/>
      <c r="R1" s="128"/>
      <c r="S1" s="128"/>
      <c r="T1" s="128"/>
      <c r="U1" s="128"/>
      <c r="V1" s="128"/>
      <c r="W1" s="128"/>
    </row>
    <row r="2" spans="2:24" ht="39.6" customHeight="1" x14ac:dyDescent="0.35">
      <c r="B2" s="152" t="s">
        <v>8</v>
      </c>
      <c r="C2" s="153"/>
      <c r="D2" s="153"/>
      <c r="E2" s="153"/>
      <c r="F2" s="154"/>
      <c r="G2" s="8" t="s">
        <v>36</v>
      </c>
      <c r="H2" s="7"/>
      <c r="I2" s="152" t="s">
        <v>9</v>
      </c>
      <c r="J2" s="153"/>
      <c r="K2" s="153"/>
      <c r="L2" s="153"/>
      <c r="N2" s="27" t="s">
        <v>14</v>
      </c>
      <c r="O2" s="129" t="s">
        <v>52</v>
      </c>
      <c r="P2" s="129"/>
      <c r="Q2" s="129"/>
      <c r="R2" s="27" t="s">
        <v>53</v>
      </c>
      <c r="S2" s="33" t="s">
        <v>63</v>
      </c>
      <c r="T2" s="33" t="s">
        <v>64</v>
      </c>
      <c r="U2" s="27" t="s">
        <v>45</v>
      </c>
      <c r="V2" s="27" t="s">
        <v>46</v>
      </c>
      <c r="W2" s="27" t="s">
        <v>39</v>
      </c>
    </row>
    <row r="3" spans="2:24" ht="39.6" customHeight="1" x14ac:dyDescent="0.35">
      <c r="B3" s="97"/>
      <c r="C3" s="98"/>
      <c r="D3" s="99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8">
        <v>1</v>
      </c>
      <c r="O3" s="124" t="s">
        <v>99</v>
      </c>
      <c r="P3" s="125"/>
      <c r="Q3" s="125"/>
      <c r="R3" s="37">
        <f>K6*L6</f>
        <v>5200</v>
      </c>
      <c r="S3" s="32">
        <v>1.7010000000000001</v>
      </c>
      <c r="T3" s="89">
        <f>S3*R3</f>
        <v>8845.2000000000007</v>
      </c>
      <c r="U3" s="37">
        <v>128000</v>
      </c>
      <c r="V3" s="34">
        <f>U3*T3/1000</f>
        <v>1132185.6000000001</v>
      </c>
      <c r="W3" s="119"/>
    </row>
    <row r="4" spans="2:24" ht="39.6" customHeight="1" x14ac:dyDescent="0.35">
      <c r="B4" s="100"/>
      <c r="D4" s="101"/>
      <c r="E4" s="3">
        <v>3160</v>
      </c>
      <c r="F4" s="3">
        <v>2600</v>
      </c>
      <c r="G4" s="3">
        <v>1</v>
      </c>
      <c r="H4" s="6" t="s">
        <v>19</v>
      </c>
      <c r="I4" s="3" t="s">
        <v>29</v>
      </c>
      <c r="J4" s="6" t="s">
        <v>177</v>
      </c>
      <c r="K4" s="3">
        <f>E4</f>
        <v>3160</v>
      </c>
      <c r="L4" s="3">
        <f>G4*1</f>
        <v>1</v>
      </c>
      <c r="N4" s="18">
        <f>N3+1</f>
        <v>2</v>
      </c>
      <c r="O4" s="124" t="s">
        <v>100</v>
      </c>
      <c r="P4" s="125"/>
      <c r="Q4" s="125"/>
      <c r="R4" s="37">
        <f>K4*L4</f>
        <v>3160</v>
      </c>
      <c r="S4" s="32">
        <v>1.7010000000000001</v>
      </c>
      <c r="T4" s="89">
        <f t="shared" ref="T4:T14" si="0">S4*R4</f>
        <v>5375.16</v>
      </c>
      <c r="U4" s="37">
        <v>128000</v>
      </c>
      <c r="V4" s="34">
        <f t="shared" ref="V4:V14" si="1">U4*T4/1000</f>
        <v>688020.47999999998</v>
      </c>
      <c r="W4" s="120"/>
    </row>
    <row r="5" spans="2:24" ht="39.6" customHeight="1" x14ac:dyDescent="0.35">
      <c r="B5" s="100"/>
      <c r="D5" s="101"/>
      <c r="E5" s="92"/>
      <c r="F5" s="45" t="s">
        <v>47</v>
      </c>
      <c r="G5" s="45" t="s">
        <v>120</v>
      </c>
      <c r="H5" s="6" t="s">
        <v>20</v>
      </c>
      <c r="I5" s="3" t="s">
        <v>30</v>
      </c>
      <c r="J5" s="6" t="s">
        <v>179</v>
      </c>
      <c r="K5" s="3">
        <f>E4-73</f>
        <v>3087</v>
      </c>
      <c r="L5" s="3">
        <f>G4*1</f>
        <v>1</v>
      </c>
      <c r="N5" s="18">
        <f t="shared" ref="N5:N18" si="2">N4+1</f>
        <v>3</v>
      </c>
      <c r="O5" s="124" t="s">
        <v>101</v>
      </c>
      <c r="P5" s="125"/>
      <c r="Q5" s="125"/>
      <c r="R5" s="37">
        <f>K5*L5</f>
        <v>3087</v>
      </c>
      <c r="S5" s="32">
        <v>0.82299999999999995</v>
      </c>
      <c r="T5" s="89">
        <f t="shared" si="0"/>
        <v>2540.6009999999997</v>
      </c>
      <c r="U5" s="37">
        <v>128000</v>
      </c>
      <c r="V5" s="34">
        <f t="shared" si="1"/>
        <v>325196.92799999996</v>
      </c>
      <c r="W5" s="120"/>
    </row>
    <row r="6" spans="2:24" ht="39.6" customHeight="1" x14ac:dyDescent="0.35">
      <c r="B6" s="100"/>
      <c r="D6" s="101"/>
      <c r="E6" s="61"/>
      <c r="F6" s="20">
        <f>F4*E4/1000</f>
        <v>8216</v>
      </c>
      <c r="G6" s="91">
        <f>SUM(T3:T16)</f>
        <v>70702.552999999985</v>
      </c>
      <c r="H6" s="6" t="s">
        <v>21</v>
      </c>
      <c r="I6" s="3" t="s">
        <v>11</v>
      </c>
      <c r="J6" s="6" t="s">
        <v>177</v>
      </c>
      <c r="K6" s="3">
        <f>F4</f>
        <v>2600</v>
      </c>
      <c r="L6" s="3">
        <f>G4*2</f>
        <v>2</v>
      </c>
      <c r="N6" s="18">
        <f t="shared" si="2"/>
        <v>4</v>
      </c>
      <c r="O6" s="124" t="s">
        <v>158</v>
      </c>
      <c r="P6" s="125"/>
      <c r="Q6" s="125"/>
      <c r="R6" s="37">
        <f>K7*L7</f>
        <v>20336</v>
      </c>
      <c r="S6" s="32">
        <v>1.661</v>
      </c>
      <c r="T6" s="89">
        <f t="shared" si="0"/>
        <v>33778.095999999998</v>
      </c>
      <c r="U6" s="37">
        <v>128000</v>
      </c>
      <c r="V6" s="34">
        <f t="shared" si="1"/>
        <v>4323596.2879999997</v>
      </c>
      <c r="W6" s="120"/>
    </row>
    <row r="7" spans="2:24" ht="39.6" customHeight="1" x14ac:dyDescent="0.35">
      <c r="B7" s="100"/>
      <c r="D7" s="101"/>
      <c r="E7" s="2"/>
      <c r="F7" s="2"/>
      <c r="G7" s="2"/>
      <c r="H7" s="6" t="s">
        <v>22</v>
      </c>
      <c r="I7" s="3" t="s">
        <v>164</v>
      </c>
      <c r="J7" s="6" t="s">
        <v>178</v>
      </c>
      <c r="K7" s="3">
        <f>F4-58</f>
        <v>2542</v>
      </c>
      <c r="L7" s="3">
        <v>8</v>
      </c>
      <c r="N7" s="18">
        <f t="shared" si="2"/>
        <v>5</v>
      </c>
      <c r="O7" s="124" t="s">
        <v>145</v>
      </c>
      <c r="P7" s="125"/>
      <c r="Q7" s="125"/>
      <c r="R7" s="37">
        <f>K9*L9</f>
        <v>2542</v>
      </c>
      <c r="S7" s="32">
        <v>1.661</v>
      </c>
      <c r="T7" s="89">
        <f t="shared" si="0"/>
        <v>4222.2619999999997</v>
      </c>
      <c r="U7" s="37">
        <v>128000</v>
      </c>
      <c r="V7" s="34">
        <f t="shared" si="1"/>
        <v>540449.53599999996</v>
      </c>
      <c r="W7" s="120"/>
    </row>
    <row r="8" spans="2:24" ht="39.6" customHeight="1" x14ac:dyDescent="0.35">
      <c r="B8" s="100"/>
      <c r="D8" s="101"/>
      <c r="E8" s="2"/>
      <c r="F8" s="2"/>
      <c r="G8" s="2"/>
      <c r="H8" s="6" t="s">
        <v>22</v>
      </c>
      <c r="I8" s="3" t="s">
        <v>37</v>
      </c>
      <c r="J8" s="6" t="s">
        <v>178</v>
      </c>
      <c r="K8" s="109">
        <f>(E4+85)/4</f>
        <v>811.25</v>
      </c>
      <c r="L8" s="3">
        <v>8</v>
      </c>
      <c r="N8" s="18">
        <f t="shared" si="2"/>
        <v>6</v>
      </c>
      <c r="O8" s="124" t="s">
        <v>159</v>
      </c>
      <c r="P8" s="125"/>
      <c r="Q8" s="125"/>
      <c r="R8" s="37">
        <f>R6+R7</f>
        <v>22878</v>
      </c>
      <c r="S8" s="32">
        <v>0.26700000000000002</v>
      </c>
      <c r="T8" s="89">
        <f t="shared" si="0"/>
        <v>6108.4260000000004</v>
      </c>
      <c r="U8" s="37">
        <v>128000</v>
      </c>
      <c r="V8" s="34">
        <f t="shared" si="1"/>
        <v>781878.52800000005</v>
      </c>
      <c r="W8" s="120"/>
    </row>
    <row r="9" spans="2:24" ht="39.6" customHeight="1" x14ac:dyDescent="0.35">
      <c r="B9" s="100"/>
      <c r="D9" s="101"/>
      <c r="E9" s="2"/>
      <c r="F9" s="2"/>
      <c r="G9" s="2"/>
      <c r="H9" s="6" t="s">
        <v>24</v>
      </c>
      <c r="I9" s="3" t="s">
        <v>98</v>
      </c>
      <c r="J9" s="6" t="s">
        <v>180</v>
      </c>
      <c r="K9" s="3">
        <f>K7</f>
        <v>2542</v>
      </c>
      <c r="L9" s="3">
        <v>1</v>
      </c>
      <c r="N9" s="18">
        <f t="shared" si="2"/>
        <v>7</v>
      </c>
      <c r="O9" s="124" t="s">
        <v>160</v>
      </c>
      <c r="P9" s="125"/>
      <c r="Q9" s="125"/>
      <c r="R9" s="37">
        <f>K5*2</f>
        <v>6174</v>
      </c>
      <c r="S9" s="32">
        <v>0.13500000000000001</v>
      </c>
      <c r="T9" s="89">
        <f t="shared" si="0"/>
        <v>833.49</v>
      </c>
      <c r="U9" s="37">
        <v>128000</v>
      </c>
      <c r="V9" s="34">
        <f t="shared" si="1"/>
        <v>106686.72</v>
      </c>
      <c r="W9" s="120"/>
    </row>
    <row r="10" spans="2:24" ht="39.6" customHeight="1" x14ac:dyDescent="0.35">
      <c r="B10" s="100"/>
      <c r="D10" s="101"/>
      <c r="E10" s="3"/>
      <c r="F10" s="3"/>
      <c r="G10" s="3"/>
      <c r="H10" s="3"/>
      <c r="I10" s="150" t="s">
        <v>80</v>
      </c>
      <c r="J10" s="3" t="s">
        <v>6</v>
      </c>
      <c r="K10" s="3" t="s">
        <v>7</v>
      </c>
      <c r="L10" s="5" t="s">
        <v>2</v>
      </c>
      <c r="N10" s="18">
        <f t="shared" si="2"/>
        <v>8</v>
      </c>
      <c r="O10" s="124" t="s">
        <v>161</v>
      </c>
      <c r="P10" s="125"/>
      <c r="Q10" s="125"/>
      <c r="R10" s="37">
        <f>R3*2+R4*2+R6+R7+R13</f>
        <v>44704</v>
      </c>
      <c r="S10" s="32">
        <v>7.3999999999999996E-2</v>
      </c>
      <c r="T10" s="89">
        <f t="shared" si="0"/>
        <v>3308.096</v>
      </c>
      <c r="U10" s="37">
        <v>128000</v>
      </c>
      <c r="V10" s="34">
        <f t="shared" si="1"/>
        <v>423436.288</v>
      </c>
      <c r="W10" s="120"/>
      <c r="X10" s="2"/>
    </row>
    <row r="11" spans="2:24" ht="39.6" customHeight="1" x14ac:dyDescent="0.35">
      <c r="B11" s="102"/>
      <c r="C11" s="80"/>
      <c r="D11" s="103"/>
      <c r="E11" s="3"/>
      <c r="F11" s="3"/>
      <c r="G11" s="3"/>
      <c r="H11" s="3"/>
      <c r="I11" s="151"/>
      <c r="J11" s="15">
        <f>K8-145</f>
        <v>666.25</v>
      </c>
      <c r="K11" s="15">
        <f>K7-145</f>
        <v>2397</v>
      </c>
      <c r="L11" s="3">
        <v>4</v>
      </c>
      <c r="N11" s="18">
        <f t="shared" si="2"/>
        <v>9</v>
      </c>
      <c r="O11" s="124" t="s">
        <v>95</v>
      </c>
      <c r="P11" s="125"/>
      <c r="Q11" s="125"/>
      <c r="R11" s="37">
        <f>K7*2</f>
        <v>5084</v>
      </c>
      <c r="S11" s="32">
        <v>0.52500000000000002</v>
      </c>
      <c r="T11" s="89">
        <f t="shared" si="0"/>
        <v>2669.1</v>
      </c>
      <c r="U11" s="37">
        <v>128000</v>
      </c>
      <c r="V11" s="34">
        <f t="shared" si="1"/>
        <v>341644.79999999999</v>
      </c>
      <c r="W11" s="120"/>
    </row>
    <row r="12" spans="2:24" ht="39.6" customHeight="1" x14ac:dyDescent="0.35">
      <c r="N12" s="18">
        <f t="shared" si="2"/>
        <v>10</v>
      </c>
      <c r="O12" s="124" t="s">
        <v>162</v>
      </c>
      <c r="P12" s="125"/>
      <c r="Q12" s="125"/>
      <c r="R12" s="37">
        <f>K5*2</f>
        <v>6174</v>
      </c>
      <c r="S12" s="32">
        <v>0.22500000000000001</v>
      </c>
      <c r="T12" s="89">
        <f t="shared" si="0"/>
        <v>1389.15</v>
      </c>
      <c r="U12" s="37">
        <v>128000</v>
      </c>
      <c r="V12" s="34">
        <f t="shared" si="1"/>
        <v>177811.20000000001</v>
      </c>
      <c r="W12" s="120"/>
    </row>
    <row r="13" spans="2:24" ht="39.6" customHeight="1" x14ac:dyDescent="0.35">
      <c r="N13" s="18">
        <f t="shared" si="2"/>
        <v>11</v>
      </c>
      <c r="O13" s="124" t="s">
        <v>163</v>
      </c>
      <c r="P13" s="125"/>
      <c r="Q13" s="125"/>
      <c r="R13" s="37">
        <f>(K6-47)*2</f>
        <v>5106</v>
      </c>
      <c r="S13" s="32">
        <v>0.186</v>
      </c>
      <c r="T13" s="89">
        <f t="shared" si="0"/>
        <v>949.71600000000001</v>
      </c>
      <c r="U13" s="37">
        <v>128000</v>
      </c>
      <c r="V13" s="34">
        <f t="shared" si="1"/>
        <v>121563.648</v>
      </c>
      <c r="W13" s="120"/>
    </row>
    <row r="14" spans="2:24" ht="39.6" customHeight="1" x14ac:dyDescent="0.35"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N14" s="18">
        <f t="shared" si="2"/>
        <v>12</v>
      </c>
      <c r="O14" s="124" t="s">
        <v>98</v>
      </c>
      <c r="P14" s="125"/>
      <c r="Q14" s="125"/>
      <c r="R14" s="37">
        <f>K9*L9</f>
        <v>2542</v>
      </c>
      <c r="S14" s="32">
        <v>0.26800000000000002</v>
      </c>
      <c r="T14" s="89">
        <f t="shared" si="0"/>
        <v>681.25600000000009</v>
      </c>
      <c r="U14" s="37">
        <v>128000</v>
      </c>
      <c r="V14" s="34">
        <f t="shared" si="1"/>
        <v>87200.768000000011</v>
      </c>
      <c r="W14" s="120"/>
    </row>
    <row r="15" spans="2:24" ht="39.6" customHeight="1" x14ac:dyDescent="0.35">
      <c r="B15" s="127"/>
      <c r="C15" s="127"/>
      <c r="D15" s="141"/>
      <c r="E15" s="141"/>
      <c r="F15" s="141"/>
      <c r="G15" s="141"/>
      <c r="H15" s="141"/>
      <c r="I15" s="141"/>
      <c r="J15" s="127"/>
      <c r="K15" s="127"/>
      <c r="N15" s="18">
        <f t="shared" si="2"/>
        <v>13</v>
      </c>
      <c r="O15" s="124" t="s">
        <v>79</v>
      </c>
      <c r="P15" s="125"/>
      <c r="Q15" s="126"/>
      <c r="R15" s="37"/>
      <c r="S15" s="32"/>
      <c r="T15" s="81"/>
      <c r="U15" s="58">
        <v>0.05</v>
      </c>
      <c r="V15" s="37">
        <f>SUM(V3:V14)*U15</f>
        <v>452483.53919999994</v>
      </c>
      <c r="W15" s="113"/>
    </row>
    <row r="16" spans="2:24" ht="39.6" customHeight="1" x14ac:dyDescent="0.35">
      <c r="B16" s="127"/>
      <c r="C16" s="127"/>
      <c r="D16" s="141"/>
      <c r="E16" s="141"/>
      <c r="F16" s="141"/>
      <c r="G16" s="141"/>
      <c r="H16" s="141"/>
      <c r="I16" s="141"/>
      <c r="J16" s="127"/>
      <c r="K16" s="127"/>
      <c r="N16" s="18">
        <f t="shared" si="2"/>
        <v>14</v>
      </c>
      <c r="O16" s="124" t="s">
        <v>165</v>
      </c>
      <c r="P16" s="125"/>
      <c r="Q16" s="125"/>
      <c r="R16" s="37">
        <f>K7*L7</f>
        <v>20336</v>
      </c>
      <c r="S16" s="32"/>
      <c r="T16" s="89">
        <v>2</v>
      </c>
      <c r="U16" s="37">
        <v>8400</v>
      </c>
      <c r="V16" s="34">
        <f>U16*T16</f>
        <v>16800</v>
      </c>
      <c r="W16" s="83"/>
    </row>
    <row r="17" spans="2:23" ht="39.6" customHeight="1" x14ac:dyDescent="0.35">
      <c r="B17" s="127"/>
      <c r="C17" s="127"/>
      <c r="D17" s="141"/>
      <c r="E17" s="141"/>
      <c r="F17" s="141"/>
      <c r="G17" s="141"/>
      <c r="H17" s="141"/>
      <c r="I17" s="141"/>
      <c r="J17" s="127"/>
      <c r="K17" s="127"/>
      <c r="N17" s="18">
        <f t="shared" si="2"/>
        <v>15</v>
      </c>
      <c r="O17" s="124" t="s">
        <v>166</v>
      </c>
      <c r="P17" s="125"/>
      <c r="Q17" s="125"/>
      <c r="R17" s="32"/>
      <c r="S17" s="32"/>
      <c r="T17" s="36">
        <v>16</v>
      </c>
      <c r="U17" s="37">
        <v>11100</v>
      </c>
      <c r="V17" s="34">
        <f>U17*T17</f>
        <v>177600</v>
      </c>
      <c r="W17" s="18"/>
    </row>
    <row r="18" spans="2:23" ht="39.6" customHeight="1" x14ac:dyDescent="0.35">
      <c r="B18" s="127"/>
      <c r="C18" s="127"/>
      <c r="D18" s="127"/>
      <c r="E18" s="127"/>
      <c r="F18" s="127"/>
      <c r="G18" s="127"/>
      <c r="H18" s="141"/>
      <c r="I18" s="141"/>
      <c r="J18" s="127"/>
      <c r="K18" s="127"/>
      <c r="N18" s="18">
        <f t="shared" si="2"/>
        <v>16</v>
      </c>
      <c r="O18" s="138" t="s">
        <v>66</v>
      </c>
      <c r="P18" s="139"/>
      <c r="Q18" s="139"/>
      <c r="R18" s="139"/>
      <c r="S18" s="140"/>
      <c r="T18" s="38"/>
      <c r="U18" s="39"/>
      <c r="V18" s="40">
        <f>SUM(V3:V17)</f>
        <v>9696554.3231999986</v>
      </c>
      <c r="W18" s="18"/>
    </row>
    <row r="19" spans="2:23" ht="39.6" customHeight="1" x14ac:dyDescent="0.35">
      <c r="B19" s="127"/>
      <c r="C19" s="127"/>
      <c r="D19" s="141"/>
      <c r="E19" s="141"/>
      <c r="F19" s="141"/>
      <c r="G19" s="141"/>
      <c r="H19" s="141"/>
      <c r="I19" s="141"/>
      <c r="J19" s="127"/>
      <c r="K19" s="127"/>
      <c r="N19" s="27" t="s">
        <v>14</v>
      </c>
      <c r="O19" s="129" t="s">
        <v>52</v>
      </c>
      <c r="P19" s="129"/>
      <c r="Q19" s="129"/>
      <c r="R19" s="27" t="s">
        <v>53</v>
      </c>
      <c r="S19" s="33" t="s">
        <v>59</v>
      </c>
      <c r="T19" s="33"/>
      <c r="U19" s="27" t="s">
        <v>45</v>
      </c>
      <c r="V19" s="27" t="s">
        <v>46</v>
      </c>
      <c r="W19" s="29"/>
    </row>
    <row r="20" spans="2:23" ht="39.6" customHeight="1" x14ac:dyDescent="0.35">
      <c r="B20" s="127"/>
      <c r="C20" s="127"/>
      <c r="D20" s="127"/>
      <c r="E20" s="127"/>
      <c r="F20" s="127"/>
      <c r="G20" s="127"/>
      <c r="H20" s="141"/>
      <c r="I20" s="141"/>
      <c r="J20" s="127"/>
      <c r="K20" s="127"/>
      <c r="N20" s="18">
        <v>1</v>
      </c>
      <c r="O20" s="124" t="s">
        <v>96</v>
      </c>
      <c r="P20" s="125"/>
      <c r="Q20" s="125"/>
      <c r="R20" s="41">
        <f>R11</f>
        <v>5084</v>
      </c>
      <c r="S20" s="2">
        <v>1</v>
      </c>
      <c r="T20" s="28"/>
      <c r="U20" s="41">
        <v>1000</v>
      </c>
      <c r="V20" s="41">
        <f>U20*R20*S20/1000</f>
        <v>5084</v>
      </c>
      <c r="W20" s="29"/>
    </row>
    <row r="21" spans="2:23" ht="39.6" customHeight="1" x14ac:dyDescent="0.35">
      <c r="B21" s="127"/>
      <c r="C21" s="127"/>
      <c r="D21" s="127"/>
      <c r="E21" s="127"/>
      <c r="F21" s="127"/>
      <c r="G21" s="127"/>
      <c r="H21" s="148"/>
      <c r="I21" s="148"/>
      <c r="J21" s="127"/>
      <c r="K21" s="127"/>
      <c r="N21" s="18">
        <v>2</v>
      </c>
      <c r="O21" s="124" t="s">
        <v>113</v>
      </c>
      <c r="P21" s="125"/>
      <c r="Q21" s="125"/>
      <c r="R21" s="41">
        <f>(R6+R7+R11)*2</f>
        <v>55924</v>
      </c>
      <c r="S21" s="2">
        <v>1</v>
      </c>
      <c r="T21" s="28"/>
      <c r="U21" s="41">
        <v>1000</v>
      </c>
      <c r="V21" s="41">
        <f>U21*R21*S21/1000</f>
        <v>55924</v>
      </c>
      <c r="W21" s="29"/>
    </row>
    <row r="22" spans="2:23" ht="39.6" customHeight="1" x14ac:dyDescent="0.35">
      <c r="B22" s="127"/>
      <c r="C22" s="127"/>
      <c r="D22" s="127"/>
      <c r="E22" s="127"/>
      <c r="F22" s="127"/>
      <c r="G22" s="127"/>
      <c r="H22" s="141"/>
      <c r="I22" s="141"/>
      <c r="J22" s="127"/>
      <c r="K22" s="127"/>
      <c r="N22" s="18">
        <v>3</v>
      </c>
      <c r="O22" s="124" t="s">
        <v>69</v>
      </c>
      <c r="P22" s="125"/>
      <c r="Q22" s="126"/>
      <c r="R22" s="41"/>
      <c r="S22" s="61">
        <v>1</v>
      </c>
      <c r="T22" s="28"/>
      <c r="U22" s="41">
        <v>1000</v>
      </c>
      <c r="V22" s="41">
        <f t="shared" ref="V22:V23" si="3">U22*S22</f>
        <v>1000</v>
      </c>
      <c r="W22" s="2"/>
    </row>
    <row r="23" spans="2:23" ht="39.6" customHeight="1" x14ac:dyDescent="0.35">
      <c r="N23" s="18">
        <f t="shared" ref="N23:N25" si="4">N22+1</f>
        <v>4</v>
      </c>
      <c r="O23" s="124" t="s">
        <v>71</v>
      </c>
      <c r="P23" s="125"/>
      <c r="Q23" s="126"/>
      <c r="R23" s="41"/>
      <c r="S23" s="2">
        <v>1</v>
      </c>
      <c r="T23" s="28"/>
      <c r="U23" s="41">
        <v>2000</v>
      </c>
      <c r="V23" s="41">
        <f t="shared" si="3"/>
        <v>2000</v>
      </c>
      <c r="W23" s="2"/>
    </row>
    <row r="24" spans="2:23" ht="39.6" customHeight="1" x14ac:dyDescent="0.35">
      <c r="N24" s="18">
        <f t="shared" si="4"/>
        <v>5</v>
      </c>
      <c r="O24" s="144" t="s">
        <v>70</v>
      </c>
      <c r="P24" s="144"/>
      <c r="Q24" s="144"/>
      <c r="R24" s="144"/>
      <c r="S24" s="144"/>
      <c r="T24" s="38"/>
      <c r="U24" s="39"/>
      <c r="V24" s="40">
        <f>SUM(V20:V23)</f>
        <v>64008</v>
      </c>
      <c r="W24" s="2"/>
    </row>
    <row r="25" spans="2:23" ht="39.6" customHeight="1" x14ac:dyDescent="0.35">
      <c r="N25" s="115">
        <f t="shared" si="4"/>
        <v>6</v>
      </c>
      <c r="O25" s="145" t="s">
        <v>183</v>
      </c>
      <c r="P25" s="146"/>
      <c r="Q25" s="146"/>
      <c r="R25" s="146"/>
      <c r="S25" s="147"/>
      <c r="T25" s="116"/>
      <c r="U25" s="117"/>
      <c r="V25" s="118">
        <f>V18+V24</f>
        <v>9760562.3231999986</v>
      </c>
      <c r="W25" s="115"/>
    </row>
    <row r="26" spans="2:23" ht="39.6" customHeight="1" x14ac:dyDescent="0.35"/>
  </sheetData>
  <mergeCells count="68">
    <mergeCell ref="O3:Q3"/>
    <mergeCell ref="O4:Q4"/>
    <mergeCell ref="O5:Q5"/>
    <mergeCell ref="B1:L1"/>
    <mergeCell ref="N1:W1"/>
    <mergeCell ref="B2:F2"/>
    <mergeCell ref="I2:L2"/>
    <mergeCell ref="O2:Q2"/>
    <mergeCell ref="O6:Q6"/>
    <mergeCell ref="O7:Q7"/>
    <mergeCell ref="O8:Q8"/>
    <mergeCell ref="I10:I11"/>
    <mergeCell ref="O9:Q9"/>
    <mergeCell ref="O10:Q10"/>
    <mergeCell ref="O16:Q16"/>
    <mergeCell ref="O11:Q11"/>
    <mergeCell ref="O12:Q12"/>
    <mergeCell ref="B14:C14"/>
    <mergeCell ref="D14:E14"/>
    <mergeCell ref="F14:G14"/>
    <mergeCell ref="H14:I14"/>
    <mergeCell ref="J14:K14"/>
    <mergeCell ref="O13:Q13"/>
    <mergeCell ref="B15:C15"/>
    <mergeCell ref="D15:E15"/>
    <mergeCell ref="F15:G15"/>
    <mergeCell ref="H15:I15"/>
    <mergeCell ref="J15:K15"/>
    <mergeCell ref="O15:Q15"/>
    <mergeCell ref="B16:C16"/>
    <mergeCell ref="O17:Q17"/>
    <mergeCell ref="B17:C17"/>
    <mergeCell ref="D17:E17"/>
    <mergeCell ref="F17:G17"/>
    <mergeCell ref="H17:I17"/>
    <mergeCell ref="J17:K17"/>
    <mergeCell ref="D16:E16"/>
    <mergeCell ref="F16:G16"/>
    <mergeCell ref="H16:I16"/>
    <mergeCell ref="J16:K16"/>
    <mergeCell ref="O22:Q22"/>
    <mergeCell ref="B18:G18"/>
    <mergeCell ref="H18:I18"/>
    <mergeCell ref="J18:K18"/>
    <mergeCell ref="O19:Q19"/>
    <mergeCell ref="B19:C19"/>
    <mergeCell ref="D19:E19"/>
    <mergeCell ref="F19:G19"/>
    <mergeCell ref="H19:I19"/>
    <mergeCell ref="J19:K19"/>
    <mergeCell ref="O20:Q20"/>
    <mergeCell ref="O18:S18"/>
    <mergeCell ref="O25:S25"/>
    <mergeCell ref="O24:S24"/>
    <mergeCell ref="O14:Q14"/>
    <mergeCell ref="B22:C22"/>
    <mergeCell ref="D22:E22"/>
    <mergeCell ref="F22:G22"/>
    <mergeCell ref="H22:I22"/>
    <mergeCell ref="J22:K22"/>
    <mergeCell ref="O23:Q23"/>
    <mergeCell ref="B20:G20"/>
    <mergeCell ref="H20:I20"/>
    <mergeCell ref="J20:K20"/>
    <mergeCell ref="O21:Q21"/>
    <mergeCell ref="B21:G21"/>
    <mergeCell ref="H21:I21"/>
    <mergeCell ref="J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7</vt:i4>
      </vt:variant>
    </vt:vector>
  </HeadingPairs>
  <TitlesOfParts>
    <vt:vector size="35" baseType="lpstr">
      <vt:lpstr>CỬA ĐI 4 CÁNH 55</vt:lpstr>
      <vt:lpstr>CỬA ĐI 1 CÁNH 55</vt:lpstr>
      <vt:lpstr>CỬA ĐI 2 CÁNH 55</vt:lpstr>
      <vt:lpstr>CỬA SỔ 1 CÁNH 55</vt:lpstr>
      <vt:lpstr>CỬA SỔ 2 CÁNH 55</vt:lpstr>
      <vt:lpstr>CỬA SỔ 3 CÁNH 55 - Đố tĩnh</vt:lpstr>
      <vt:lpstr>CỬA SỔ 4 CÁNH 55 - đố động</vt:lpstr>
      <vt:lpstr>CỬA SỔ 4 CÁNH 55 - đố tĩnh</vt:lpstr>
      <vt:lpstr>CỬA LÙA SỔ 2 CÁNH 55</vt:lpstr>
      <vt:lpstr>CỬA LÙA SỔ 4 CÁNH 55</vt:lpstr>
      <vt:lpstr>CỬA LÙA 2 CÁNH 93</vt:lpstr>
      <vt:lpstr>CỬA LÙA 3 CÁNH 93</vt:lpstr>
      <vt:lpstr>CỬA LÙA 4 CÁNH 93</vt:lpstr>
      <vt:lpstr>XẾP TRƯỢT 63 4 CÁNH</vt:lpstr>
      <vt:lpstr>FIX 55 </vt:lpstr>
      <vt:lpstr>KHUNG LÁ SÁCH</vt:lpstr>
      <vt:lpstr>THUỶ LỰC 1 - 2 CÁNH</vt:lpstr>
      <vt:lpstr>CỬA ĐI 1 CÁNH 56</vt:lpstr>
      <vt:lpstr>CỬA ĐI 2 CÁNH 56</vt:lpstr>
      <vt:lpstr>CỬA ĐI 4 CÁNH 56</vt:lpstr>
      <vt:lpstr>CỬA SỔ 1 CÁNH 56</vt:lpstr>
      <vt:lpstr>CỬA SỔ 2 CÁNH 56</vt:lpstr>
      <vt:lpstr>CỬA SỔ 3 CÁNH 56 - ĐỐ TĨNH</vt:lpstr>
      <vt:lpstr>CỬA SỔ 4 CÁNH 56</vt:lpstr>
      <vt:lpstr>FIX 56</vt:lpstr>
      <vt:lpstr>CỬA LÙA 100F 2 CÁNH</vt:lpstr>
      <vt:lpstr>CỬA LÙA 100F 3 CÁNH</vt:lpstr>
      <vt:lpstr>CỬA LÙA 100F 4 CÁNH</vt:lpstr>
      <vt:lpstr>'CỬA ĐI 1 CÁNH 55'!Print_Area</vt:lpstr>
      <vt:lpstr>'CỬA ĐI 4 CÁNH 55'!Print_Area</vt:lpstr>
      <vt:lpstr>'CỬA LÙA 2 CÁNH 93'!Print_Area</vt:lpstr>
      <vt:lpstr>'CỬA LÙA 3 CÁNH 93'!Print_Area</vt:lpstr>
      <vt:lpstr>'CỬA SỔ 1 CÁNH 55'!Print_Area</vt:lpstr>
      <vt:lpstr>'CỬA SỔ 2 CÁNH 55'!Print_Area</vt:lpstr>
      <vt:lpstr>'XẾP TRƯỢT 63 4 CÁNH'!Print_Area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 Phan Danh</dc:creator>
  <cp:lastModifiedBy>Hoang Quan</cp:lastModifiedBy>
  <cp:lastPrinted>2023-07-31T09:53:46Z</cp:lastPrinted>
  <dcterms:created xsi:type="dcterms:W3CDTF">2019-06-07T03:53:21Z</dcterms:created>
  <dcterms:modified xsi:type="dcterms:W3CDTF">2025-06-18T02:05:11Z</dcterms:modified>
</cp:coreProperties>
</file>
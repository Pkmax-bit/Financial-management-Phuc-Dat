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ao\OneDrive\Desktop\"/>
    </mc:Choice>
  </mc:AlternateContent>
  <xr:revisionPtr revIDLastSave="0" documentId="13_ncr:1_{822465B7-6220-48BA-BF81-F83318965D83}" xr6:coauthVersionLast="47" xr6:coauthVersionMax="47" xr10:uidLastSave="{00000000-0000-0000-0000-000000000000}"/>
  <bookViews>
    <workbookView minimized="1" xWindow="1848" yWindow="1392" windowWidth="22584" windowHeight="12240" xr2:uid="{00000000-000D-0000-FFFF-FFFF00000000}"/>
  </bookViews>
  <sheets>
    <sheet name="ĐI QUAY 1 CÁNH" sheetId="8" r:id="rId1"/>
    <sheet name="ĐI QUAY 2 CÁNH" sheetId="20" r:id="rId2"/>
    <sheet name="ĐI QUAY 4 CÁNH" sheetId="10" r:id="rId3"/>
    <sheet name="SỔ QUAY 1CÁNH" sheetId="13" r:id="rId4"/>
    <sheet name="Sổ QUAY 2 CÁNH" sheetId="14" r:id="rId5"/>
    <sheet name="Sổ QUAY 3 CÁNH -Đố tĩnh" sheetId="33" r:id="rId6"/>
    <sheet name="Sổ QUAY 4 CÁNH đố động" sheetId="22" r:id="rId7"/>
    <sheet name="Sổ QUAY 4 CÁNH đố tĩnh" sheetId="23" r:id="rId8"/>
    <sheet name="Sổ lùA 2 CÁNH" sheetId="17" r:id="rId9"/>
    <sheet name="Sổ lùa 4 CÁNH" sheetId="18" r:id="rId10"/>
    <sheet name=" lùa 93 2 CÁNH" sheetId="24" r:id="rId11"/>
    <sheet name="Lùa 93 3 CÁNH" sheetId="29" r:id="rId12"/>
    <sheet name="Lùa 93 4 CÁNH" sheetId="28" r:id="rId13"/>
    <sheet name="XẾP TRƯỢT 63 4 CÁNH" sheetId="35" r:id="rId14"/>
    <sheet name="Ô FIX KHÔNG ĐỐ" sheetId="40" r:id="rId15"/>
    <sheet name="KHUNG LÁ SÁCH" sheetId="41" r:id="rId16"/>
    <sheet name="LÙA 1 CÁNH" sheetId="43" r:id="rId17"/>
  </sheets>
  <definedNames>
    <definedName name="_xlnm.Print_Area" localSheetId="10">' lùa 93 2 CÁNH'!$C$1:$M$12</definedName>
    <definedName name="_xlnm.Print_Area" localSheetId="0">'ĐI QUAY 1 CÁNH'!$A$2:$Q$20</definedName>
    <definedName name="_xlnm.Print_Area" localSheetId="2">'ĐI QUAY 4 CÁNH'!$A$1:$L$11</definedName>
    <definedName name="_xlnm.Print_Area" localSheetId="11">'Lùa 93 3 CÁNH'!$H$1:$L$12</definedName>
    <definedName name="_xlnm.Print_Area" localSheetId="3">'SỔ QUAY 1CÁNH'!$B$1:$L$10</definedName>
    <definedName name="_xlnm.Print_Area" localSheetId="4">'Sổ QUAY 2 CÁNH'!$A$1:$L$10</definedName>
    <definedName name="_xlnm.Print_Area" localSheetId="13">'XẾP TRƯỢT 63 4 CÁNH'!$A$1:$M$17</definedName>
  </definedNames>
  <calcPr calcId="191029" refMode="R1C1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8" l="1"/>
  <c r="H17" i="8"/>
  <c r="L14" i="8"/>
  <c r="L16" i="8"/>
  <c r="L12" i="8"/>
  <c r="J18" i="10" l="1"/>
  <c r="M19" i="10"/>
  <c r="M18" i="10"/>
  <c r="M14" i="10"/>
  <c r="J17" i="24"/>
  <c r="J16" i="24"/>
  <c r="J18" i="20"/>
  <c r="F6" i="20"/>
  <c r="J17" i="20" s="1"/>
  <c r="L15" i="20"/>
  <c r="L12" i="17" l="1"/>
  <c r="J17" i="17"/>
  <c r="L14" i="17"/>
  <c r="L13" i="17"/>
  <c r="J18" i="17"/>
  <c r="L15" i="17" l="1"/>
  <c r="U19" i="17"/>
  <c r="V18" i="17"/>
  <c r="V17" i="17"/>
  <c r="V16" i="17"/>
  <c r="J19" i="14" l="1"/>
  <c r="L19" i="28" l="1"/>
  <c r="L18" i="28"/>
  <c r="L17" i="28"/>
  <c r="L21" i="28"/>
  <c r="M16" i="28"/>
  <c r="L16" i="28"/>
  <c r="L14" i="28"/>
  <c r="M36" i="10" l="1"/>
  <c r="X34" i="8" l="1"/>
  <c r="L19" i="40" l="1"/>
  <c r="L18" i="40"/>
  <c r="L17" i="40"/>
  <c r="L12" i="40"/>
  <c r="L11" i="40"/>
  <c r="T28" i="40"/>
  <c r="R23" i="40"/>
  <c r="U22" i="35" l="1"/>
  <c r="U21" i="35"/>
  <c r="U20" i="35"/>
  <c r="V19" i="35"/>
  <c r="L10" i="35"/>
  <c r="L7" i="35"/>
  <c r="L8" i="35"/>
  <c r="J8" i="35"/>
  <c r="K8" i="35"/>
  <c r="K7" i="35"/>
  <c r="V20" i="35" l="1"/>
  <c r="V20" i="18" l="1"/>
  <c r="W30" i="23"/>
  <c r="W29" i="23"/>
  <c r="U21" i="23"/>
  <c r="V21" i="23"/>
  <c r="V20" i="23"/>
  <c r="F6" i="18" l="1"/>
  <c r="L13" i="18" l="1"/>
  <c r="V18" i="18"/>
  <c r="J14" i="18"/>
  <c r="L15" i="29" l="1"/>
  <c r="W27" i="23"/>
  <c r="V12" i="41" l="1"/>
  <c r="L12" i="24" l="1"/>
  <c r="V22" i="43"/>
  <c r="V21" i="43"/>
  <c r="U18" i="43"/>
  <c r="E5" i="43"/>
  <c r="L13" i="43"/>
  <c r="V19" i="43" s="1"/>
  <c r="V20" i="43" s="1"/>
  <c r="L11" i="43"/>
  <c r="K10" i="43"/>
  <c r="J10" i="43"/>
  <c r="K8" i="43"/>
  <c r="R7" i="43" s="1"/>
  <c r="K7" i="43"/>
  <c r="K5" i="43"/>
  <c r="K4" i="43"/>
  <c r="K6" i="43"/>
  <c r="N9" i="43"/>
  <c r="N10" i="43" s="1"/>
  <c r="V15" i="43"/>
  <c r="V14" i="43"/>
  <c r="V13" i="43"/>
  <c r="N13" i="43"/>
  <c r="N14" i="43" s="1"/>
  <c r="N15" i="43" s="1"/>
  <c r="N16" i="43" s="1"/>
  <c r="V9" i="43"/>
  <c r="N6" i="43"/>
  <c r="N7" i="43" s="1"/>
  <c r="N8" i="43" s="1"/>
  <c r="L8" i="43"/>
  <c r="L7" i="43"/>
  <c r="L5" i="43"/>
  <c r="L4" i="43"/>
  <c r="R6" i="43" l="1"/>
  <c r="R4" i="43"/>
  <c r="T4" i="43" s="1"/>
  <c r="V4" i="43" s="1"/>
  <c r="T7" i="43"/>
  <c r="V7" i="43" s="1"/>
  <c r="R3" i="43"/>
  <c r="T3" i="43" s="1"/>
  <c r="V3" i="43" s="1"/>
  <c r="R5" i="43"/>
  <c r="T5" i="43" s="1"/>
  <c r="V5" i="43" s="1"/>
  <c r="V36" i="28"/>
  <c r="N36" i="28"/>
  <c r="N37" i="28" s="1"/>
  <c r="V35" i="28"/>
  <c r="V31" i="28"/>
  <c r="N23" i="28"/>
  <c r="N24" i="28" s="1"/>
  <c r="N25" i="28" s="1"/>
  <c r="N26" i="28" s="1"/>
  <c r="N27" i="28" s="1"/>
  <c r="N28" i="28" s="1"/>
  <c r="N29" i="28" s="1"/>
  <c r="N30" i="28" s="1"/>
  <c r="N31" i="28" s="1"/>
  <c r="N32" i="28" s="1"/>
  <c r="V34" i="29"/>
  <c r="N34" i="29"/>
  <c r="N35" i="29" s="1"/>
  <c r="V33" i="29"/>
  <c r="V29" i="29"/>
  <c r="N22" i="29"/>
  <c r="N23" i="29" s="1"/>
  <c r="N24" i="29" s="1"/>
  <c r="V34" i="24"/>
  <c r="N34" i="24"/>
  <c r="N35" i="24" s="1"/>
  <c r="V33" i="24"/>
  <c r="V29" i="24"/>
  <c r="N22" i="24"/>
  <c r="N23" i="24" s="1"/>
  <c r="N24" i="24" s="1"/>
  <c r="T6" i="43" l="1"/>
  <c r="V6" i="43" s="1"/>
  <c r="R12" i="43"/>
  <c r="V12" i="43" s="1"/>
  <c r="V16" i="43" s="1"/>
  <c r="N25" i="29"/>
  <c r="N26" i="29" s="1"/>
  <c r="N27" i="29" s="1"/>
  <c r="N28" i="29"/>
  <c r="N29" i="29" s="1"/>
  <c r="N30" i="29" s="1"/>
  <c r="N25" i="24"/>
  <c r="N26" i="24" s="1"/>
  <c r="N27" i="24" s="1"/>
  <c r="N28" i="24"/>
  <c r="N29" i="24" s="1"/>
  <c r="N30" i="24" s="1"/>
  <c r="V8" i="43" l="1"/>
  <c r="V10" i="43" s="1"/>
  <c r="V17" i="43" s="1"/>
  <c r="T45" i="10"/>
  <c r="V45" i="10" s="1"/>
  <c r="V44" i="10"/>
  <c r="V43" i="10"/>
  <c r="N39" i="10"/>
  <c r="N40" i="10" s="1"/>
  <c r="N41" i="10" s="1"/>
  <c r="N42" i="10" s="1"/>
  <c r="N43" i="10" s="1"/>
  <c r="N44" i="10" s="1"/>
  <c r="N45" i="10" s="1"/>
  <c r="N46" i="10" s="1"/>
  <c r="N38" i="10"/>
  <c r="T32" i="10"/>
  <c r="V32" i="10" s="1"/>
  <c r="V31" i="10"/>
  <c r="V30" i="10"/>
  <c r="N25" i="10"/>
  <c r="N26" i="10" s="1"/>
  <c r="N27" i="10" s="1"/>
  <c r="N28" i="10" s="1"/>
  <c r="N29" i="10" s="1"/>
  <c r="N30" i="10" s="1"/>
  <c r="N31" i="10" s="1"/>
  <c r="N32" i="10" s="1"/>
  <c r="N33" i="10" s="1"/>
  <c r="T45" i="20"/>
  <c r="V45" i="20" s="1"/>
  <c r="V44" i="20"/>
  <c r="V43" i="20"/>
  <c r="N38" i="20"/>
  <c r="N39" i="20" s="1"/>
  <c r="N40" i="20" s="1"/>
  <c r="N41" i="20" s="1"/>
  <c r="N42" i="20" s="1"/>
  <c r="N43" i="20" s="1"/>
  <c r="N44" i="20" s="1"/>
  <c r="N45" i="20" s="1"/>
  <c r="N46" i="20" s="1"/>
  <c r="T32" i="20"/>
  <c r="V32" i="20" s="1"/>
  <c r="V31" i="20"/>
  <c r="V30" i="20"/>
  <c r="N25" i="20"/>
  <c r="N26" i="20" s="1"/>
  <c r="N27" i="20" s="1"/>
  <c r="N28" i="20" s="1"/>
  <c r="N29" i="20" s="1"/>
  <c r="N30" i="20" s="1"/>
  <c r="N31" i="20" s="1"/>
  <c r="N32" i="20" s="1"/>
  <c r="N33" i="20" s="1"/>
  <c r="T41" i="8" l="1"/>
  <c r="V41" i="8" s="1"/>
  <c r="V40" i="8"/>
  <c r="V39" i="8"/>
  <c r="N35" i="8"/>
  <c r="N36" i="8" s="1"/>
  <c r="N37" i="8" s="1"/>
  <c r="N38" i="8" s="1"/>
  <c r="N39" i="8" s="1"/>
  <c r="N40" i="8" s="1"/>
  <c r="N41" i="8" s="1"/>
  <c r="N42" i="8" s="1"/>
  <c r="T29" i="8"/>
  <c r="V29" i="8" s="1"/>
  <c r="V28" i="8"/>
  <c r="V27" i="8"/>
  <c r="N23" i="8"/>
  <c r="N24" i="8" s="1"/>
  <c r="N25" i="8" s="1"/>
  <c r="N26" i="8" s="1"/>
  <c r="N27" i="8" s="1"/>
  <c r="N28" i="8" s="1"/>
  <c r="N29" i="8" s="1"/>
  <c r="N30" i="8" s="1"/>
  <c r="R19" i="40" l="1"/>
  <c r="V25" i="40"/>
  <c r="V24" i="40"/>
  <c r="N20" i="40"/>
  <c r="N21" i="40" s="1"/>
  <c r="N22" i="40" s="1"/>
  <c r="N23" i="40" s="1"/>
  <c r="N24" i="40" s="1"/>
  <c r="N25" i="40" s="1"/>
  <c r="T18" i="40"/>
  <c r="N26" i="40" l="1"/>
  <c r="V18" i="40"/>
  <c r="T19" i="40"/>
  <c r="V19" i="40" s="1"/>
  <c r="V23" i="40"/>
  <c r="V26" i="40" s="1"/>
  <c r="V8" i="8"/>
  <c r="V20" i="40" l="1"/>
  <c r="V21" i="40" s="1"/>
  <c r="V27" i="40" s="1"/>
  <c r="L6" i="41"/>
  <c r="K6" i="41"/>
  <c r="R5" i="41" s="1"/>
  <c r="T5" i="41" s="1"/>
  <c r="K5" i="41"/>
  <c r="R4" i="41" s="1"/>
  <c r="K4" i="41"/>
  <c r="R3" i="41" s="1"/>
  <c r="V10" i="41"/>
  <c r="V9" i="41"/>
  <c r="N10" i="41"/>
  <c r="N11" i="41" s="1"/>
  <c r="F6" i="41"/>
  <c r="N4" i="41"/>
  <c r="N5" i="41" s="1"/>
  <c r="N6" i="41" s="1"/>
  <c r="N7" i="41" s="1"/>
  <c r="K6" i="40"/>
  <c r="V7" i="40"/>
  <c r="K5" i="40"/>
  <c r="K8" i="40" s="1"/>
  <c r="K4" i="40"/>
  <c r="J8" i="40" s="1"/>
  <c r="V13" i="40"/>
  <c r="V12" i="40"/>
  <c r="F6" i="40"/>
  <c r="J12" i="40" s="1"/>
  <c r="N4" i="40"/>
  <c r="N5" i="40" s="1"/>
  <c r="N6" i="40" s="1"/>
  <c r="N7" i="40" s="1"/>
  <c r="N8" i="40" s="1"/>
  <c r="N9" i="40" s="1"/>
  <c r="N10" i="40" s="1"/>
  <c r="N11" i="40" s="1"/>
  <c r="N12" i="40" s="1"/>
  <c r="N13" i="40" s="1"/>
  <c r="N14" i="40" s="1"/>
  <c r="F6" i="35"/>
  <c r="F6" i="28"/>
  <c r="F6" i="29"/>
  <c r="V37" i="29" s="1"/>
  <c r="F6" i="24"/>
  <c r="F6" i="17"/>
  <c r="F6" i="23"/>
  <c r="W22" i="23" s="1"/>
  <c r="F6" i="22"/>
  <c r="F6" i="33"/>
  <c r="F6" i="14"/>
  <c r="F6" i="13"/>
  <c r="F6" i="10"/>
  <c r="F6" i="8"/>
  <c r="X21" i="8" l="1"/>
  <c r="V20" i="14"/>
  <c r="L16" i="14"/>
  <c r="V18" i="13"/>
  <c r="M11" i="13"/>
  <c r="L16" i="13"/>
  <c r="L32" i="20"/>
  <c r="M34" i="10"/>
  <c r="L13" i="10"/>
  <c r="J14" i="10"/>
  <c r="X31" i="8"/>
  <c r="J19" i="10"/>
  <c r="L35" i="20"/>
  <c r="X19" i="8"/>
  <c r="L14" i="40"/>
  <c r="M33" i="20"/>
  <c r="L20" i="20"/>
  <c r="J20" i="8"/>
  <c r="M21" i="10"/>
  <c r="H13" i="8"/>
  <c r="V44" i="8"/>
  <c r="M22" i="18"/>
  <c r="L20" i="18"/>
  <c r="W39" i="24"/>
  <c r="V38" i="24"/>
  <c r="V23" i="23"/>
  <c r="U23" i="23"/>
  <c r="S23" i="23"/>
  <c r="J13" i="8"/>
  <c r="J14" i="8" s="1"/>
  <c r="L17" i="24"/>
  <c r="K14" i="28"/>
  <c r="T3" i="41"/>
  <c r="V3" i="41" s="1"/>
  <c r="V5" i="41"/>
  <c r="T4" i="41"/>
  <c r="V4" i="41" s="1"/>
  <c r="R3" i="40"/>
  <c r="R4" i="40"/>
  <c r="T4" i="40" s="1"/>
  <c r="V4" i="40" s="1"/>
  <c r="V8" i="40"/>
  <c r="V6" i="41" l="1"/>
  <c r="G6" i="41"/>
  <c r="V11" i="41"/>
  <c r="R11" i="40"/>
  <c r="R5" i="40"/>
  <c r="T3" i="40"/>
  <c r="T5" i="40" l="1"/>
  <c r="G6" i="40" s="1"/>
  <c r="V11" i="40"/>
  <c r="V14" i="40" s="1"/>
  <c r="V3" i="40"/>
  <c r="K4" i="8"/>
  <c r="V7" i="41" l="1"/>
  <c r="V5" i="40"/>
  <c r="V6" i="40" s="1"/>
  <c r="V12" i="28"/>
  <c r="V9" i="40" l="1"/>
  <c r="V15" i="40" s="1"/>
  <c r="L15" i="40" s="1"/>
  <c r="J17" i="40" s="1"/>
  <c r="L16" i="40" l="1"/>
  <c r="N16" i="35"/>
  <c r="N17" i="35" s="1"/>
  <c r="N18" i="35" s="1"/>
  <c r="T11" i="35"/>
  <c r="T12" i="35" s="1"/>
  <c r="V16" i="29"/>
  <c r="N16" i="29"/>
  <c r="N17" i="29" s="1"/>
  <c r="V15" i="29"/>
  <c r="V11" i="29"/>
  <c r="N4" i="29"/>
  <c r="N5" i="29" s="1"/>
  <c r="N6" i="29" s="1"/>
  <c r="V17" i="28"/>
  <c r="N17" i="28"/>
  <c r="N18" i="28" s="1"/>
  <c r="V16" i="28"/>
  <c r="N4" i="28"/>
  <c r="N5" i="28" s="1"/>
  <c r="N6" i="28" s="1"/>
  <c r="V15" i="18"/>
  <c r="V14" i="18"/>
  <c r="V13" i="18"/>
  <c r="N13" i="18"/>
  <c r="N14" i="18" s="1"/>
  <c r="N15" i="18" s="1"/>
  <c r="N16" i="18" s="1"/>
  <c r="V9" i="18"/>
  <c r="V8" i="18"/>
  <c r="N4" i="18"/>
  <c r="N5" i="18" s="1"/>
  <c r="N6" i="18" s="1"/>
  <c r="N7" i="18" s="1"/>
  <c r="N8" i="18" s="1"/>
  <c r="N9" i="18" s="1"/>
  <c r="N10" i="18" s="1"/>
  <c r="V17" i="10"/>
  <c r="N7" i="29" l="1"/>
  <c r="N8" i="29" s="1"/>
  <c r="N9" i="29" s="1"/>
  <c r="N10" i="29"/>
  <c r="N11" i="29" s="1"/>
  <c r="N12" i="29" s="1"/>
  <c r="N7" i="28"/>
  <c r="N8" i="28" s="1"/>
  <c r="N9" i="28" s="1"/>
  <c r="N10" i="28" s="1"/>
  <c r="N11" i="28" s="1"/>
  <c r="N12" i="28" s="1"/>
  <c r="N13" i="28" s="1"/>
  <c r="T10" i="23"/>
  <c r="T11" i="23" s="1"/>
  <c r="V11" i="23" s="1"/>
  <c r="V9" i="23"/>
  <c r="N15" i="23"/>
  <c r="N16" i="23" s="1"/>
  <c r="N17" i="23" s="1"/>
  <c r="N18" i="23" s="1"/>
  <c r="T10" i="8"/>
  <c r="T11" i="20"/>
  <c r="T11" i="10"/>
  <c r="T9" i="13"/>
  <c r="T10" i="14"/>
  <c r="T10" i="33"/>
  <c r="T9" i="22"/>
  <c r="T10" i="22" s="1"/>
  <c r="H5" i="14"/>
  <c r="H6" i="14" s="1"/>
  <c r="H7" i="14" s="1"/>
  <c r="H8" i="14" s="1"/>
  <c r="H9" i="14" s="1"/>
  <c r="H10" i="14" s="1"/>
  <c r="V10" i="23" l="1"/>
  <c r="K6" i="13"/>
  <c r="K7" i="13"/>
  <c r="H21" i="10"/>
  <c r="H5" i="10"/>
  <c r="H6" i="10" s="1"/>
  <c r="H7" i="10" s="1"/>
  <c r="H8" i="10" s="1"/>
  <c r="H9" i="10" s="1"/>
  <c r="H10" i="10" s="1"/>
  <c r="H11" i="10" s="1"/>
  <c r="V17" i="35" l="1"/>
  <c r="V16" i="35"/>
  <c r="V12" i="35"/>
  <c r="V11" i="35"/>
  <c r="V10" i="35"/>
  <c r="N4" i="35"/>
  <c r="N5" i="35" s="1"/>
  <c r="N6" i="35" s="1"/>
  <c r="N7" i="35" s="1"/>
  <c r="N8" i="35" s="1"/>
  <c r="N9" i="35" s="1"/>
  <c r="N10" i="35" s="1"/>
  <c r="N11" i="35" s="1"/>
  <c r="N12" i="35" s="1"/>
  <c r="N13" i="35" s="1"/>
  <c r="V16" i="24"/>
  <c r="V15" i="24"/>
  <c r="N16" i="24"/>
  <c r="N17" i="24" s="1"/>
  <c r="V11" i="24"/>
  <c r="N4" i="24"/>
  <c r="N5" i="24" s="1"/>
  <c r="N6" i="24" s="1"/>
  <c r="V14" i="17"/>
  <c r="V13" i="17"/>
  <c r="V12" i="17"/>
  <c r="N12" i="17"/>
  <c r="N13" i="17" s="1"/>
  <c r="N14" i="17" s="1"/>
  <c r="N15" i="17" s="1"/>
  <c r="V8" i="17"/>
  <c r="V7" i="17"/>
  <c r="N4" i="17"/>
  <c r="N5" i="17" s="1"/>
  <c r="N6" i="17" s="1"/>
  <c r="N7" i="17" s="1"/>
  <c r="N8" i="17" s="1"/>
  <c r="N9" i="17" s="1"/>
  <c r="V18" i="23"/>
  <c r="V17" i="23"/>
  <c r="V16" i="23"/>
  <c r="N19" i="23"/>
  <c r="N4" i="23"/>
  <c r="N5" i="23" s="1"/>
  <c r="N6" i="23" s="1"/>
  <c r="N7" i="23" s="1"/>
  <c r="N8" i="23" s="1"/>
  <c r="N9" i="23" s="1"/>
  <c r="N10" i="23" s="1"/>
  <c r="N11" i="23" s="1"/>
  <c r="N12" i="23" s="1"/>
  <c r="V17" i="22"/>
  <c r="V16" i="22"/>
  <c r="V15" i="22"/>
  <c r="N14" i="22"/>
  <c r="N15" i="22" s="1"/>
  <c r="N16" i="22" s="1"/>
  <c r="N17" i="22" s="1"/>
  <c r="N18" i="22" s="1"/>
  <c r="V10" i="22"/>
  <c r="V9" i="22"/>
  <c r="V8" i="22"/>
  <c r="N4" i="22"/>
  <c r="N5" i="22" s="1"/>
  <c r="N6" i="22" s="1"/>
  <c r="N7" i="22" s="1"/>
  <c r="N8" i="22" s="1"/>
  <c r="N9" i="22" s="1"/>
  <c r="N10" i="22" s="1"/>
  <c r="N11" i="22" s="1"/>
  <c r="V16" i="33"/>
  <c r="V15" i="33"/>
  <c r="N14" i="33"/>
  <c r="N16" i="33" s="1"/>
  <c r="N17" i="33" s="1"/>
  <c r="V10" i="33"/>
  <c r="V9" i="33"/>
  <c r="V8" i="33"/>
  <c r="N4" i="33"/>
  <c r="N5" i="33" s="1"/>
  <c r="N6" i="33" s="1"/>
  <c r="N7" i="33" s="1"/>
  <c r="N8" i="33" s="1"/>
  <c r="N9" i="33" s="1"/>
  <c r="N10" i="33" s="1"/>
  <c r="N11" i="33" s="1"/>
  <c r="V17" i="14"/>
  <c r="V16" i="14"/>
  <c r="V15" i="14"/>
  <c r="N14" i="14"/>
  <c r="N15" i="14" s="1"/>
  <c r="N16" i="14" s="1"/>
  <c r="N17" i="14" s="1"/>
  <c r="N18" i="14" s="1"/>
  <c r="V10" i="14"/>
  <c r="V9" i="14"/>
  <c r="V8" i="14"/>
  <c r="N4" i="14"/>
  <c r="N5" i="14" s="1"/>
  <c r="N6" i="14" s="1"/>
  <c r="N7" i="14" s="1"/>
  <c r="N8" i="14" s="1"/>
  <c r="N9" i="14" s="1"/>
  <c r="N10" i="14" s="1"/>
  <c r="N11" i="14" s="1"/>
  <c r="V15" i="13"/>
  <c r="V14" i="13"/>
  <c r="N13" i="13"/>
  <c r="N14" i="13" s="1"/>
  <c r="N15" i="13" s="1"/>
  <c r="N16" i="13" s="1"/>
  <c r="V9" i="13"/>
  <c r="V8" i="13"/>
  <c r="V7" i="13"/>
  <c r="N4" i="13"/>
  <c r="N5" i="13" s="1"/>
  <c r="N6" i="13" s="1"/>
  <c r="N7" i="13" s="1"/>
  <c r="N8" i="13" s="1"/>
  <c r="N9" i="13" s="1"/>
  <c r="N10" i="13" s="1"/>
  <c r="N10" i="24" l="1"/>
  <c r="N11" i="24" s="1"/>
  <c r="N12" i="24" s="1"/>
  <c r="N7" i="24"/>
  <c r="N8" i="24" s="1"/>
  <c r="N9" i="24" s="1"/>
  <c r="V17" i="20" l="1"/>
  <c r="H5" i="20"/>
  <c r="H6" i="20" s="1"/>
  <c r="H7" i="20" s="1"/>
  <c r="H8" i="20" s="1"/>
  <c r="H9" i="20" s="1"/>
  <c r="H10" i="20" s="1"/>
  <c r="H11" i="20" s="1"/>
  <c r="V19" i="10"/>
  <c r="V18" i="10"/>
  <c r="V16" i="10"/>
  <c r="N15" i="10"/>
  <c r="N16" i="10" s="1"/>
  <c r="V11" i="10"/>
  <c r="V10" i="10"/>
  <c r="V9" i="10"/>
  <c r="N4" i="10"/>
  <c r="N5" i="10" s="1"/>
  <c r="N6" i="10" s="1"/>
  <c r="N7" i="10" s="1"/>
  <c r="N8" i="10" s="1"/>
  <c r="N9" i="10" s="1"/>
  <c r="N10" i="10" s="1"/>
  <c r="N11" i="10" s="1"/>
  <c r="N12" i="10" s="1"/>
  <c r="V19" i="20"/>
  <c r="V18" i="20"/>
  <c r="V16" i="20"/>
  <c r="N15" i="20"/>
  <c r="N16" i="20" s="1"/>
  <c r="N17" i="20" s="1"/>
  <c r="N18" i="20" s="1"/>
  <c r="N19" i="20" s="1"/>
  <c r="N20" i="20" s="1"/>
  <c r="V11" i="20"/>
  <c r="V10" i="20"/>
  <c r="V9" i="20"/>
  <c r="N4" i="20"/>
  <c r="N5" i="20" s="1"/>
  <c r="N6" i="20" s="1"/>
  <c r="N7" i="20" s="1"/>
  <c r="N8" i="20" s="1"/>
  <c r="N9" i="20" s="1"/>
  <c r="N10" i="20" s="1"/>
  <c r="N11" i="20" s="1"/>
  <c r="N12" i="20" s="1"/>
  <c r="N17" i="10" l="1"/>
  <c r="N18" i="10" s="1"/>
  <c r="N19" i="10" s="1"/>
  <c r="N20" i="10" s="1"/>
  <c r="V16" i="8" l="1"/>
  <c r="V17" i="8"/>
  <c r="V15" i="8"/>
  <c r="N14" i="8"/>
  <c r="N15" i="8" s="1"/>
  <c r="N16" i="8" s="1"/>
  <c r="N17" i="8" s="1"/>
  <c r="N18" i="8" s="1"/>
  <c r="N4" i="8"/>
  <c r="N5" i="8" s="1"/>
  <c r="N6" i="8" s="1"/>
  <c r="N7" i="8" s="1"/>
  <c r="N8" i="8" s="1"/>
  <c r="N9" i="8" s="1"/>
  <c r="N10" i="8" s="1"/>
  <c r="N11" i="8" s="1"/>
  <c r="V9" i="8"/>
  <c r="V10" i="8"/>
  <c r="K5" i="8" l="1"/>
  <c r="K7" i="8" s="1"/>
  <c r="K7" i="17" l="1"/>
  <c r="R5" i="17" s="1"/>
  <c r="K8" i="28" l="1"/>
  <c r="K9" i="28"/>
  <c r="R10" i="28" l="1"/>
  <c r="T10" i="28" s="1"/>
  <c r="V10" i="28" s="1"/>
  <c r="R29" i="28"/>
  <c r="T29" i="28" s="1"/>
  <c r="V29" i="28" s="1"/>
  <c r="K12" i="28"/>
  <c r="K7" i="28"/>
  <c r="K10" i="29"/>
  <c r="K9" i="29"/>
  <c r="K4" i="29"/>
  <c r="K5" i="29"/>
  <c r="K12" i="29" l="1"/>
  <c r="J8" i="24"/>
  <c r="K6" i="35" l="1"/>
  <c r="J8" i="29"/>
  <c r="K7" i="29"/>
  <c r="K6" i="29"/>
  <c r="J7" i="35"/>
  <c r="L6" i="35"/>
  <c r="J6" i="35"/>
  <c r="L5" i="35"/>
  <c r="K5" i="35"/>
  <c r="J5" i="35"/>
  <c r="L4" i="35"/>
  <c r="K4" i="35"/>
  <c r="J4" i="35"/>
  <c r="K10" i="28"/>
  <c r="K10" i="24"/>
  <c r="K9" i="24"/>
  <c r="K6" i="18"/>
  <c r="L9" i="20"/>
  <c r="J9" i="20"/>
  <c r="J10" i="35" l="1"/>
  <c r="R6" i="35"/>
  <c r="R4" i="35"/>
  <c r="K10" i="35"/>
  <c r="R8" i="35"/>
  <c r="T8" i="35" s="1"/>
  <c r="V8" i="35" s="1"/>
  <c r="R3" i="35"/>
  <c r="T3" i="35" s="1"/>
  <c r="K12" i="24"/>
  <c r="K7" i="23"/>
  <c r="K6" i="22"/>
  <c r="K8" i="23"/>
  <c r="K9" i="23" s="1"/>
  <c r="K6" i="23"/>
  <c r="K6" i="20"/>
  <c r="K5" i="20"/>
  <c r="L8" i="20"/>
  <c r="L12" i="29"/>
  <c r="K6" i="14"/>
  <c r="L6" i="14"/>
  <c r="J7" i="13"/>
  <c r="J6" i="13"/>
  <c r="L10" i="33"/>
  <c r="L7" i="33"/>
  <c r="L6" i="33"/>
  <c r="L8" i="33"/>
  <c r="K6" i="33"/>
  <c r="J10" i="33" s="1"/>
  <c r="K8" i="33"/>
  <c r="J8" i="33"/>
  <c r="K7" i="33"/>
  <c r="K10" i="33" s="1"/>
  <c r="J7" i="33"/>
  <c r="J6" i="33"/>
  <c r="L5" i="33"/>
  <c r="K5" i="33"/>
  <c r="J5" i="33"/>
  <c r="L4" i="33"/>
  <c r="K4" i="33"/>
  <c r="J4" i="33"/>
  <c r="J8" i="22"/>
  <c r="L10" i="29"/>
  <c r="L8" i="29"/>
  <c r="L7" i="29"/>
  <c r="R8" i="29" s="1"/>
  <c r="T8" i="29" s="1"/>
  <c r="V8" i="29" s="1"/>
  <c r="L12" i="28"/>
  <c r="J12" i="28"/>
  <c r="K8" i="29"/>
  <c r="R27" i="29" s="1"/>
  <c r="T27" i="29" s="1"/>
  <c r="V27" i="29" s="1"/>
  <c r="J10" i="29"/>
  <c r="L9" i="29"/>
  <c r="J9" i="29"/>
  <c r="J7" i="29"/>
  <c r="L6" i="29"/>
  <c r="R3" i="29" s="1"/>
  <c r="T3" i="29" s="1"/>
  <c r="J6" i="29"/>
  <c r="L5" i="29"/>
  <c r="J5" i="29"/>
  <c r="L4" i="29"/>
  <c r="J4" i="29"/>
  <c r="L8" i="28"/>
  <c r="L7" i="28"/>
  <c r="J5" i="28"/>
  <c r="L10" i="28"/>
  <c r="R7" i="28" s="1"/>
  <c r="T7" i="28" s="1"/>
  <c r="V7" i="28" s="1"/>
  <c r="L9" i="28"/>
  <c r="J10" i="28"/>
  <c r="J9" i="28"/>
  <c r="J8" i="28"/>
  <c r="J7" i="28"/>
  <c r="L6" i="28"/>
  <c r="K6" i="28"/>
  <c r="R22" i="28" s="1"/>
  <c r="T22" i="28" s="1"/>
  <c r="V22" i="28" s="1"/>
  <c r="J6" i="28"/>
  <c r="L5" i="28"/>
  <c r="K5" i="28"/>
  <c r="L4" i="28"/>
  <c r="K4" i="28"/>
  <c r="J4" i="28"/>
  <c r="K7" i="14"/>
  <c r="L8" i="14"/>
  <c r="L11" i="20"/>
  <c r="L4" i="14"/>
  <c r="K5" i="14"/>
  <c r="J8" i="8"/>
  <c r="L8" i="8"/>
  <c r="L9" i="10"/>
  <c r="J9" i="10"/>
  <c r="K8" i="24"/>
  <c r="K7" i="24"/>
  <c r="R26" i="24" s="1"/>
  <c r="T26" i="24" s="1"/>
  <c r="V26" i="24" s="1"/>
  <c r="J12" i="24"/>
  <c r="J10" i="24"/>
  <c r="J9" i="24"/>
  <c r="J7" i="24"/>
  <c r="J6" i="24"/>
  <c r="J5" i="24"/>
  <c r="J4" i="24"/>
  <c r="L8" i="24"/>
  <c r="L10" i="24"/>
  <c r="R24" i="24" s="1"/>
  <c r="L9" i="24"/>
  <c r="R7" i="24" s="1"/>
  <c r="K5" i="24"/>
  <c r="L7" i="24"/>
  <c r="L5" i="24"/>
  <c r="L4" i="24"/>
  <c r="K4" i="24"/>
  <c r="R22" i="24" s="1"/>
  <c r="L6" i="24"/>
  <c r="K6" i="24"/>
  <c r="R21" i="24" s="1"/>
  <c r="T21" i="24" s="1"/>
  <c r="V21" i="24" s="1"/>
  <c r="L10" i="18"/>
  <c r="L7" i="18"/>
  <c r="L6" i="18"/>
  <c r="L8" i="18"/>
  <c r="L6" i="23"/>
  <c r="J6" i="23"/>
  <c r="L9" i="23"/>
  <c r="L11" i="23"/>
  <c r="J9" i="23"/>
  <c r="L8" i="23"/>
  <c r="J8" i="23"/>
  <c r="L7" i="23"/>
  <c r="J7" i="23"/>
  <c r="L5" i="23"/>
  <c r="K5" i="23"/>
  <c r="J5" i="23"/>
  <c r="L4" i="23"/>
  <c r="K4" i="23"/>
  <c r="J4" i="23"/>
  <c r="L10" i="22"/>
  <c r="K6" i="10"/>
  <c r="L8" i="22"/>
  <c r="L7" i="22"/>
  <c r="L6" i="22"/>
  <c r="K7" i="22"/>
  <c r="J7" i="22"/>
  <c r="J6" i="22"/>
  <c r="L5" i="22"/>
  <c r="K5" i="22"/>
  <c r="J5" i="22"/>
  <c r="L4" i="22"/>
  <c r="K4" i="22"/>
  <c r="J4" i="22"/>
  <c r="K4" i="10"/>
  <c r="K5" i="10"/>
  <c r="J4" i="8"/>
  <c r="J5" i="8"/>
  <c r="L7" i="14"/>
  <c r="L7" i="17"/>
  <c r="L6" i="17"/>
  <c r="L9" i="17"/>
  <c r="L10" i="14"/>
  <c r="J8" i="10"/>
  <c r="J8" i="20"/>
  <c r="L7" i="20"/>
  <c r="L6" i="20"/>
  <c r="J7" i="20"/>
  <c r="J6" i="20"/>
  <c r="L5" i="20"/>
  <c r="J5" i="20"/>
  <c r="L4" i="20"/>
  <c r="K4" i="20"/>
  <c r="J4" i="20"/>
  <c r="J8" i="18"/>
  <c r="K7" i="18"/>
  <c r="J7" i="18"/>
  <c r="J10" i="18"/>
  <c r="J6" i="18"/>
  <c r="L5" i="18"/>
  <c r="K5" i="18"/>
  <c r="J5" i="18"/>
  <c r="L4" i="18"/>
  <c r="K4" i="18"/>
  <c r="J4" i="18"/>
  <c r="K9" i="17"/>
  <c r="J7" i="17"/>
  <c r="K6" i="17"/>
  <c r="J6" i="17"/>
  <c r="L5" i="17"/>
  <c r="K5" i="17"/>
  <c r="J5" i="17"/>
  <c r="L4" i="17"/>
  <c r="K4" i="17"/>
  <c r="J4" i="17"/>
  <c r="J8" i="14"/>
  <c r="J7" i="14"/>
  <c r="J6" i="14"/>
  <c r="L5" i="14"/>
  <c r="J5" i="14"/>
  <c r="K4" i="14"/>
  <c r="J4" i="14"/>
  <c r="L9" i="13"/>
  <c r="L7" i="13"/>
  <c r="L6" i="13"/>
  <c r="J9" i="13"/>
  <c r="L5" i="13"/>
  <c r="K5" i="13"/>
  <c r="J5" i="13"/>
  <c r="L4" i="13"/>
  <c r="K4" i="13"/>
  <c r="J4" i="13"/>
  <c r="L11" i="10"/>
  <c r="L8" i="10"/>
  <c r="L7" i="10"/>
  <c r="J7" i="10"/>
  <c r="L6" i="10"/>
  <c r="J6" i="10"/>
  <c r="L5" i="10"/>
  <c r="J5" i="10"/>
  <c r="L4" i="10"/>
  <c r="J4" i="10"/>
  <c r="L7" i="8"/>
  <c r="J7" i="8"/>
  <c r="L6" i="8"/>
  <c r="J6" i="8"/>
  <c r="L5" i="8"/>
  <c r="L4" i="8"/>
  <c r="K13" i="24" l="1"/>
  <c r="L14" i="24" s="1"/>
  <c r="T24" i="24"/>
  <c r="V24" i="24" s="1"/>
  <c r="R4" i="29"/>
  <c r="R22" i="29"/>
  <c r="R6" i="28"/>
  <c r="T6" i="28" s="1"/>
  <c r="V6" i="28" s="1"/>
  <c r="R26" i="28"/>
  <c r="T26" i="28" s="1"/>
  <c r="V26" i="28" s="1"/>
  <c r="R26" i="29"/>
  <c r="T26" i="29" s="1"/>
  <c r="V26" i="29" s="1"/>
  <c r="R23" i="24"/>
  <c r="T23" i="24" s="1"/>
  <c r="V23" i="24" s="1"/>
  <c r="T22" i="24"/>
  <c r="V22" i="24" s="1"/>
  <c r="R27" i="24"/>
  <c r="T27" i="24" s="1"/>
  <c r="V27" i="24" s="1"/>
  <c r="R25" i="28"/>
  <c r="R4" i="13"/>
  <c r="R8" i="28"/>
  <c r="T8" i="28" s="1"/>
  <c r="V8" i="28" s="1"/>
  <c r="R27" i="28"/>
  <c r="T27" i="28" s="1"/>
  <c r="V27" i="28" s="1"/>
  <c r="R21" i="29"/>
  <c r="T21" i="29" s="1"/>
  <c r="V21" i="29" s="1"/>
  <c r="R9" i="28"/>
  <c r="T9" i="28" s="1"/>
  <c r="V9" i="28" s="1"/>
  <c r="R28" i="28"/>
  <c r="T28" i="28" s="1"/>
  <c r="V28" i="28" s="1"/>
  <c r="R6" i="29"/>
  <c r="R24" i="29"/>
  <c r="R4" i="28"/>
  <c r="T4" i="28" s="1"/>
  <c r="V4" i="28" s="1"/>
  <c r="R23" i="28"/>
  <c r="R7" i="29"/>
  <c r="T7" i="29" s="1"/>
  <c r="V7" i="29" s="1"/>
  <c r="R25" i="29"/>
  <c r="T25" i="29" s="1"/>
  <c r="V25" i="29" s="1"/>
  <c r="R25" i="24"/>
  <c r="T25" i="24" s="1"/>
  <c r="V25" i="24" s="1"/>
  <c r="R37" i="10"/>
  <c r="T37" i="10" s="1"/>
  <c r="R24" i="10"/>
  <c r="T24" i="10" s="1"/>
  <c r="R24" i="20"/>
  <c r="T24" i="20" s="1"/>
  <c r="R37" i="20"/>
  <c r="T37" i="20" s="1"/>
  <c r="R34" i="8"/>
  <c r="T34" i="8" s="1"/>
  <c r="V34" i="8" s="1"/>
  <c r="R22" i="8"/>
  <c r="T22" i="8" s="1"/>
  <c r="V22" i="8" s="1"/>
  <c r="R3" i="8"/>
  <c r="T3" i="8" s="1"/>
  <c r="R4" i="18"/>
  <c r="R12" i="18" s="1"/>
  <c r="V12" i="18" s="1"/>
  <c r="V16" i="18" s="1"/>
  <c r="V3" i="29"/>
  <c r="R4" i="24"/>
  <c r="R5" i="24" s="1"/>
  <c r="R3" i="28"/>
  <c r="T3" i="28" s="1"/>
  <c r="T4" i="29"/>
  <c r="R5" i="29"/>
  <c r="T5" i="29" s="1"/>
  <c r="V5" i="29" s="1"/>
  <c r="R3" i="18"/>
  <c r="T3" i="18" s="1"/>
  <c r="K8" i="18"/>
  <c r="R6" i="18" s="1"/>
  <c r="T6" i="18" s="1"/>
  <c r="V6" i="18" s="1"/>
  <c r="R5" i="18"/>
  <c r="T5" i="18" s="1"/>
  <c r="V5" i="18" s="1"/>
  <c r="J12" i="29"/>
  <c r="R9" i="29"/>
  <c r="T9" i="29" s="1"/>
  <c r="V9" i="29" s="1"/>
  <c r="T6" i="29"/>
  <c r="V6" i="29" s="1"/>
  <c r="R6" i="33"/>
  <c r="T6" i="33" s="1"/>
  <c r="V6" i="33" s="1"/>
  <c r="V3" i="35"/>
  <c r="T4" i="35"/>
  <c r="V4" i="35" s="1"/>
  <c r="R5" i="35"/>
  <c r="T5" i="35" s="1"/>
  <c r="V5" i="35" s="1"/>
  <c r="R15" i="35"/>
  <c r="V15" i="35" s="1"/>
  <c r="V18" i="35" s="1"/>
  <c r="R7" i="35"/>
  <c r="T7" i="35" s="1"/>
  <c r="V7" i="35" s="1"/>
  <c r="T6" i="35"/>
  <c r="V6" i="35" s="1"/>
  <c r="R3" i="24"/>
  <c r="R8" i="24"/>
  <c r="T8" i="24" s="1"/>
  <c r="V8" i="24" s="1"/>
  <c r="R9" i="24"/>
  <c r="T9" i="24" s="1"/>
  <c r="V9" i="24" s="1"/>
  <c r="T7" i="24"/>
  <c r="V7" i="24" s="1"/>
  <c r="R6" i="24"/>
  <c r="R4" i="17"/>
  <c r="R11" i="17" s="1"/>
  <c r="V11" i="17" s="1"/>
  <c r="V15" i="17" s="1"/>
  <c r="R3" i="17"/>
  <c r="T3" i="17" s="1"/>
  <c r="T5" i="17"/>
  <c r="V5" i="17" s="1"/>
  <c r="K7" i="20"/>
  <c r="K8" i="20" s="1"/>
  <c r="R3" i="20"/>
  <c r="T3" i="20" s="1"/>
  <c r="R3" i="23"/>
  <c r="R7" i="23"/>
  <c r="T7" i="23" s="1"/>
  <c r="V7" i="23" s="1"/>
  <c r="R6" i="23"/>
  <c r="T6" i="23" s="1"/>
  <c r="V6" i="23" s="1"/>
  <c r="R4" i="23"/>
  <c r="J11" i="23"/>
  <c r="R3" i="22"/>
  <c r="J10" i="22"/>
  <c r="R4" i="22"/>
  <c r="R14" i="22" s="1"/>
  <c r="V14" i="22" s="1"/>
  <c r="K8" i="22"/>
  <c r="R6" i="22" s="1"/>
  <c r="T6" i="22" s="1"/>
  <c r="V6" i="22" s="1"/>
  <c r="R3" i="33"/>
  <c r="R4" i="33"/>
  <c r="J10" i="14"/>
  <c r="L13" i="14" s="1"/>
  <c r="L15" i="14" s="1"/>
  <c r="L17" i="14" s="1"/>
  <c r="R4" i="14"/>
  <c r="R3" i="14"/>
  <c r="K8" i="14"/>
  <c r="R6" i="14" s="1"/>
  <c r="R3" i="13"/>
  <c r="K7" i="10"/>
  <c r="R3" i="10"/>
  <c r="K6" i="8"/>
  <c r="J11" i="10"/>
  <c r="J9" i="17"/>
  <c r="L10" i="17" s="1"/>
  <c r="K10" i="8"/>
  <c r="K11" i="23"/>
  <c r="V22" i="23" s="1"/>
  <c r="K10" i="22"/>
  <c r="K9" i="13"/>
  <c r="M13" i="13" s="1"/>
  <c r="L14" i="13" s="1"/>
  <c r="J11" i="20"/>
  <c r="K9" i="20"/>
  <c r="K9" i="10"/>
  <c r="K10" i="18"/>
  <c r="L11" i="18" s="1"/>
  <c r="L12" i="18" s="1"/>
  <c r="K10" i="14"/>
  <c r="L17" i="18" l="1"/>
  <c r="L18" i="18" s="1"/>
  <c r="R12" i="13"/>
  <c r="V12" i="13" s="1"/>
  <c r="R15" i="28"/>
  <c r="V15" i="28" s="1"/>
  <c r="V18" i="28" s="1"/>
  <c r="R5" i="28"/>
  <c r="T5" i="28" s="1"/>
  <c r="V5" i="28" s="1"/>
  <c r="V28" i="24"/>
  <c r="V30" i="24" s="1"/>
  <c r="R24" i="28"/>
  <c r="T24" i="28" s="1"/>
  <c r="V24" i="28" s="1"/>
  <c r="T23" i="28"/>
  <c r="V23" i="28" s="1"/>
  <c r="G6" i="28"/>
  <c r="R32" i="29"/>
  <c r="V32" i="29" s="1"/>
  <c r="V35" i="29" s="1"/>
  <c r="T24" i="29"/>
  <c r="V24" i="29" s="1"/>
  <c r="R34" i="28"/>
  <c r="V34" i="28" s="1"/>
  <c r="V37" i="28" s="1"/>
  <c r="T25" i="28"/>
  <c r="V25" i="28" s="1"/>
  <c r="V9" i="35"/>
  <c r="V13" i="35" s="1"/>
  <c r="V21" i="35" s="1"/>
  <c r="V22" i="35" s="1"/>
  <c r="R23" i="29"/>
  <c r="T23" i="29" s="1"/>
  <c r="V23" i="29" s="1"/>
  <c r="T22" i="29"/>
  <c r="V22" i="29" s="1"/>
  <c r="R32" i="24"/>
  <c r="V32" i="24" s="1"/>
  <c r="V35" i="24" s="1"/>
  <c r="G6" i="35"/>
  <c r="R4" i="10"/>
  <c r="R15" i="10" s="1"/>
  <c r="V15" i="10" s="1"/>
  <c r="K8" i="10"/>
  <c r="T4" i="18"/>
  <c r="V4" i="18" s="1"/>
  <c r="V3" i="18"/>
  <c r="V24" i="10"/>
  <c r="V37" i="10"/>
  <c r="R40" i="10"/>
  <c r="T40" i="10" s="1"/>
  <c r="V40" i="10" s="1"/>
  <c r="R27" i="10"/>
  <c r="T27" i="10" s="1"/>
  <c r="V27" i="10" s="1"/>
  <c r="R25" i="10"/>
  <c r="R38" i="10"/>
  <c r="R6" i="20"/>
  <c r="T6" i="20" s="1"/>
  <c r="V6" i="20" s="1"/>
  <c r="R40" i="20"/>
  <c r="T40" i="20" s="1"/>
  <c r="V40" i="20" s="1"/>
  <c r="R27" i="20"/>
  <c r="T27" i="20" s="1"/>
  <c r="V27" i="20" s="1"/>
  <c r="R38" i="20"/>
  <c r="R7" i="20"/>
  <c r="T7" i="20" s="1"/>
  <c r="V7" i="20" s="1"/>
  <c r="R28" i="20"/>
  <c r="T28" i="20" s="1"/>
  <c r="V28" i="20" s="1"/>
  <c r="R41" i="20"/>
  <c r="T41" i="20" s="1"/>
  <c r="V41" i="20" s="1"/>
  <c r="R25" i="20"/>
  <c r="V37" i="20"/>
  <c r="V24" i="20"/>
  <c r="J10" i="8"/>
  <c r="L13" i="8" s="1"/>
  <c r="R35" i="8"/>
  <c r="R23" i="8"/>
  <c r="R14" i="29"/>
  <c r="V14" i="29" s="1"/>
  <c r="V17" i="29" s="1"/>
  <c r="V4" i="29"/>
  <c r="V10" i="29" s="1"/>
  <c r="V12" i="29" s="1"/>
  <c r="G6" i="29"/>
  <c r="V3" i="20"/>
  <c r="V3" i="8"/>
  <c r="V3" i="17"/>
  <c r="T6" i="14"/>
  <c r="V6" i="14" s="1"/>
  <c r="V3" i="28"/>
  <c r="T6" i="24"/>
  <c r="V6" i="24" s="1"/>
  <c r="R14" i="24"/>
  <c r="V14" i="24" s="1"/>
  <c r="V17" i="24" s="1"/>
  <c r="T5" i="24"/>
  <c r="V5" i="24" s="1"/>
  <c r="T4" i="24"/>
  <c r="V4" i="24" s="1"/>
  <c r="T3" i="24"/>
  <c r="T4" i="17"/>
  <c r="V4" i="17" s="1"/>
  <c r="R5" i="23"/>
  <c r="T5" i="23" s="1"/>
  <c r="V5" i="23" s="1"/>
  <c r="R15" i="23"/>
  <c r="V15" i="23" s="1"/>
  <c r="R14" i="23"/>
  <c r="V14" i="23" s="1"/>
  <c r="T3" i="23"/>
  <c r="R13" i="22"/>
  <c r="V13" i="22" s="1"/>
  <c r="V18" i="22" s="1"/>
  <c r="R13" i="33"/>
  <c r="V13" i="33" s="1"/>
  <c r="V17" i="33" s="1"/>
  <c r="R13" i="14"/>
  <c r="V13" i="14" s="1"/>
  <c r="K11" i="20"/>
  <c r="L13" i="20" s="1"/>
  <c r="L14" i="20" s="1"/>
  <c r="R4" i="20"/>
  <c r="T4" i="20" s="1"/>
  <c r="V4" i="20" s="1"/>
  <c r="T4" i="23"/>
  <c r="V4" i="23" s="1"/>
  <c r="R5" i="22"/>
  <c r="T5" i="22" s="1"/>
  <c r="V5" i="22" s="1"/>
  <c r="T4" i="22"/>
  <c r="V4" i="22" s="1"/>
  <c r="T3" i="22"/>
  <c r="R14" i="33"/>
  <c r="V14" i="33" s="1"/>
  <c r="R5" i="33"/>
  <c r="T5" i="33" s="1"/>
  <c r="V5" i="33" s="1"/>
  <c r="T4" i="33"/>
  <c r="V4" i="33" s="1"/>
  <c r="T3" i="33"/>
  <c r="R14" i="14"/>
  <c r="V14" i="14" s="1"/>
  <c r="R5" i="14"/>
  <c r="T5" i="14" s="1"/>
  <c r="V5" i="14" s="1"/>
  <c r="T4" i="14"/>
  <c r="V4" i="14" s="1"/>
  <c r="T3" i="14"/>
  <c r="R13" i="13"/>
  <c r="V13" i="13" s="1"/>
  <c r="T4" i="13"/>
  <c r="V4" i="13" s="1"/>
  <c r="R5" i="13"/>
  <c r="T5" i="13" s="1"/>
  <c r="V5" i="13" s="1"/>
  <c r="T3" i="13"/>
  <c r="K11" i="10"/>
  <c r="T3" i="10"/>
  <c r="R4" i="8"/>
  <c r="R13" i="8" s="1"/>
  <c r="V13" i="8" s="1"/>
  <c r="K8" i="8"/>
  <c r="J13" i="10" l="1"/>
  <c r="X30" i="8"/>
  <c r="R5" i="10"/>
  <c r="T5" i="10" s="1"/>
  <c r="V5" i="10" s="1"/>
  <c r="V16" i="13"/>
  <c r="V28" i="29"/>
  <c r="V30" i="29" s="1"/>
  <c r="V36" i="29" s="1"/>
  <c r="V36" i="24"/>
  <c r="G6" i="18"/>
  <c r="T4" i="10"/>
  <c r="V4" i="10" s="1"/>
  <c r="W37" i="24"/>
  <c r="W38" i="24" s="1"/>
  <c r="V7" i="18"/>
  <c r="V10" i="18" s="1"/>
  <c r="V17" i="18" s="1"/>
  <c r="V11" i="28"/>
  <c r="V13" i="28" s="1"/>
  <c r="V19" i="28" s="1"/>
  <c r="V6" i="17"/>
  <c r="V9" i="17" s="1"/>
  <c r="V30" i="28"/>
  <c r="V32" i="28" s="1"/>
  <c r="V38" i="28" s="1"/>
  <c r="V19" i="23"/>
  <c r="V18" i="29"/>
  <c r="V38" i="29" s="1"/>
  <c r="V3" i="24"/>
  <c r="V10" i="24" s="1"/>
  <c r="G6" i="24"/>
  <c r="G6" i="17"/>
  <c r="V3" i="23"/>
  <c r="V8" i="23" s="1"/>
  <c r="V12" i="23" s="1"/>
  <c r="G6" i="23"/>
  <c r="G6" i="22"/>
  <c r="V3" i="22"/>
  <c r="V18" i="14"/>
  <c r="V3" i="14"/>
  <c r="V7" i="14" s="1"/>
  <c r="V11" i="14" s="1"/>
  <c r="V19" i="14" s="1"/>
  <c r="L18" i="14" s="1"/>
  <c r="G6" i="14"/>
  <c r="V3" i="13"/>
  <c r="G6" i="13"/>
  <c r="R39" i="10"/>
  <c r="T39" i="10" s="1"/>
  <c r="V39" i="10" s="1"/>
  <c r="T38" i="10"/>
  <c r="R26" i="10"/>
  <c r="T26" i="10" s="1"/>
  <c r="V26" i="10" s="1"/>
  <c r="T25" i="10"/>
  <c r="R41" i="10"/>
  <c r="T41" i="10" s="1"/>
  <c r="V41" i="10" s="1"/>
  <c r="R28" i="10"/>
  <c r="T28" i="10" s="1"/>
  <c r="V28" i="10" s="1"/>
  <c r="V3" i="10"/>
  <c r="R26" i="20"/>
  <c r="T26" i="20" s="1"/>
  <c r="V26" i="20" s="1"/>
  <c r="T25" i="20"/>
  <c r="T38" i="20"/>
  <c r="R39" i="20"/>
  <c r="T39" i="20" s="1"/>
  <c r="V39" i="20" s="1"/>
  <c r="R24" i="8"/>
  <c r="T24" i="8" s="1"/>
  <c r="V24" i="8" s="1"/>
  <c r="T23" i="8"/>
  <c r="V23" i="8" s="1"/>
  <c r="T35" i="8"/>
  <c r="V35" i="8" s="1"/>
  <c r="R36" i="8"/>
  <c r="T36" i="8" s="1"/>
  <c r="V36" i="8" s="1"/>
  <c r="R6" i="8"/>
  <c r="T6" i="8" s="1"/>
  <c r="V6" i="8" s="1"/>
  <c r="R37" i="8"/>
  <c r="T37" i="8" s="1"/>
  <c r="V37" i="8" s="1"/>
  <c r="R25" i="8"/>
  <c r="T25" i="8" s="1"/>
  <c r="V25" i="8" s="1"/>
  <c r="V3" i="33"/>
  <c r="V7" i="33" s="1"/>
  <c r="V11" i="33" s="1"/>
  <c r="V18" i="33" s="1"/>
  <c r="G6" i="33"/>
  <c r="R15" i="20"/>
  <c r="V15" i="20" s="1"/>
  <c r="R6" i="10"/>
  <c r="T6" i="10" s="1"/>
  <c r="R7" i="10"/>
  <c r="R5" i="20"/>
  <c r="T5" i="20" s="1"/>
  <c r="V5" i="20" s="1"/>
  <c r="V8" i="20" s="1"/>
  <c r="R14" i="20"/>
  <c r="V14" i="20" s="1"/>
  <c r="T4" i="8"/>
  <c r="R14" i="8"/>
  <c r="V14" i="8" s="1"/>
  <c r="V18" i="8" s="1"/>
  <c r="R5" i="8"/>
  <c r="T5" i="8" s="1"/>
  <c r="V5" i="8" s="1"/>
  <c r="V30" i="8" l="1"/>
  <c r="V31" i="8" s="1"/>
  <c r="M19" i="14"/>
  <c r="J20" i="14"/>
  <c r="V19" i="17"/>
  <c r="M21" i="28"/>
  <c r="L14" i="18"/>
  <c r="J15" i="18" s="1"/>
  <c r="V19" i="18"/>
  <c r="V21" i="14"/>
  <c r="L15" i="18"/>
  <c r="L19" i="18"/>
  <c r="L22" i="18" s="1"/>
  <c r="M23" i="18" s="1"/>
  <c r="V39" i="24"/>
  <c r="W40" i="24" s="1"/>
  <c r="V12" i="24"/>
  <c r="V18" i="24" s="1"/>
  <c r="L18" i="24" s="1"/>
  <c r="L19" i="24" s="1"/>
  <c r="U39" i="28"/>
  <c r="V39" i="28"/>
  <c r="V41" i="28" s="1"/>
  <c r="T40" i="28"/>
  <c r="U40" i="28"/>
  <c r="L16" i="18"/>
  <c r="G6" i="8"/>
  <c r="V7" i="22"/>
  <c r="V11" i="22" s="1"/>
  <c r="V19" i="22" s="1"/>
  <c r="V6" i="13"/>
  <c r="V10" i="13" s="1"/>
  <c r="V17" i="13" s="1"/>
  <c r="M12" i="13" s="1"/>
  <c r="V38" i="10"/>
  <c r="V25" i="10"/>
  <c r="V29" i="10" s="1"/>
  <c r="V33" i="10" s="1"/>
  <c r="V20" i="20"/>
  <c r="V25" i="20"/>
  <c r="V38" i="20"/>
  <c r="V38" i="8"/>
  <c r="V42" i="8" s="1"/>
  <c r="V43" i="8" s="1"/>
  <c r="V26" i="8"/>
  <c r="V12" i="20"/>
  <c r="G6" i="20"/>
  <c r="V6" i="10"/>
  <c r="V4" i="8"/>
  <c r="T7" i="10"/>
  <c r="V7" i="10" s="1"/>
  <c r="R14" i="10"/>
  <c r="V14" i="10" s="1"/>
  <c r="V20" i="10" s="1"/>
  <c r="X33" i="8" l="1"/>
  <c r="X35" i="8" s="1"/>
  <c r="V34" i="10"/>
  <c r="M35" i="10" s="1"/>
  <c r="M37" i="10" s="1"/>
  <c r="M38" i="10" s="1"/>
  <c r="X20" i="8"/>
  <c r="X22" i="8" s="1"/>
  <c r="M15" i="13"/>
  <c r="L17" i="13" s="1"/>
  <c r="M20" i="10"/>
  <c r="W28" i="23"/>
  <c r="V24" i="23"/>
  <c r="W23" i="23" s="1"/>
  <c r="U21" i="14"/>
  <c r="V22" i="14"/>
  <c r="V23" i="14" s="1"/>
  <c r="V24" i="14" s="1"/>
  <c r="M18" i="14"/>
  <c r="U18" i="17"/>
  <c r="U20" i="17" s="1"/>
  <c r="V40" i="24"/>
  <c r="V7" i="8"/>
  <c r="V11" i="8" s="1"/>
  <c r="V42" i="20"/>
  <c r="V46" i="20" s="1"/>
  <c r="V47" i="20" s="1"/>
  <c r="V29" i="20"/>
  <c r="V33" i="20" s="1"/>
  <c r="V34" i="20" s="1"/>
  <c r="L33" i="20" s="1"/>
  <c r="V42" i="10"/>
  <c r="V46" i="10" s="1"/>
  <c r="V47" i="10" s="1"/>
  <c r="J20" i="10" s="1"/>
  <c r="V8" i="10"/>
  <c r="V12" i="10" s="1"/>
  <c r="V21" i="10" s="1"/>
  <c r="M13" i="10" s="1"/>
  <c r="V21" i="20"/>
  <c r="L16" i="20" s="1"/>
  <c r="G6" i="10"/>
  <c r="M15" i="10" l="1"/>
  <c r="M17" i="10" s="1"/>
  <c r="H18" i="10" s="1"/>
  <c r="J15" i="10"/>
  <c r="L17" i="20"/>
  <c r="V19" i="13"/>
  <c r="U20" i="13" s="1"/>
  <c r="L34" i="20"/>
  <c r="L36" i="20"/>
  <c r="L14" i="10"/>
  <c r="S25" i="23"/>
  <c r="L20" i="14"/>
  <c r="L21" i="14" s="1"/>
  <c r="M20" i="14"/>
  <c r="V19" i="8"/>
  <c r="H14" i="8" l="1"/>
  <c r="M22" i="10"/>
  <c r="M34" i="20"/>
  <c r="M35" i="20" s="1"/>
  <c r="J16" i="10"/>
  <c r="K21" i="8"/>
  <c r="H18" i="8" l="1"/>
  <c r="J17" i="10"/>
  <c r="H15" i="8"/>
  <c r="I21" i="8"/>
  <c r="J18" i="8" l="1"/>
  <c r="J19" i="8"/>
</calcChain>
</file>

<file path=xl/sharedStrings.xml><?xml version="1.0" encoding="utf-8"?>
<sst xmlns="http://schemas.openxmlformats.org/spreadsheetml/2006/main" count="1267" uniqueCount="156">
  <si>
    <t>W</t>
  </si>
  <si>
    <t>H</t>
  </si>
  <si>
    <t>Số lượng</t>
  </si>
  <si>
    <t>Mã</t>
  </si>
  <si>
    <t>Tên</t>
  </si>
  <si>
    <t>Kích thước</t>
  </si>
  <si>
    <t>Ngang</t>
  </si>
  <si>
    <t>Cao</t>
  </si>
  <si>
    <t>THÔNG TIN CÔNG TRÌNH</t>
  </si>
  <si>
    <t>KÍCH THƯỚC SẢN XUẤT</t>
  </si>
  <si>
    <t>Ngang K.B</t>
  </si>
  <si>
    <t>Đứng K.B</t>
  </si>
  <si>
    <t>N. Cánh</t>
  </si>
  <si>
    <t>Đ. Cánh</t>
  </si>
  <si>
    <t>STT</t>
  </si>
  <si>
    <t>Kính</t>
  </si>
  <si>
    <t>Đố động</t>
  </si>
  <si>
    <t>N/Cánh</t>
  </si>
  <si>
    <t>Đ/Cánh</t>
  </si>
  <si>
    <t>01</t>
  </si>
  <si>
    <t>02</t>
  </si>
  <si>
    <t>03</t>
  </si>
  <si>
    <t>04</t>
  </si>
  <si>
    <t xml:space="preserve">Tên </t>
  </si>
  <si>
    <t>05</t>
  </si>
  <si>
    <t>06</t>
  </si>
  <si>
    <t>Trung gian</t>
  </si>
  <si>
    <t>Đố tĩnh</t>
  </si>
  <si>
    <t>07</t>
  </si>
  <si>
    <t>N/trên K.B</t>
  </si>
  <si>
    <t>N/dướiK.B</t>
  </si>
  <si>
    <t>N.cánh dưới</t>
  </si>
  <si>
    <t>Đ.cánh trơn</t>
  </si>
  <si>
    <t>Đ.cánh móc</t>
  </si>
  <si>
    <t>N.cánh trên</t>
  </si>
  <si>
    <t>Nẹp dưới</t>
  </si>
  <si>
    <t>AH</t>
  </si>
  <si>
    <t xml:space="preserve">N.cánh </t>
  </si>
  <si>
    <t>Đ.cánh</t>
  </si>
  <si>
    <t>GHI CHÚ</t>
  </si>
  <si>
    <t xml:space="preserve"> </t>
  </si>
  <si>
    <t>ĐỨNG K.B</t>
  </si>
  <si>
    <t>HỞ NỀN</t>
  </si>
  <si>
    <t>X</t>
  </si>
  <si>
    <t xml:space="preserve">ĐƠN GIÁ </t>
  </si>
  <si>
    <t>THÀNH TIỀN</t>
  </si>
  <si>
    <t>DIỆN TÍCH</t>
  </si>
  <si>
    <t>RON KÍNH</t>
  </si>
  <si>
    <t>CỬA ĐI 1 CÁNH MỞ QUAY</t>
  </si>
  <si>
    <t>ÂM NỀN</t>
  </si>
  <si>
    <t>BẢN SẢN XUẤT</t>
  </si>
  <si>
    <t>SẢN PHẨM</t>
  </si>
  <si>
    <t>MÉT DÀI</t>
  </si>
  <si>
    <t>KHUNG BAO CỬA ĐI</t>
  </si>
  <si>
    <t>CÁNH CỬA ĐI</t>
  </si>
  <si>
    <t>NẸP KÍNH CÁNH</t>
  </si>
  <si>
    <t>ỐP CHÂN CÁNH</t>
  </si>
  <si>
    <t>Ốp dưới</t>
  </si>
  <si>
    <t>SỐ LƯỢNG</t>
  </si>
  <si>
    <t>KE VĨNH CỬU KHUNG BAO</t>
  </si>
  <si>
    <t>KE VĨNH CỬU CÁNH</t>
  </si>
  <si>
    <t>KE TĂNG CỨNG</t>
  </si>
  <si>
    <t>TRỌNG LƯỢNG
MD</t>
  </si>
  <si>
    <t>SỐ LƯỢNG 
TRỌNG LƯỢNG T</t>
  </si>
  <si>
    <t xml:space="preserve">CHÍ PHÍ </t>
  </si>
  <si>
    <t>TỔNG CHI PHÍ VẬT LIỆU CHÍNH</t>
  </si>
  <si>
    <t>RON KHUNG BAO</t>
  </si>
  <si>
    <t>NHỰA ỐP CHÂN</t>
  </si>
  <si>
    <t>ỐC VÍT LIÊN KẾT</t>
  </si>
  <si>
    <t>TỔNG CHI PHÍ VẬT TƯ CỬA</t>
  </si>
  <si>
    <t>GIẤY ĐÓNG GÓI + PE</t>
  </si>
  <si>
    <t>ĐỐ ĐỘNG</t>
  </si>
  <si>
    <t>NHỰA ĐỐ ĐỘNG</t>
  </si>
  <si>
    <t>4 KE VĨNH CỬU 1 CÁNH</t>
  </si>
  <si>
    <t>8 KE TĂNG CỨNG 1 CÁNH</t>
  </si>
  <si>
    <t>1 CẶP CHO 1 CÁNH</t>
  </si>
  <si>
    <t>1 CÁI CHO 1 ĐẦU TRÊN</t>
  </si>
  <si>
    <t>1 BỘ CỬA</t>
  </si>
  <si>
    <t>KHẤU HAO DX NHÔM</t>
  </si>
  <si>
    <t>KÍNH</t>
  </si>
  <si>
    <t xml:space="preserve">KHUNG BAO CỬA SỔ </t>
  </si>
  <si>
    <t>CÁNH CỬA SỔ</t>
  </si>
  <si>
    <t>KE VĨNH CỬU CÁNH - 25*40</t>
  </si>
  <si>
    <t>KE VĨNH CỬU KHUNG BAO - 14*43</t>
  </si>
  <si>
    <t>4 KE VĨNH CỬU 1 KHUNG</t>
  </si>
  <si>
    <t xml:space="preserve">1 CẶP </t>
  </si>
  <si>
    <t>1 BỘ</t>
  </si>
  <si>
    <t>ĐỐ TĨNH</t>
  </si>
  <si>
    <t>`</t>
  </si>
  <si>
    <t xml:space="preserve">ĐỐ ĐỘNG </t>
  </si>
  <si>
    <t>KE KHUNG BAO - 14*43</t>
  </si>
  <si>
    <t>KE CÁNH - 25*40</t>
  </si>
  <si>
    <t>KHUNG BAO LÙA SỔ</t>
  </si>
  <si>
    <t>CÁNH LÙA SỔ</t>
  </si>
  <si>
    <t>ỐP MÓC</t>
  </si>
  <si>
    <t>LONG NHEO</t>
  </si>
  <si>
    <t>CHỐNG VA ĐẠP</t>
  </si>
  <si>
    <t>TRUNG GIAN</t>
  </si>
  <si>
    <t>KHUNG BAO ĐỨNG</t>
  </si>
  <si>
    <t>KHUNG BAO NGANG TRÊN</t>
  </si>
  <si>
    <t>KHUNG BAO NGANG DƯỚI</t>
  </si>
  <si>
    <t>ĐỨNG CÁNH MÓC</t>
  </si>
  <si>
    <t>ĐỨNG CÁNH TRƠN</t>
  </si>
  <si>
    <t xml:space="preserve">NGANG CÁNH TRÊN </t>
  </si>
  <si>
    <t>NGANG CÁNH DƯỚI</t>
  </si>
  <si>
    <t>NHỰA CHỐNG RUNG</t>
  </si>
  <si>
    <t>08</t>
  </si>
  <si>
    <t>09</t>
  </si>
  <si>
    <t>ĐÚNG CÁNH</t>
  </si>
  <si>
    <t>NẸP CÁNH</t>
  </si>
  <si>
    <t>KE  KHUNG BAO</t>
  </si>
  <si>
    <t>KE CÁNH</t>
  </si>
  <si>
    <t>RON CÁNH</t>
  </si>
  <si>
    <t>4 KE TĂNG CỨNG 1 CÁNH</t>
  </si>
  <si>
    <t xml:space="preserve">SỐ LƯỢNG 
TRỌNG LƯỢNG </t>
  </si>
  <si>
    <t>MÉT DÀI
( mm )</t>
  </si>
  <si>
    <t>KHUNG BAO CỬA SỔ</t>
  </si>
  <si>
    <t>KE KHUNG BAO 14*51</t>
  </si>
  <si>
    <t>KE CÁNH 14*25</t>
  </si>
  <si>
    <t>SỐ KG</t>
  </si>
  <si>
    <t>KHUNG BAO NGANG</t>
  </si>
  <si>
    <t>4 KE  1 CÁNH</t>
  </si>
  <si>
    <t>KE  KHUNG BAO VÁCH KÍNH 14*51</t>
  </si>
  <si>
    <t>NẸP NỐI</t>
  </si>
  <si>
    <t xml:space="preserve">NẸP KÍNH </t>
  </si>
  <si>
    <t>C3209</t>
  </si>
  <si>
    <t>C3210</t>
  </si>
  <si>
    <t>C3300</t>
  </si>
  <si>
    <t>N KB</t>
  </si>
  <si>
    <t>D KB</t>
  </si>
  <si>
    <t>LÁ SÁCH</t>
  </si>
  <si>
    <t xml:space="preserve">KHUNG BAO NGANG </t>
  </si>
  <si>
    <t>E1283</t>
  </si>
  <si>
    <t>E192</t>
  </si>
  <si>
    <t>KE KHUNG BAO - 31*41</t>
  </si>
  <si>
    <t>KE CÁNH - 31*41</t>
  </si>
  <si>
    <t>ĐỐ CHIA PANO</t>
  </si>
  <si>
    <t>CHÍ PHÍ  NHÔM 1,4MM</t>
  </si>
  <si>
    <t>CHÍ PHÍ NHÔM 1.0MM</t>
  </si>
  <si>
    <t>CHÍ PHÍ NHÔM 2,0MM</t>
  </si>
  <si>
    <t>CHÍ PHÍ NHÔM 2,MM</t>
  </si>
  <si>
    <t>CHÍ PHÍ NHÔM 1,4MM</t>
  </si>
  <si>
    <t>CHÍ PHÍ NHÔM 1,0MM</t>
  </si>
  <si>
    <t>CHÍ PHÍ 1,4MM</t>
  </si>
  <si>
    <t>CHÍ PHÍ 2,0MM</t>
  </si>
  <si>
    <t>TỔNG CHI PHÍ CỬA</t>
  </si>
  <si>
    <t>CHÍ PHÍ CỬA 2.MM</t>
  </si>
  <si>
    <t>CHÍ PHÍ CỬA 1,4MM</t>
  </si>
  <si>
    <t>NK T</t>
  </si>
  <si>
    <t>NK D</t>
  </si>
  <si>
    <t xml:space="preserve">DK </t>
  </si>
  <si>
    <t xml:space="preserve">CÁNH LÙA </t>
  </si>
  <si>
    <t>D5060</t>
  </si>
  <si>
    <t>D5062</t>
  </si>
  <si>
    <t>D50601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</si>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</sst>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%"/>
    <numFmt numFmtId="167" formatCode="0.000"/>
  </numFmts>
  <fonts count="12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u/>
      <sz val="15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4" fontId="1" fillId="0" borderId="0" xfId="1" applyNumberFormat="1" applyFont="1"/>
    <xf numFmtId="0" fontId="1" fillId="0" borderId="0" xfId="0" applyFont="1" applyAlignment="1">
      <alignment vertical="center"/>
    </xf>
    <xf numFmtId="16" fontId="2" fillId="0" borderId="1" xfId="0" quotePrefix="1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4" fontId="5" fillId="0" borderId="0" xfId="1" applyNumberFormat="1" applyFont="1"/>
    <xf numFmtId="164" fontId="9" fillId="0" borderId="0" xfId="1" applyNumberFormat="1" applyFont="1"/>
    <xf numFmtId="0" fontId="1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164" fontId="1" fillId="4" borderId="1" xfId="1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4" fontId="1" fillId="0" borderId="1" xfId="1" applyNumberFormat="1" applyFont="1" applyBorder="1" applyAlignment="1"/>
    <xf numFmtId="164" fontId="1" fillId="0" borderId="1" xfId="0" applyNumberFormat="1" applyFont="1" applyBorder="1" applyAlignment="1">
      <alignment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3" borderId="1" xfId="1" applyNumberFormat="1" applyFont="1" applyFill="1" applyBorder="1" applyAlignment="1">
      <alignment horizontal="right"/>
    </xf>
    <xf numFmtId="164" fontId="1" fillId="3" borderId="0" xfId="1" applyNumberFormat="1" applyFont="1" applyFill="1" applyBorder="1" applyAlignment="1">
      <alignment horizontal="right"/>
    </xf>
    <xf numFmtId="164" fontId="1" fillId="3" borderId="0" xfId="1" applyNumberFormat="1" applyFont="1" applyFill="1" applyBorder="1" applyAlignment="1"/>
    <xf numFmtId="164" fontId="1" fillId="3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/>
    <xf numFmtId="9" fontId="1" fillId="0" borderId="1" xfId="2" applyFont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1" fillId="3" borderId="1" xfId="0" applyFont="1" applyFill="1" applyBorder="1"/>
    <xf numFmtId="0" fontId="1" fillId="0" borderId="9" xfId="0" applyFont="1" applyBorder="1" applyAlignment="1">
      <alignment horizontal="center"/>
    </xf>
    <xf numFmtId="0" fontId="1" fillId="0" borderId="12" xfId="0" applyFont="1" applyBorder="1"/>
    <xf numFmtId="0" fontId="1" fillId="3" borderId="0" xfId="0" applyFont="1" applyFill="1" applyAlignment="1">
      <alignment horizontal="center"/>
    </xf>
    <xf numFmtId="3" fontId="1" fillId="3" borderId="0" xfId="1" applyNumberFormat="1" applyFont="1" applyFill="1" applyBorder="1"/>
    <xf numFmtId="164" fontId="1" fillId="3" borderId="0" xfId="1" applyNumberFormat="1" applyFont="1" applyFill="1" applyBorder="1"/>
    <xf numFmtId="164" fontId="1" fillId="3" borderId="0" xfId="1" applyNumberFormat="1" applyFont="1" applyFill="1" applyBorder="1" applyAlignment="1">
      <alignment horizontal="center"/>
    </xf>
    <xf numFmtId="43" fontId="1" fillId="3" borderId="0" xfId="1" applyFont="1" applyFill="1" applyBorder="1" applyAlignment="1">
      <alignment horizontal="center"/>
    </xf>
    <xf numFmtId="3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5" fontId="1" fillId="3" borderId="0" xfId="1" applyNumberFormat="1" applyFont="1" applyFill="1" applyBorder="1"/>
    <xf numFmtId="164" fontId="8" fillId="3" borderId="0" xfId="1" applyNumberFormat="1" applyFont="1" applyFill="1" applyBorder="1"/>
    <xf numFmtId="0" fontId="7" fillId="3" borderId="0" xfId="0" applyFont="1" applyFill="1"/>
    <xf numFmtId="0" fontId="1" fillId="0" borderId="9" xfId="0" quotePrefix="1" applyFont="1" applyBorder="1" applyAlignment="1">
      <alignment horizontal="center" vertical="center"/>
    </xf>
    <xf numFmtId="0" fontId="6" fillId="3" borderId="8" xfId="0" applyFont="1" applyFill="1" applyBorder="1"/>
    <xf numFmtId="0" fontId="2" fillId="0" borderId="7" xfId="0" applyFont="1" applyBorder="1" applyAlignment="1">
      <alignment vertical="center"/>
    </xf>
    <xf numFmtId="0" fontId="1" fillId="0" borderId="9" xfId="0" applyFont="1" applyBorder="1"/>
    <xf numFmtId="43" fontId="1" fillId="0" borderId="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0" borderId="1" xfId="1" quotePrefix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 vertical="center"/>
    </xf>
    <xf numFmtId="0" fontId="1" fillId="4" borderId="10" xfId="0" applyFont="1" applyFill="1" applyBorder="1"/>
    <xf numFmtId="0" fontId="6" fillId="3" borderId="0" xfId="0" applyFont="1" applyFill="1" applyAlignment="1">
      <alignment horizontal="center" vertical="center"/>
    </xf>
    <xf numFmtId="167" fontId="1" fillId="3" borderId="1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vertical="center"/>
    </xf>
    <xf numFmtId="0" fontId="6" fillId="3" borderId="7" xfId="0" applyFont="1" applyFill="1" applyBorder="1"/>
    <xf numFmtId="0" fontId="6" fillId="3" borderId="15" xfId="0" applyFont="1" applyFill="1" applyBorder="1"/>
    <xf numFmtId="0" fontId="6" fillId="0" borderId="9" xfId="0" applyFont="1" applyBorder="1" applyAlignment="1">
      <alignment horizontal="center" vertical="center"/>
    </xf>
    <xf numFmtId="43" fontId="1" fillId="0" borderId="0" xfId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1" fillId="3" borderId="11" xfId="1" applyNumberFormat="1" applyFont="1" applyFill="1" applyBorder="1" applyAlignment="1">
      <alignment horizontal="center"/>
    </xf>
    <xf numFmtId="43" fontId="1" fillId="0" borderId="11" xfId="1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right"/>
    </xf>
    <xf numFmtId="164" fontId="1" fillId="2" borderId="1" xfId="1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9" fontId="1" fillId="0" borderId="0" xfId="2" applyFont="1"/>
    <xf numFmtId="164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43" fontId="1" fillId="0" borderId="0" xfId="0" applyNumberFormat="1" applyFont="1"/>
    <xf numFmtId="9" fontId="6" fillId="3" borderId="0" xfId="2" applyFont="1" applyFill="1" applyAlignment="1">
      <alignment horizontal="center"/>
    </xf>
    <xf numFmtId="43" fontId="1" fillId="3" borderId="0" xfId="0" applyNumberFormat="1" applyFont="1" applyFill="1"/>
    <xf numFmtId="43" fontId="7" fillId="0" borderId="0" xfId="0" applyNumberFormat="1" applyFont="1"/>
    <xf numFmtId="43" fontId="1" fillId="2" borderId="1" xfId="1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64" fontId="6" fillId="3" borderId="0" xfId="1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6" fillId="3" borderId="0" xfId="0" applyNumberFormat="1" applyFont="1" applyFill="1" applyAlignment="1">
      <alignment horizontal="center"/>
    </xf>
    <xf numFmtId="9" fontId="6" fillId="3" borderId="0" xfId="2" applyFont="1" applyFill="1" applyAlignment="1">
      <alignment horizontal="center"/>
    </xf>
    <xf numFmtId="43" fontId="6" fillId="3" borderId="0" xfId="0" applyNumberFormat="1" applyFont="1" applyFill="1" applyAlignment="1">
      <alignment horizontal="center"/>
    </xf>
    <xf numFmtId="9" fontId="6" fillId="3" borderId="0" xfId="2" applyFont="1" applyFill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6" fontId="6" fillId="3" borderId="0" xfId="2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43" fontId="6" fillId="3" borderId="0" xfId="0" applyNumberFormat="1" applyFont="1" applyFill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166" fontId="6" fillId="3" borderId="11" xfId="2" applyNumberFormat="1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4" fontId="6" fillId="3" borderId="8" xfId="1" applyNumberFormat="1" applyFont="1" applyFill="1" applyBorder="1" applyAlignment="1">
      <alignment horizontal="center"/>
    </xf>
    <xf numFmtId="164" fontId="6" fillId="3" borderId="9" xfId="1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164" fontId="6" fillId="3" borderId="12" xfId="1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6" fontId="6" fillId="3" borderId="8" xfId="2" applyNumberFormat="1" applyFont="1" applyFill="1" applyBorder="1" applyAlignment="1">
      <alignment horizontal="center"/>
    </xf>
    <xf numFmtId="166" fontId="6" fillId="3" borderId="9" xfId="2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6" xfId="1" applyNumberFormat="1" applyFont="1" applyFill="1" applyBorder="1" applyAlignment="1">
      <alignment horizontal="center"/>
    </xf>
    <xf numFmtId="164" fontId="6" fillId="3" borderId="15" xfId="1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831478</xdr:colOff>
      <xdr:row>2</xdr:row>
      <xdr:rowOff>375398</xdr:rowOff>
    </xdr:from>
    <xdr:to>
      <xdr:col>3</xdr:col>
      <xdr:colOff>510988</xdr:colOff>
      <xdr:row>8</xdr:row>
      <xdr:rowOff>286316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03831" y="1146363"/>
          <a:ext cx="2099981" cy="2988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720977</xdr:colOff>
      <xdr:row>2</xdr:row>
      <xdr:rowOff>467268</xdr:rowOff>
    </xdr:from>
    <xdr:to>
      <xdr:col>3</xdr:col>
      <xdr:colOff>1508</xdr:colOff>
      <xdr:row>8</xdr:row>
      <xdr:rowOff>360317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6441" y="1419768"/>
          <a:ext cx="2081893" cy="275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217715</xdr:colOff>
      <xdr:row>3</xdr:row>
      <xdr:rowOff>298905</xdr:rowOff>
    </xdr:from>
    <xdr:to>
      <xdr:col>3</xdr:col>
      <xdr:colOff>762000</xdr:colOff>
      <xdr:row>8</xdr:row>
      <xdr:rowOff>290286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1" y="2040619"/>
          <a:ext cx="3156856" cy="2894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1111248</xdr:colOff>
      <xdr:row>2</xdr:row>
      <xdr:rowOff>289169</xdr:rowOff>
    </xdr:from>
    <xdr:ext cx="2815981" cy="242179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6633" y="1402861"/>
          <a:ext cx="2815981" cy="242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309554</xdr:colOff>
      <xdr:row>2</xdr:row>
      <xdr:rowOff>397183</xdr:rowOff>
    </xdr:from>
    <xdr:to>
      <xdr:col>3</xdr:col>
      <xdr:colOff>1044220</xdr:colOff>
      <xdr:row>9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5887" y="1469627"/>
          <a:ext cx="3867333" cy="3356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226484</xdr:colOff>
      <xdr:row>3</xdr:row>
      <xdr:rowOff>103717</xdr:rowOff>
    </xdr:from>
    <xdr:to>
      <xdr:col>3</xdr:col>
      <xdr:colOff>366890</xdr:colOff>
      <xdr:row>7</xdr:row>
      <xdr:rowOff>352777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817" y="1585384"/>
          <a:ext cx="3131961" cy="2224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200922</xdr:colOff>
      <xdr:row>3</xdr:row>
      <xdr:rowOff>450371</xdr:rowOff>
    </xdr:from>
    <xdr:to>
      <xdr:col>3</xdr:col>
      <xdr:colOff>1092678</xdr:colOff>
      <xdr:row>8</xdr:row>
      <xdr:rowOff>115019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394" y="2132522"/>
          <a:ext cx="3594699" cy="246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524933</xdr:colOff>
      <xdr:row>2</xdr:row>
      <xdr:rowOff>56091</xdr:rowOff>
    </xdr:from>
    <xdr:to>
      <xdr:col>3</xdr:col>
      <xdr:colOff>728132</xdr:colOff>
      <xdr:row>8</xdr:row>
      <xdr:rowOff>169333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733" y="970491"/>
          <a:ext cx="2844799" cy="2856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548105</xdr:colOff>
      <xdr:row>2</xdr:row>
      <xdr:rowOff>352927</xdr:rowOff>
    </xdr:from>
    <xdr:to>
      <xdr:col>3</xdr:col>
      <xdr:colOff>775369</xdr:colOff>
      <xdr:row>8</xdr:row>
      <xdr:rowOff>347579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47" y="1155032"/>
          <a:ext cx="2900948" cy="240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3</xdr:row>
      <xdr:rowOff>303966</xdr:rowOff>
    </xdr:from>
    <xdr:to>
      <xdr:col>3</xdr:col>
      <xdr:colOff>644236</xdr:colOff>
      <xdr:row>7</xdr:row>
      <xdr:rowOff>427341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912620" y="1629846"/>
          <a:ext cx="2800696" cy="18912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702085</xdr:colOff>
      <xdr:row>3</xdr:row>
      <xdr:rowOff>102318</xdr:rowOff>
    </xdr:from>
    <xdr:to>
      <xdr:col>3</xdr:col>
      <xdr:colOff>236712</xdr:colOff>
      <xdr:row>7</xdr:row>
      <xdr:rowOff>420576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891" y="1392802"/>
          <a:ext cx="1550240" cy="203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44"/>
  <sheetViews>
    <sheetView tabSelected="1" topLeftCell="A13" zoomScale="46" zoomScaleNormal="46" zoomScaleSheetLayoutView="85" workbookViewId="0">
      <selection activeCell="H20" sqref="H20:I20"/>
    </sheetView>
  </sheetViews>
  <sheetFormatPr defaultColWidth="15.6640625" defaultRowHeight="40.200000000000003" customHeight="1" x14ac:dyDescent="0.35"/>
  <cols>
    <col min="1" max="1" width="2.5546875" style="1" customWidth="1"/>
    <col min="2" max="9" width="15.6640625" style="1"/>
    <col min="10" max="10" width="18.21875" style="1" bestFit="1" customWidth="1"/>
    <col min="11" max="12" width="15.6640625" style="1"/>
    <col min="13" max="13" width="5.44140625" style="1" customWidth="1"/>
    <col min="14" max="14" width="10.6640625" style="1" customWidth="1"/>
    <col min="15" max="15" width="22.21875" style="1" customWidth="1"/>
    <col min="16" max="16" width="19.109375" style="1" customWidth="1"/>
    <col min="17" max="17" width="22.21875" style="1" hidden="1" customWidth="1"/>
    <col min="18" max="22" width="22.21875" style="1" customWidth="1"/>
    <col min="23" max="23" width="45" style="1" customWidth="1"/>
    <col min="24" max="35" width="22.21875" style="1" customWidth="1"/>
    <col min="36" max="16384" width="15.6640625" style="1"/>
  </cols>
  <sheetData>
    <row r="1" spans="2:24" ht="40.200000000000003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139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4" ht="78.75" customHeight="1" x14ac:dyDescent="0.35">
      <c r="B2" s="123" t="s">
        <v>48</v>
      </c>
      <c r="C2" s="123"/>
      <c r="D2" s="123"/>
      <c r="E2" s="123"/>
      <c r="F2" s="123"/>
      <c r="G2" s="20"/>
      <c r="H2" s="124" t="s">
        <v>14</v>
      </c>
      <c r="I2" s="123" t="s">
        <v>9</v>
      </c>
      <c r="J2" s="123"/>
      <c r="K2" s="123"/>
      <c r="L2" s="123"/>
      <c r="N2" s="26" t="s">
        <v>14</v>
      </c>
      <c r="O2" s="121" t="s">
        <v>51</v>
      </c>
      <c r="P2" s="121"/>
      <c r="Q2" s="121"/>
      <c r="R2" s="32" t="s">
        <v>115</v>
      </c>
      <c r="S2" s="32" t="s">
        <v>62</v>
      </c>
      <c r="T2" s="32" t="s">
        <v>114</v>
      </c>
      <c r="U2" s="26" t="s">
        <v>44</v>
      </c>
      <c r="V2" s="26" t="s">
        <v>45</v>
      </c>
      <c r="W2" s="26" t="s">
        <v>39</v>
      </c>
    </row>
    <row r="3" spans="2:24" ht="40.200000000000003" customHeight="1" x14ac:dyDescent="0.35">
      <c r="B3" s="125"/>
      <c r="C3" s="126"/>
      <c r="D3" s="126"/>
      <c r="E3" s="3" t="s">
        <v>0</v>
      </c>
      <c r="F3" s="18" t="s">
        <v>1</v>
      </c>
      <c r="G3" s="3" t="s">
        <v>2</v>
      </c>
      <c r="H3" s="124"/>
      <c r="I3" s="5" t="s">
        <v>4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53</v>
      </c>
      <c r="P3" s="115"/>
      <c r="Q3" s="115"/>
      <c r="R3" s="36">
        <f>K4*L4+K5*L5</f>
        <v>5305</v>
      </c>
      <c r="S3" s="31">
        <v>1.2569999999999999</v>
      </c>
      <c r="T3" s="34">
        <f>S3*R3</f>
        <v>6668.3849999999993</v>
      </c>
      <c r="U3" s="36">
        <v>105000</v>
      </c>
      <c r="V3" s="33">
        <f>U3*T3/1000</f>
        <v>700180.42499999993</v>
      </c>
      <c r="W3" s="76"/>
    </row>
    <row r="4" spans="2:24" ht="40.200000000000003" customHeight="1" x14ac:dyDescent="0.35">
      <c r="B4" s="125"/>
      <c r="C4" s="126"/>
      <c r="D4" s="126"/>
      <c r="E4" s="3">
        <v>945</v>
      </c>
      <c r="F4" s="3">
        <v>2180</v>
      </c>
      <c r="G4" s="3">
        <v>1</v>
      </c>
      <c r="H4" s="6" t="s">
        <v>19</v>
      </c>
      <c r="I4" s="3" t="s">
        <v>10</v>
      </c>
      <c r="J4" s="6" t="str">
        <f>CONCATENATE($G$2,"-",$D$10,"-","3328","-","1")</f>
        <v>--3328-1</v>
      </c>
      <c r="K4" s="77">
        <f>E4</f>
        <v>945</v>
      </c>
      <c r="L4" s="3">
        <f>G4*1</f>
        <v>1</v>
      </c>
      <c r="N4" s="17">
        <f>N3+1</f>
        <v>2</v>
      </c>
      <c r="O4" s="114" t="s">
        <v>54</v>
      </c>
      <c r="P4" s="115"/>
      <c r="Q4" s="115"/>
      <c r="R4" s="36">
        <f>K6*L6+K7*L7</f>
        <v>6024</v>
      </c>
      <c r="S4" s="31">
        <v>1.4410000000000001</v>
      </c>
      <c r="T4" s="34">
        <f t="shared" ref="T4:T6" si="0">S4*R4</f>
        <v>8680.5840000000007</v>
      </c>
      <c r="U4" s="36">
        <v>105000</v>
      </c>
      <c r="V4" s="33">
        <f t="shared" ref="V4:V6" si="1">U4*T4/1000</f>
        <v>911461.32000000007</v>
      </c>
      <c r="W4" s="76"/>
    </row>
    <row r="5" spans="2:24" ht="40.200000000000003" customHeight="1" x14ac:dyDescent="0.35">
      <c r="B5" s="125"/>
      <c r="C5" s="126"/>
      <c r="D5" s="126"/>
      <c r="E5" s="42"/>
      <c r="F5" s="43" t="s">
        <v>46</v>
      </c>
      <c r="G5" s="43" t="s">
        <v>119</v>
      </c>
      <c r="H5" s="6" t="s">
        <v>20</v>
      </c>
      <c r="I5" s="3" t="s">
        <v>41</v>
      </c>
      <c r="J5" s="6" t="str">
        <f>CONCATENATE($G$2,"-",$D$10,"-","3328","-","2")</f>
        <v>--3328-2</v>
      </c>
      <c r="K5" s="77">
        <f>F4</f>
        <v>2180</v>
      </c>
      <c r="L5" s="3">
        <f>G4*2</f>
        <v>2</v>
      </c>
      <c r="N5" s="17">
        <f t="shared" ref="N5:N11" si="2">N4+1</f>
        <v>3</v>
      </c>
      <c r="O5" s="114" t="s">
        <v>55</v>
      </c>
      <c r="P5" s="115"/>
      <c r="Q5" s="115"/>
      <c r="R5" s="36">
        <f>R4</f>
        <v>6024</v>
      </c>
      <c r="S5" s="31">
        <v>0.27100000000000002</v>
      </c>
      <c r="T5" s="34">
        <f t="shared" si="0"/>
        <v>1632.5040000000001</v>
      </c>
      <c r="U5" s="36">
        <v>105000</v>
      </c>
      <c r="V5" s="33">
        <f t="shared" si="1"/>
        <v>171412.92</v>
      </c>
      <c r="W5" s="76"/>
    </row>
    <row r="6" spans="2:24" ht="40.200000000000003" customHeight="1" x14ac:dyDescent="0.35">
      <c r="B6" s="125"/>
      <c r="C6" s="126"/>
      <c r="D6" s="126"/>
      <c r="E6" s="54"/>
      <c r="F6" s="19">
        <f>F4*E4/1000</f>
        <v>2060.1</v>
      </c>
      <c r="G6" s="83">
        <f>SUM(T3:T6)</f>
        <v>17363.225000000002</v>
      </c>
      <c r="H6" s="6" t="s">
        <v>21</v>
      </c>
      <c r="I6" s="3" t="s">
        <v>12</v>
      </c>
      <c r="J6" s="6" t="str">
        <f>CONCATENATE($G$2,"-",$D$10,"-","3332","-","1")</f>
        <v>--3332-1</v>
      </c>
      <c r="K6" s="77">
        <f>K4-72-10</f>
        <v>863</v>
      </c>
      <c r="L6" s="3">
        <f>G4*2</f>
        <v>2</v>
      </c>
      <c r="N6" s="17">
        <f t="shared" si="2"/>
        <v>4</v>
      </c>
      <c r="O6" s="114" t="s">
        <v>56</v>
      </c>
      <c r="P6" s="115"/>
      <c r="Q6" s="115"/>
      <c r="R6" s="36">
        <f>K8*L8</f>
        <v>802</v>
      </c>
      <c r="S6" s="31">
        <v>0.47599999999999998</v>
      </c>
      <c r="T6" s="34">
        <f t="shared" si="0"/>
        <v>381.75200000000001</v>
      </c>
      <c r="U6" s="36">
        <v>105000</v>
      </c>
      <c r="V6" s="33">
        <f t="shared" si="1"/>
        <v>40083.96</v>
      </c>
      <c r="W6" s="76"/>
    </row>
    <row r="7" spans="2:24" ht="40.200000000000003" customHeight="1" x14ac:dyDescent="0.35">
      <c r="B7" s="125"/>
      <c r="C7" s="126"/>
      <c r="D7" s="126"/>
      <c r="E7" s="3"/>
      <c r="F7" s="43" t="s">
        <v>42</v>
      </c>
      <c r="G7" s="43" t="s">
        <v>49</v>
      </c>
      <c r="H7" s="6" t="s">
        <v>22</v>
      </c>
      <c r="I7" s="3" t="s">
        <v>13</v>
      </c>
      <c r="J7" s="6" t="str">
        <f>CONCATENATE($G$2,"-",$D$10,"-","3332","-","2")</f>
        <v>--3332-2</v>
      </c>
      <c r="K7" s="78">
        <f>IF(AND(F9="X",G9=""),K5-F8,0)+IF(AND(G9="X",F9=""),K5-G8,0)</f>
        <v>2149</v>
      </c>
      <c r="L7" s="3">
        <f>G4*2</f>
        <v>2</v>
      </c>
      <c r="N7" s="17">
        <f t="shared" si="2"/>
        <v>5</v>
      </c>
      <c r="O7" s="114" t="s">
        <v>78</v>
      </c>
      <c r="P7" s="115"/>
      <c r="Q7" s="119"/>
      <c r="R7" s="36"/>
      <c r="S7" s="31"/>
      <c r="T7" s="72"/>
      <c r="U7" s="52">
        <v>0.05</v>
      </c>
      <c r="V7" s="36">
        <f>SUM(V3:V6)*U7</f>
        <v>91156.931250000009</v>
      </c>
      <c r="W7" s="44"/>
    </row>
    <row r="8" spans="2:24" ht="40.200000000000003" customHeight="1" x14ac:dyDescent="0.35">
      <c r="B8" s="125"/>
      <c r="C8" s="126"/>
      <c r="D8" s="126"/>
      <c r="E8" s="3"/>
      <c r="F8" s="3">
        <v>51</v>
      </c>
      <c r="G8" s="3">
        <v>31</v>
      </c>
      <c r="H8" s="6" t="s">
        <v>24</v>
      </c>
      <c r="I8" s="3" t="s">
        <v>57</v>
      </c>
      <c r="J8" s="6" t="str">
        <f>CONCATENATE($G$2,"-",$D$10,"-","3329A","-","1")</f>
        <v>--3329A-1</v>
      </c>
      <c r="K8" s="79">
        <f>K6-61</f>
        <v>802</v>
      </c>
      <c r="L8" s="3">
        <f>G4*1</f>
        <v>1</v>
      </c>
      <c r="N8" s="17">
        <f t="shared" si="2"/>
        <v>6</v>
      </c>
      <c r="O8" s="114" t="s">
        <v>134</v>
      </c>
      <c r="P8" s="115"/>
      <c r="Q8" s="115"/>
      <c r="R8" s="31"/>
      <c r="S8" s="31"/>
      <c r="T8" s="35">
        <v>2</v>
      </c>
      <c r="U8" s="36">
        <v>7700</v>
      </c>
      <c r="V8" s="33">
        <f>U8*T8</f>
        <v>15400</v>
      </c>
      <c r="W8" s="17"/>
    </row>
    <row r="9" spans="2:24" ht="40.200000000000003" customHeight="1" x14ac:dyDescent="0.35">
      <c r="B9" s="125"/>
      <c r="C9" s="126"/>
      <c r="D9" s="126"/>
      <c r="E9" s="2" t="s">
        <v>40</v>
      </c>
      <c r="F9" s="3"/>
      <c r="G9" s="3" t="s">
        <v>43</v>
      </c>
      <c r="H9" s="6" t="s">
        <v>25</v>
      </c>
      <c r="I9" s="124" t="s">
        <v>15</v>
      </c>
      <c r="J9" s="3" t="s">
        <v>6</v>
      </c>
      <c r="K9" s="3" t="s">
        <v>7</v>
      </c>
      <c r="L9" s="5" t="s">
        <v>2</v>
      </c>
      <c r="N9" s="17">
        <f t="shared" si="2"/>
        <v>7</v>
      </c>
      <c r="O9" s="114" t="s">
        <v>135</v>
      </c>
      <c r="P9" s="115"/>
      <c r="Q9" s="115"/>
      <c r="R9" s="31"/>
      <c r="S9" s="31"/>
      <c r="T9" s="35">
        <v>4</v>
      </c>
      <c r="U9" s="36">
        <v>7700</v>
      </c>
      <c r="V9" s="33">
        <f t="shared" ref="V9:V10" si="3">U9*T9</f>
        <v>30800</v>
      </c>
      <c r="W9" s="28" t="s">
        <v>73</v>
      </c>
    </row>
    <row r="10" spans="2:24" ht="40.200000000000003" customHeight="1" x14ac:dyDescent="0.35">
      <c r="B10" s="127"/>
      <c r="C10" s="128"/>
      <c r="D10" s="128"/>
      <c r="E10" s="2"/>
      <c r="F10" s="3"/>
      <c r="G10" s="3"/>
      <c r="H10" s="6" t="s">
        <v>28</v>
      </c>
      <c r="I10" s="124"/>
      <c r="J10" s="3">
        <f>IF(K6-140&gt;0,K6-140,"0")</f>
        <v>723</v>
      </c>
      <c r="K10" s="3">
        <f>IF(K7-140&gt;0,K7-140,"0")</f>
        <v>2009</v>
      </c>
      <c r="L10" s="3">
        <v>1</v>
      </c>
      <c r="N10" s="17">
        <f t="shared" si="2"/>
        <v>8</v>
      </c>
      <c r="O10" s="114" t="s">
        <v>61</v>
      </c>
      <c r="P10" s="115"/>
      <c r="Q10" s="115"/>
      <c r="R10" s="31"/>
      <c r="S10" s="31"/>
      <c r="T10" s="35">
        <f>T9*2+T8</f>
        <v>10</v>
      </c>
      <c r="U10" s="36">
        <v>100</v>
      </c>
      <c r="V10" s="33">
        <f t="shared" si="3"/>
        <v>1000</v>
      </c>
      <c r="W10" s="28" t="s">
        <v>74</v>
      </c>
    </row>
    <row r="11" spans="2:24" ht="40.200000000000003" customHeight="1" x14ac:dyDescent="0.35">
      <c r="N11" s="17">
        <f t="shared" si="2"/>
        <v>9</v>
      </c>
      <c r="O11" s="116" t="s">
        <v>65</v>
      </c>
      <c r="P11" s="117"/>
      <c r="Q11" s="117"/>
      <c r="R11" s="117"/>
      <c r="S11" s="118"/>
      <c r="T11" s="37"/>
      <c r="U11" s="38"/>
      <c r="V11" s="39">
        <f>SUM(V3:V10)</f>
        <v>1961495.5562499999</v>
      </c>
      <c r="W11" s="17"/>
      <c r="X11" s="22"/>
    </row>
    <row r="12" spans="2:24" ht="40.200000000000003" customHeight="1" x14ac:dyDescent="0.35"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03">
        <f>V31</f>
        <v>1530117.5039999997</v>
      </c>
      <c r="N12" s="26" t="s">
        <v>14</v>
      </c>
      <c r="O12" s="121" t="s">
        <v>51</v>
      </c>
      <c r="P12" s="121"/>
      <c r="Q12" s="121"/>
      <c r="R12" s="26" t="s">
        <v>52</v>
      </c>
      <c r="S12" s="32" t="s">
        <v>58</v>
      </c>
      <c r="T12" s="32"/>
      <c r="U12" s="26" t="s">
        <v>44</v>
      </c>
      <c r="V12" s="26" t="s">
        <v>45</v>
      </c>
      <c r="W12" s="2"/>
    </row>
    <row r="13" spans="2:24" ht="40.200000000000003" customHeight="1" x14ac:dyDescent="0.35">
      <c r="B13" s="122"/>
      <c r="C13" s="122"/>
      <c r="D13" s="130"/>
      <c r="E13" s="130"/>
      <c r="F13" s="130"/>
      <c r="G13" s="130"/>
      <c r="H13" s="130">
        <f>F6*200</f>
        <v>412020</v>
      </c>
      <c r="I13" s="130"/>
      <c r="J13" s="122">
        <f>F6*350</f>
        <v>721035</v>
      </c>
      <c r="K13" s="122"/>
      <c r="L13" s="53">
        <f>J10*K10*L10/1000000</f>
        <v>1.452507</v>
      </c>
      <c r="N13" s="17">
        <v>1</v>
      </c>
      <c r="O13" s="114" t="s">
        <v>66</v>
      </c>
      <c r="P13" s="115"/>
      <c r="Q13" s="115"/>
      <c r="R13" s="40">
        <f>R3+R4</f>
        <v>11329</v>
      </c>
      <c r="S13" s="2">
        <v>1</v>
      </c>
      <c r="T13" s="27"/>
      <c r="U13" s="40">
        <v>1000</v>
      </c>
      <c r="V13" s="40">
        <f>U13*R13*S13/1000</f>
        <v>11329</v>
      </c>
      <c r="W13" s="2"/>
    </row>
    <row r="14" spans="2:24" ht="40.200000000000003" customHeight="1" x14ac:dyDescent="0.35">
      <c r="B14" s="122"/>
      <c r="C14" s="122"/>
      <c r="D14" s="130"/>
      <c r="E14" s="130"/>
      <c r="F14" s="130"/>
      <c r="G14" s="130"/>
      <c r="H14" s="130">
        <f>V19+H13</f>
        <v>2402392.5562499999</v>
      </c>
      <c r="I14" s="130"/>
      <c r="J14" s="132">
        <f>J13+150</f>
        <v>721185</v>
      </c>
      <c r="K14" s="122"/>
      <c r="L14" s="100">
        <f>215000*L13</f>
        <v>312289.005</v>
      </c>
      <c r="N14" s="17">
        <f>N13+1</f>
        <v>2</v>
      </c>
      <c r="O14" s="114" t="s">
        <v>47</v>
      </c>
      <c r="P14" s="115"/>
      <c r="Q14" s="115"/>
      <c r="R14" s="40">
        <f>R4*2</f>
        <v>12048</v>
      </c>
      <c r="S14" s="2">
        <v>1</v>
      </c>
      <c r="T14" s="27"/>
      <c r="U14" s="40">
        <v>1000</v>
      </c>
      <c r="V14" s="40">
        <f>U14*R14*S14/1000</f>
        <v>12048</v>
      </c>
      <c r="W14" s="2"/>
    </row>
    <row r="15" spans="2:24" ht="40.200000000000003" customHeight="1" x14ac:dyDescent="0.35">
      <c r="B15" s="122"/>
      <c r="C15" s="122"/>
      <c r="D15" s="130"/>
      <c r="E15" s="130"/>
      <c r="F15" s="130"/>
      <c r="G15" s="130"/>
      <c r="H15" s="130">
        <f>H14/F6</f>
        <v>1166.1533693752731</v>
      </c>
      <c r="I15" s="130"/>
      <c r="J15" s="132"/>
      <c r="K15" s="122"/>
      <c r="L15" s="53">
        <v>687000</v>
      </c>
      <c r="N15" s="17">
        <f t="shared" ref="N15:N18" si="4">N14+1</f>
        <v>3</v>
      </c>
      <c r="O15" s="114" t="s">
        <v>67</v>
      </c>
      <c r="P15" s="115"/>
      <c r="Q15" s="115"/>
      <c r="R15" s="40"/>
      <c r="S15" s="2">
        <v>1</v>
      </c>
      <c r="T15" s="27"/>
      <c r="U15" s="40">
        <v>2500</v>
      </c>
      <c r="V15" s="40">
        <f>U15*S15</f>
        <v>2500</v>
      </c>
      <c r="W15" s="28" t="s">
        <v>75</v>
      </c>
    </row>
    <row r="16" spans="2:24" ht="40.200000000000003" customHeight="1" x14ac:dyDescent="0.35">
      <c r="B16" s="122"/>
      <c r="C16" s="122"/>
      <c r="D16" s="122"/>
      <c r="E16" s="122"/>
      <c r="F16" s="122"/>
      <c r="G16" s="122"/>
      <c r="H16" s="130"/>
      <c r="I16" s="130"/>
      <c r="J16" s="100"/>
      <c r="K16" s="100"/>
      <c r="L16" s="53">
        <f>F6*350</f>
        <v>721035</v>
      </c>
      <c r="N16" s="17">
        <f t="shared" si="4"/>
        <v>4</v>
      </c>
      <c r="O16" s="114" t="s">
        <v>68</v>
      </c>
      <c r="P16" s="115"/>
      <c r="Q16" s="119"/>
      <c r="R16" s="40"/>
      <c r="S16" s="54">
        <v>1</v>
      </c>
      <c r="T16" s="27"/>
      <c r="U16" s="40">
        <v>1000</v>
      </c>
      <c r="V16" s="40">
        <f t="shared" ref="V16:V17" si="5">U16*S16</f>
        <v>1000</v>
      </c>
      <c r="W16" s="28" t="s">
        <v>86</v>
      </c>
    </row>
    <row r="17" spans="2:24" ht="40.200000000000003" customHeight="1" x14ac:dyDescent="0.35">
      <c r="B17" s="122"/>
      <c r="C17" s="122"/>
      <c r="D17" s="130"/>
      <c r="E17" s="130"/>
      <c r="F17" s="130"/>
      <c r="G17" s="130"/>
      <c r="H17" s="130">
        <f>L16+L15+L14+L12</f>
        <v>3250441.5089999996</v>
      </c>
      <c r="I17" s="130"/>
      <c r="J17" s="104"/>
      <c r="K17" s="104"/>
      <c r="N17" s="17">
        <f t="shared" si="4"/>
        <v>5</v>
      </c>
      <c r="O17" s="114" t="s">
        <v>70</v>
      </c>
      <c r="P17" s="115"/>
      <c r="Q17" s="119"/>
      <c r="R17" s="40"/>
      <c r="S17" s="2">
        <v>1</v>
      </c>
      <c r="T17" s="27"/>
      <c r="U17" s="40">
        <v>2000</v>
      </c>
      <c r="V17" s="40">
        <f t="shared" si="5"/>
        <v>2000</v>
      </c>
      <c r="W17" s="28" t="s">
        <v>86</v>
      </c>
    </row>
    <row r="18" spans="2:24" ht="40.200000000000003" customHeight="1" x14ac:dyDescent="0.35">
      <c r="B18" s="122"/>
      <c r="C18" s="122"/>
      <c r="D18" s="122"/>
      <c r="E18" s="122"/>
      <c r="F18" s="122"/>
      <c r="G18" s="122"/>
      <c r="H18" s="135">
        <f>H17/H19</f>
        <v>0.73386401630988773</v>
      </c>
      <c r="I18" s="135"/>
      <c r="J18" s="134">
        <f>H17/F6</f>
        <v>1577.8076350662589</v>
      </c>
      <c r="K18" s="122"/>
      <c r="L18" s="104"/>
      <c r="N18" s="17">
        <f t="shared" si="4"/>
        <v>6</v>
      </c>
      <c r="O18" s="131" t="s">
        <v>69</v>
      </c>
      <c r="P18" s="131"/>
      <c r="Q18" s="131"/>
      <c r="R18" s="131"/>
      <c r="S18" s="131"/>
      <c r="T18" s="37"/>
      <c r="U18" s="38"/>
      <c r="V18" s="39">
        <f>SUM(V13:V17)</f>
        <v>28877</v>
      </c>
      <c r="W18" s="2"/>
    </row>
    <row r="19" spans="2:24" ht="62.4" customHeight="1" x14ac:dyDescent="0.35">
      <c r="B19" s="122"/>
      <c r="C19" s="122"/>
      <c r="D19" s="122"/>
      <c r="E19" s="122"/>
      <c r="F19" s="122"/>
      <c r="G19" s="122"/>
      <c r="H19" s="130">
        <f>F6*2150</f>
        <v>4429215</v>
      </c>
      <c r="I19" s="130"/>
      <c r="J19" s="122">
        <f>H17/H19</f>
        <v>0.73386401630988773</v>
      </c>
      <c r="K19" s="122"/>
      <c r="L19" s="53"/>
      <c r="N19" s="96"/>
      <c r="O19" s="111" t="s">
        <v>145</v>
      </c>
      <c r="P19" s="112"/>
      <c r="Q19" s="112"/>
      <c r="R19" s="112"/>
      <c r="S19" s="113"/>
      <c r="T19" s="98"/>
      <c r="U19" s="99"/>
      <c r="V19" s="100">
        <f>V11+V18</f>
        <v>1990372.5562499999</v>
      </c>
      <c r="W19" s="97"/>
      <c r="X19" s="1">
        <f>F6*300</f>
        <v>618030</v>
      </c>
    </row>
    <row r="20" spans="2:24" ht="40.200000000000003" customHeight="1" x14ac:dyDescent="0.45">
      <c r="B20" s="122"/>
      <c r="C20" s="122"/>
      <c r="D20" s="122"/>
      <c r="E20" s="122"/>
      <c r="F20" s="122"/>
      <c r="G20" s="122"/>
      <c r="H20" s="130"/>
      <c r="I20" s="130"/>
      <c r="J20" s="133">
        <f>F6*250</f>
        <v>515025</v>
      </c>
      <c r="K20" s="133"/>
      <c r="L20" s="107"/>
      <c r="N20" s="120" t="s">
        <v>137</v>
      </c>
      <c r="O20" s="120"/>
      <c r="P20" s="120"/>
      <c r="Q20" s="120"/>
      <c r="R20" s="120"/>
      <c r="S20" s="120"/>
      <c r="T20" s="120"/>
      <c r="U20" s="120"/>
      <c r="V20" s="120"/>
      <c r="W20" s="120"/>
      <c r="X20" s="22">
        <f>V31+X19+L14+L15</f>
        <v>3147436.5089999996</v>
      </c>
    </row>
    <row r="21" spans="2:24" ht="57" customHeight="1" x14ac:dyDescent="0.35">
      <c r="I21" s="22">
        <f>L19-L18</f>
        <v>0</v>
      </c>
      <c r="K21" s="106">
        <f>L18/F6</f>
        <v>0</v>
      </c>
      <c r="L21" s="22"/>
      <c r="N21" s="26" t="s">
        <v>14</v>
      </c>
      <c r="O21" s="121" t="s">
        <v>51</v>
      </c>
      <c r="P21" s="121"/>
      <c r="Q21" s="121"/>
      <c r="R21" s="32" t="s">
        <v>115</v>
      </c>
      <c r="S21" s="32" t="s">
        <v>62</v>
      </c>
      <c r="T21" s="32" t="s">
        <v>114</v>
      </c>
      <c r="U21" s="26" t="s">
        <v>44</v>
      </c>
      <c r="V21" s="26" t="s">
        <v>45</v>
      </c>
      <c r="W21" s="26" t="s">
        <v>39</v>
      </c>
      <c r="X21" s="106">
        <f>F6*2000</f>
        <v>4120200</v>
      </c>
    </row>
    <row r="22" spans="2:24" ht="40.200000000000003" customHeight="1" x14ac:dyDescent="0.35">
      <c r="N22" s="17">
        <v>1</v>
      </c>
      <c r="O22" s="114" t="s">
        <v>53</v>
      </c>
      <c r="P22" s="115"/>
      <c r="Q22" s="115"/>
      <c r="R22" s="36">
        <f>K4*L4+K5*L5</f>
        <v>5305</v>
      </c>
      <c r="S22" s="86">
        <v>0.88</v>
      </c>
      <c r="T22" s="34">
        <f>S22*R22</f>
        <v>4668.3999999999996</v>
      </c>
      <c r="U22" s="36">
        <v>105000</v>
      </c>
      <c r="V22" s="33">
        <f>U22*T22/1000</f>
        <v>490181.99999999994</v>
      </c>
      <c r="W22" s="76"/>
      <c r="X22" s="102">
        <f>X20/X21</f>
        <v>0.76390381753312941</v>
      </c>
    </row>
    <row r="23" spans="2:24" ht="40.200000000000003" customHeight="1" x14ac:dyDescent="0.35">
      <c r="J23" s="22"/>
      <c r="L23" s="22"/>
      <c r="N23" s="17">
        <f>N22+1</f>
        <v>2</v>
      </c>
      <c r="O23" s="114" t="s">
        <v>54</v>
      </c>
      <c r="P23" s="115"/>
      <c r="Q23" s="115"/>
      <c r="R23" s="36">
        <f>K6*L6+K7*L7</f>
        <v>6024</v>
      </c>
      <c r="S23" s="86">
        <v>1.08</v>
      </c>
      <c r="T23" s="34">
        <f t="shared" ref="T23:T25" si="6">S23*R23</f>
        <v>6505.92</v>
      </c>
      <c r="U23" s="36">
        <v>105000</v>
      </c>
      <c r="V23" s="33">
        <f>U23*T23/1000</f>
        <v>683121.6</v>
      </c>
      <c r="W23" s="76"/>
    </row>
    <row r="24" spans="2:24" ht="40.200000000000003" customHeight="1" x14ac:dyDescent="0.35">
      <c r="N24" s="17">
        <f t="shared" ref="N24:N30" si="7">N23+1</f>
        <v>3</v>
      </c>
      <c r="O24" s="114" t="s">
        <v>55</v>
      </c>
      <c r="P24" s="115"/>
      <c r="Q24" s="115"/>
      <c r="R24" s="36">
        <f>R23</f>
        <v>6024</v>
      </c>
      <c r="S24" s="80">
        <v>0.27100000000000002</v>
      </c>
      <c r="T24" s="34">
        <f t="shared" si="6"/>
        <v>1632.5040000000001</v>
      </c>
      <c r="U24" s="36">
        <v>105000</v>
      </c>
      <c r="V24" s="33">
        <f t="shared" ref="V23:V25" si="8">U24*T24/1000</f>
        <v>171412.92</v>
      </c>
      <c r="W24" s="76"/>
    </row>
    <row r="25" spans="2:24" ht="40.200000000000003" customHeight="1" x14ac:dyDescent="0.35">
      <c r="L25" s="22"/>
      <c r="N25" s="17">
        <f t="shared" si="7"/>
        <v>4</v>
      </c>
      <c r="O25" s="114" t="s">
        <v>56</v>
      </c>
      <c r="P25" s="115"/>
      <c r="Q25" s="115"/>
      <c r="R25" s="36">
        <f>K8*L8</f>
        <v>802</v>
      </c>
      <c r="S25" s="80">
        <v>0.47599999999999998</v>
      </c>
      <c r="T25" s="34">
        <f t="shared" si="6"/>
        <v>381.75200000000001</v>
      </c>
      <c r="U25" s="36">
        <v>105000</v>
      </c>
      <c r="V25" s="33">
        <f t="shared" si="8"/>
        <v>40083.96</v>
      </c>
      <c r="W25" s="76"/>
    </row>
    <row r="26" spans="2:24" ht="40.200000000000003" customHeight="1" x14ac:dyDescent="0.35">
      <c r="N26" s="17">
        <f t="shared" si="7"/>
        <v>5</v>
      </c>
      <c r="O26" s="114" t="s">
        <v>78</v>
      </c>
      <c r="P26" s="115"/>
      <c r="Q26" s="119"/>
      <c r="R26" s="36"/>
      <c r="S26" s="31"/>
      <c r="T26" s="72"/>
      <c r="U26" s="52">
        <v>0.05</v>
      </c>
      <c r="V26" s="36">
        <f>SUM(V22:V25)*U26</f>
        <v>69240.02399999999</v>
      </c>
      <c r="W26" s="44"/>
    </row>
    <row r="27" spans="2:24" ht="40.200000000000003" customHeight="1" x14ac:dyDescent="0.35">
      <c r="N27" s="17">
        <f t="shared" si="7"/>
        <v>6</v>
      </c>
      <c r="O27" s="114" t="s">
        <v>134</v>
      </c>
      <c r="P27" s="115"/>
      <c r="Q27" s="115"/>
      <c r="R27" s="31"/>
      <c r="S27" s="31"/>
      <c r="T27" s="35">
        <v>2</v>
      </c>
      <c r="U27" s="36">
        <v>7700</v>
      </c>
      <c r="V27" s="33">
        <f>U27*T27</f>
        <v>15400</v>
      </c>
      <c r="W27" s="17"/>
    </row>
    <row r="28" spans="2:24" ht="40.200000000000003" customHeight="1" x14ac:dyDescent="0.35">
      <c r="N28" s="17">
        <f t="shared" si="7"/>
        <v>7</v>
      </c>
      <c r="O28" s="114" t="s">
        <v>135</v>
      </c>
      <c r="P28" s="115"/>
      <c r="Q28" s="115"/>
      <c r="R28" s="31"/>
      <c r="S28" s="31"/>
      <c r="T28" s="35">
        <v>4</v>
      </c>
      <c r="U28" s="36">
        <v>7700</v>
      </c>
      <c r="V28" s="33">
        <f t="shared" ref="V28:V29" si="9">U28*T28</f>
        <v>30800</v>
      </c>
      <c r="W28" s="28" t="s">
        <v>73</v>
      </c>
    </row>
    <row r="29" spans="2:24" ht="40.200000000000003" customHeight="1" x14ac:dyDescent="0.35">
      <c r="N29" s="17">
        <f t="shared" si="7"/>
        <v>8</v>
      </c>
      <c r="O29" s="114" t="s">
        <v>61</v>
      </c>
      <c r="P29" s="115"/>
      <c r="Q29" s="115"/>
      <c r="R29" s="31"/>
      <c r="S29" s="31"/>
      <c r="T29" s="35">
        <f>T28*2+T27</f>
        <v>10</v>
      </c>
      <c r="U29" s="36">
        <v>100</v>
      </c>
      <c r="V29" s="33">
        <f t="shared" si="9"/>
        <v>1000</v>
      </c>
      <c r="W29" s="28" t="s">
        <v>74</v>
      </c>
    </row>
    <row r="30" spans="2:24" ht="40.200000000000003" customHeight="1" x14ac:dyDescent="0.35">
      <c r="N30" s="17">
        <f t="shared" si="7"/>
        <v>9</v>
      </c>
      <c r="O30" s="116" t="s">
        <v>65</v>
      </c>
      <c r="P30" s="117"/>
      <c r="Q30" s="117"/>
      <c r="R30" s="117"/>
      <c r="S30" s="118"/>
      <c r="T30" s="37"/>
      <c r="U30" s="38"/>
      <c r="V30" s="39">
        <f>SUM(V22:V29)</f>
        <v>1501240.5039999997</v>
      </c>
      <c r="W30" s="17"/>
      <c r="X30" s="22">
        <f>L14</f>
        <v>312289.005</v>
      </c>
    </row>
    <row r="31" spans="2:24" ht="60" customHeight="1" x14ac:dyDescent="0.35">
      <c r="N31" s="96"/>
      <c r="O31" s="111" t="s">
        <v>145</v>
      </c>
      <c r="P31" s="112"/>
      <c r="Q31" s="112"/>
      <c r="R31" s="112"/>
      <c r="S31" s="113"/>
      <c r="T31" s="98"/>
      <c r="U31" s="99"/>
      <c r="V31" s="100">
        <f>V18+V30</f>
        <v>1530117.5039999997</v>
      </c>
      <c r="W31" s="97"/>
      <c r="X31" s="1">
        <f>F6*280</f>
        <v>576828</v>
      </c>
    </row>
    <row r="32" spans="2:24" ht="40.200000000000003" customHeight="1" x14ac:dyDescent="0.45">
      <c r="N32" s="120" t="s">
        <v>138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">
        <v>550000</v>
      </c>
    </row>
    <row r="33" spans="14:24" ht="40.200000000000003" customHeight="1" x14ac:dyDescent="0.35">
      <c r="N33" s="26" t="s">
        <v>14</v>
      </c>
      <c r="O33" s="121" t="s">
        <v>51</v>
      </c>
      <c r="P33" s="121"/>
      <c r="Q33" s="121"/>
      <c r="R33" s="32" t="s">
        <v>115</v>
      </c>
      <c r="S33" s="32" t="s">
        <v>62</v>
      </c>
      <c r="T33" s="32" t="s">
        <v>114</v>
      </c>
      <c r="U33" s="26" t="s">
        <v>44</v>
      </c>
      <c r="V33" s="26" t="s">
        <v>45</v>
      </c>
      <c r="W33" s="26" t="s">
        <v>39</v>
      </c>
      <c r="X33" s="22">
        <f>X32+X31+X30+V31</f>
        <v>2969234.5089999996</v>
      </c>
    </row>
    <row r="34" spans="14:24" ht="40.200000000000003" customHeight="1" x14ac:dyDescent="0.35">
      <c r="N34" s="17">
        <v>1</v>
      </c>
      <c r="O34" s="114" t="s">
        <v>53</v>
      </c>
      <c r="P34" s="115"/>
      <c r="Q34" s="115"/>
      <c r="R34" s="36">
        <f>K4+L4*K5+L5</f>
        <v>3127</v>
      </c>
      <c r="S34" s="80">
        <v>0.70299999999999996</v>
      </c>
      <c r="T34" s="34">
        <f>S34*R34</f>
        <v>2198.2809999999999</v>
      </c>
      <c r="U34" s="36">
        <v>92000</v>
      </c>
      <c r="V34" s="33">
        <f>U34*T34/1000</f>
        <v>202241.85200000001</v>
      </c>
      <c r="W34" s="76"/>
      <c r="X34" s="1">
        <f>1.8*1750000</f>
        <v>3150000</v>
      </c>
    </row>
    <row r="35" spans="14:24" ht="40.200000000000003" customHeight="1" x14ac:dyDescent="0.35">
      <c r="N35" s="17">
        <f>N34+1</f>
        <v>2</v>
      </c>
      <c r="O35" s="114" t="s">
        <v>54</v>
      </c>
      <c r="P35" s="115"/>
      <c r="Q35" s="115"/>
      <c r="R35" s="36">
        <f>K6*L6+K7*L7</f>
        <v>6024</v>
      </c>
      <c r="S35" s="80">
        <v>0.92600000000000005</v>
      </c>
      <c r="T35" s="34">
        <f t="shared" ref="T35:T37" si="10">S35*R35</f>
        <v>5578.2240000000002</v>
      </c>
      <c r="U35" s="36">
        <v>92000</v>
      </c>
      <c r="V35" s="33">
        <f t="shared" ref="V35:V37" si="11">U35*T35/1000</f>
        <v>513196.60800000001</v>
      </c>
      <c r="W35" s="76"/>
      <c r="X35" s="106">
        <f>X33/X34</f>
        <v>0.94261412984126969</v>
      </c>
    </row>
    <row r="36" spans="14:24" ht="40.200000000000003" customHeight="1" x14ac:dyDescent="0.35">
      <c r="N36" s="17">
        <f t="shared" ref="N36:N42" si="12">N35+1</f>
        <v>3</v>
      </c>
      <c r="O36" s="114" t="s">
        <v>55</v>
      </c>
      <c r="P36" s="115"/>
      <c r="Q36" s="115"/>
      <c r="R36" s="36">
        <f>R35</f>
        <v>6024</v>
      </c>
      <c r="S36" s="80">
        <v>0.27100000000000002</v>
      </c>
      <c r="T36" s="34">
        <f t="shared" si="10"/>
        <v>1632.5040000000001</v>
      </c>
      <c r="U36" s="36">
        <v>92000</v>
      </c>
      <c r="V36" s="33">
        <f t="shared" si="11"/>
        <v>150190.36799999999</v>
      </c>
      <c r="W36" s="76"/>
    </row>
    <row r="37" spans="14:24" ht="40.200000000000003" customHeight="1" x14ac:dyDescent="0.35">
      <c r="N37" s="17">
        <f t="shared" si="12"/>
        <v>4</v>
      </c>
      <c r="O37" s="114" t="s">
        <v>56</v>
      </c>
      <c r="P37" s="115"/>
      <c r="Q37" s="115"/>
      <c r="R37" s="36">
        <f>K8*L8</f>
        <v>802</v>
      </c>
      <c r="S37" s="80">
        <v>0.47599999999999998</v>
      </c>
      <c r="T37" s="34">
        <f t="shared" si="10"/>
        <v>381.75200000000001</v>
      </c>
      <c r="U37" s="36">
        <v>92000</v>
      </c>
      <c r="V37" s="33">
        <f t="shared" si="11"/>
        <v>35121.184000000001</v>
      </c>
      <c r="W37" s="76"/>
    </row>
    <row r="38" spans="14:24" ht="40.200000000000003" customHeight="1" x14ac:dyDescent="0.35">
      <c r="N38" s="17">
        <f t="shared" si="12"/>
        <v>5</v>
      </c>
      <c r="O38" s="114" t="s">
        <v>78</v>
      </c>
      <c r="P38" s="115"/>
      <c r="Q38" s="119"/>
      <c r="R38" s="36"/>
      <c r="S38" s="31"/>
      <c r="T38" s="72"/>
      <c r="U38" s="52">
        <v>0.05</v>
      </c>
      <c r="V38" s="36">
        <f>SUM(V34:V37)*U38</f>
        <v>45037.500599999999</v>
      </c>
      <c r="W38" s="44"/>
    </row>
    <row r="39" spans="14:24" ht="40.200000000000003" customHeight="1" x14ac:dyDescent="0.35">
      <c r="N39" s="17">
        <f t="shared" si="12"/>
        <v>6</v>
      </c>
      <c r="O39" s="114" t="s">
        <v>134</v>
      </c>
      <c r="P39" s="115"/>
      <c r="Q39" s="115"/>
      <c r="R39" s="31"/>
      <c r="S39" s="31"/>
      <c r="T39" s="35">
        <v>2</v>
      </c>
      <c r="U39" s="36">
        <v>7700</v>
      </c>
      <c r="V39" s="33">
        <f>U39*T39</f>
        <v>15400</v>
      </c>
      <c r="W39" s="17"/>
    </row>
    <row r="40" spans="14:24" ht="40.200000000000003" customHeight="1" x14ac:dyDescent="0.35">
      <c r="N40" s="17">
        <f t="shared" si="12"/>
        <v>7</v>
      </c>
      <c r="O40" s="114" t="s">
        <v>135</v>
      </c>
      <c r="P40" s="115"/>
      <c r="Q40" s="115"/>
      <c r="R40" s="31"/>
      <c r="S40" s="31"/>
      <c r="T40" s="35">
        <v>4</v>
      </c>
      <c r="U40" s="36">
        <v>7700</v>
      </c>
      <c r="V40" s="33">
        <f t="shared" ref="V40:V41" si="13">U40*T40</f>
        <v>30800</v>
      </c>
      <c r="W40" s="28" t="s">
        <v>73</v>
      </c>
    </row>
    <row r="41" spans="14:24" ht="40.200000000000003" customHeight="1" x14ac:dyDescent="0.35">
      <c r="N41" s="17">
        <f t="shared" si="12"/>
        <v>8</v>
      </c>
      <c r="O41" s="114" t="s">
        <v>61</v>
      </c>
      <c r="P41" s="115"/>
      <c r="Q41" s="115"/>
      <c r="R41" s="31"/>
      <c r="S41" s="31"/>
      <c r="T41" s="35">
        <f>T40*2+T39</f>
        <v>10</v>
      </c>
      <c r="U41" s="36">
        <v>100</v>
      </c>
      <c r="V41" s="33">
        <f t="shared" si="13"/>
        <v>1000</v>
      </c>
      <c r="W41" s="28" t="s">
        <v>74</v>
      </c>
    </row>
    <row r="42" spans="14:24" ht="40.200000000000003" customHeight="1" x14ac:dyDescent="0.35">
      <c r="N42" s="17">
        <f t="shared" si="12"/>
        <v>9</v>
      </c>
      <c r="O42" s="116" t="s">
        <v>65</v>
      </c>
      <c r="P42" s="117"/>
      <c r="Q42" s="117"/>
      <c r="R42" s="117"/>
      <c r="S42" s="118"/>
      <c r="T42" s="37"/>
      <c r="U42" s="38"/>
      <c r="V42" s="39">
        <f>SUM(V34:V41)</f>
        <v>992987.51260000002</v>
      </c>
      <c r="W42" s="17"/>
    </row>
    <row r="43" spans="14:24" ht="67.8" customHeight="1" x14ac:dyDescent="0.35">
      <c r="N43" s="96"/>
      <c r="O43" s="111" t="s">
        <v>145</v>
      </c>
      <c r="P43" s="112"/>
      <c r="Q43" s="112"/>
      <c r="R43" s="112"/>
      <c r="S43" s="113"/>
      <c r="T43" s="98"/>
      <c r="U43" s="99"/>
      <c r="V43" s="100">
        <f>V18+V42</f>
        <v>1021864.5126</v>
      </c>
      <c r="W43" s="97"/>
    </row>
    <row r="44" spans="14:24" ht="31.2" customHeight="1" x14ac:dyDescent="0.35">
      <c r="V44" s="1">
        <f>F6*200</f>
        <v>412020</v>
      </c>
    </row>
  </sheetData>
  <mergeCells count="86">
    <mergeCell ref="J20:K20"/>
    <mergeCell ref="B16:G16"/>
    <mergeCell ref="B18:G18"/>
    <mergeCell ref="J18:K18"/>
    <mergeCell ref="B20:C20"/>
    <mergeCell ref="D20:E20"/>
    <mergeCell ref="F20:G20"/>
    <mergeCell ref="B17:C17"/>
    <mergeCell ref="D17:E17"/>
    <mergeCell ref="F17:G17"/>
    <mergeCell ref="J19:K19"/>
    <mergeCell ref="H18:I18"/>
    <mergeCell ref="H19:I19"/>
    <mergeCell ref="O23:Q23"/>
    <mergeCell ref="B15:C15"/>
    <mergeCell ref="D15:E15"/>
    <mergeCell ref="F15:G15"/>
    <mergeCell ref="B13:C13"/>
    <mergeCell ref="D13:E13"/>
    <mergeCell ref="F13:G13"/>
    <mergeCell ref="B14:C14"/>
    <mergeCell ref="D14:E14"/>
    <mergeCell ref="F14:G14"/>
    <mergeCell ref="H17:I17"/>
    <mergeCell ref="J13:K13"/>
    <mergeCell ref="J15:K15"/>
    <mergeCell ref="H14:I14"/>
    <mergeCell ref="J14:K14"/>
    <mergeCell ref="H20:I20"/>
    <mergeCell ref="O18:S18"/>
    <mergeCell ref="N20:W20"/>
    <mergeCell ref="O21:Q21"/>
    <mergeCell ref="O22:Q22"/>
    <mergeCell ref="O17:Q17"/>
    <mergeCell ref="O19:S19"/>
    <mergeCell ref="O14:Q14"/>
    <mergeCell ref="H12:I12"/>
    <mergeCell ref="J12:K12"/>
    <mergeCell ref="O15:Q15"/>
    <mergeCell ref="O16:Q16"/>
    <mergeCell ref="O12:Q12"/>
    <mergeCell ref="O13:Q13"/>
    <mergeCell ref="H13:I13"/>
    <mergeCell ref="H15:I15"/>
    <mergeCell ref="H16:I16"/>
    <mergeCell ref="D12:E12"/>
    <mergeCell ref="F12:G12"/>
    <mergeCell ref="I9:I10"/>
    <mergeCell ref="O11:S11"/>
    <mergeCell ref="O10:Q10"/>
    <mergeCell ref="O7:Q7"/>
    <mergeCell ref="B19:G19"/>
    <mergeCell ref="B1:L1"/>
    <mergeCell ref="O2:Q2"/>
    <mergeCell ref="N1:W1"/>
    <mergeCell ref="O3:Q3"/>
    <mergeCell ref="O4:Q4"/>
    <mergeCell ref="B2:F2"/>
    <mergeCell ref="I2:L2"/>
    <mergeCell ref="H2:H3"/>
    <mergeCell ref="B3:D10"/>
    <mergeCell ref="O5:Q5"/>
    <mergeCell ref="O6:Q6"/>
    <mergeCell ref="O8:Q8"/>
    <mergeCell ref="O9:Q9"/>
    <mergeCell ref="B12:C12"/>
    <mergeCell ref="O24:Q24"/>
    <mergeCell ref="O25:Q25"/>
    <mergeCell ref="O26:Q26"/>
    <mergeCell ref="O27:Q27"/>
    <mergeCell ref="O28:Q28"/>
    <mergeCell ref="O29:Q29"/>
    <mergeCell ref="O30:S30"/>
    <mergeCell ref="N32:W32"/>
    <mergeCell ref="O33:Q33"/>
    <mergeCell ref="O34:Q34"/>
    <mergeCell ref="O31:S31"/>
    <mergeCell ref="O43:S43"/>
    <mergeCell ref="O40:Q40"/>
    <mergeCell ref="O41:Q41"/>
    <mergeCell ref="O42:S42"/>
    <mergeCell ref="O35:Q35"/>
    <mergeCell ref="O36:Q36"/>
    <mergeCell ref="O37:Q37"/>
    <mergeCell ref="O38:Q38"/>
    <mergeCell ref="O39:Q39"/>
  </mergeCells>
  <pageMargins left="0.7" right="0.7" top="0.75" bottom="0.75" header="0.3" footer="0.3"/>
  <pageSetup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47"/>
  <sheetViews>
    <sheetView topLeftCell="B1" zoomScale="49" zoomScaleNormal="49" workbookViewId="0">
      <selection activeCell="J19" sqref="J19:K19"/>
    </sheetView>
  </sheetViews>
  <sheetFormatPr defaultColWidth="18.6640625" defaultRowHeight="37.950000000000003" customHeight="1" x14ac:dyDescent="0.35"/>
  <cols>
    <col min="1" max="7" width="18.6640625" style="1"/>
    <col min="8" max="8" width="9.21875" style="1" customWidth="1"/>
    <col min="9" max="13" width="18.6640625" style="1"/>
    <col min="14" max="14" width="9.6640625" style="1" customWidth="1"/>
    <col min="15" max="22" width="18.6640625" style="1"/>
    <col min="23" max="23" width="39.6640625" style="45" customWidth="1"/>
    <col min="24" max="16384" width="18.6640625" style="1"/>
  </cols>
  <sheetData>
    <row r="1" spans="2:23" ht="37.950000000000003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140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58.95" customHeight="1" x14ac:dyDescent="0.35">
      <c r="B2" s="123" t="s">
        <v>48</v>
      </c>
      <c r="C2" s="123"/>
      <c r="D2" s="123"/>
      <c r="E2" s="123"/>
      <c r="F2" s="123"/>
      <c r="G2" s="8"/>
      <c r="H2" s="124" t="s">
        <v>14</v>
      </c>
      <c r="I2" s="123" t="s">
        <v>9</v>
      </c>
      <c r="J2" s="123"/>
      <c r="K2" s="123"/>
      <c r="L2" s="123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7.950000000000003" customHeight="1" x14ac:dyDescent="0.35">
      <c r="B3" s="140"/>
      <c r="C3" s="140"/>
      <c r="D3" s="140"/>
      <c r="E3" s="3" t="s">
        <v>0</v>
      </c>
      <c r="F3" s="3" t="s">
        <v>1</v>
      </c>
      <c r="G3" s="3" t="s">
        <v>2</v>
      </c>
      <c r="H3" s="124"/>
      <c r="I3" s="9" t="s">
        <v>4</v>
      </c>
      <c r="J3" s="9" t="s">
        <v>3</v>
      </c>
      <c r="K3" s="9" t="s">
        <v>5</v>
      </c>
      <c r="L3" s="9" t="s">
        <v>2</v>
      </c>
      <c r="N3" s="17">
        <v>1</v>
      </c>
      <c r="O3" s="114" t="s">
        <v>53</v>
      </c>
      <c r="P3" s="115"/>
      <c r="Q3" s="115"/>
      <c r="R3" s="36">
        <f>K4*L4+K5*L5</f>
        <v>6440</v>
      </c>
      <c r="S3" s="31">
        <v>1.2569999999999999</v>
      </c>
      <c r="T3" s="34">
        <f>S3*R3</f>
        <v>8095.079999999999</v>
      </c>
      <c r="U3" s="36">
        <v>125000</v>
      </c>
      <c r="V3" s="33">
        <f>U3*T3/1000</f>
        <v>1011884.9999999999</v>
      </c>
      <c r="W3" s="136"/>
    </row>
    <row r="4" spans="2:23" ht="37.950000000000003" customHeight="1" x14ac:dyDescent="0.35">
      <c r="B4" s="140"/>
      <c r="C4" s="140"/>
      <c r="D4" s="140"/>
      <c r="E4" s="3">
        <v>1640</v>
      </c>
      <c r="F4" s="3">
        <v>2400</v>
      </c>
      <c r="G4" s="3">
        <v>1</v>
      </c>
      <c r="H4" s="3">
        <v>1</v>
      </c>
      <c r="I4" s="3" t="s">
        <v>10</v>
      </c>
      <c r="J4" s="6" t="str">
        <f>CONCATENATE($G$2,"-",$D$11,"-","3328","-","1")</f>
        <v>--3328-1</v>
      </c>
      <c r="K4" s="3">
        <f>E4</f>
        <v>1640</v>
      </c>
      <c r="L4" s="3">
        <f>G4*1</f>
        <v>1</v>
      </c>
      <c r="N4" s="17">
        <f>N3+1</f>
        <v>2</v>
      </c>
      <c r="O4" s="114" t="s">
        <v>54</v>
      </c>
      <c r="P4" s="115"/>
      <c r="Q4" s="115"/>
      <c r="R4" s="36">
        <f>K6*L6+K7*L7</f>
        <v>12580</v>
      </c>
      <c r="S4" s="31">
        <v>1.4410000000000001</v>
      </c>
      <c r="T4" s="34">
        <f t="shared" ref="T4:T6" si="0">S4*R4</f>
        <v>18127.780000000002</v>
      </c>
      <c r="U4" s="36">
        <v>125000</v>
      </c>
      <c r="V4" s="33">
        <f t="shared" ref="V4:V7" si="1">U4*T4/1000</f>
        <v>2265972.5000000005</v>
      </c>
      <c r="W4" s="137"/>
    </row>
    <row r="5" spans="2:23" ht="37.950000000000003" customHeight="1" x14ac:dyDescent="0.35">
      <c r="B5" s="140"/>
      <c r="C5" s="140"/>
      <c r="D5" s="140"/>
      <c r="E5" s="42"/>
      <c r="F5" s="43" t="s">
        <v>46</v>
      </c>
      <c r="G5" s="43" t="s">
        <v>119</v>
      </c>
      <c r="H5" s="3">
        <f>H4+1</f>
        <v>2</v>
      </c>
      <c r="I5" s="3" t="s">
        <v>11</v>
      </c>
      <c r="J5" s="6" t="str">
        <f>CONCATENATE($G$2,"-",$D$11,"-","3328","-","2")</f>
        <v>--3328-2</v>
      </c>
      <c r="K5" s="3">
        <f>F4</f>
        <v>2400</v>
      </c>
      <c r="L5" s="3">
        <f>G4*2</f>
        <v>2</v>
      </c>
      <c r="N5" s="17">
        <f t="shared" ref="N5:N11" si="2">N4+1</f>
        <v>3</v>
      </c>
      <c r="O5" s="114" t="s">
        <v>55</v>
      </c>
      <c r="P5" s="115"/>
      <c r="Q5" s="115"/>
      <c r="R5" s="36">
        <f>R4</f>
        <v>12580</v>
      </c>
      <c r="S5" s="31">
        <v>0.27100000000000002</v>
      </c>
      <c r="T5" s="34">
        <f t="shared" si="0"/>
        <v>3409.1800000000003</v>
      </c>
      <c r="U5" s="36">
        <v>125000</v>
      </c>
      <c r="V5" s="33">
        <f t="shared" si="1"/>
        <v>426147.50000000006</v>
      </c>
      <c r="W5" s="137"/>
    </row>
    <row r="6" spans="2:23" ht="37.950000000000003" customHeight="1" x14ac:dyDescent="0.35">
      <c r="B6" s="140"/>
      <c r="C6" s="140"/>
      <c r="D6" s="140"/>
      <c r="E6" s="54"/>
      <c r="F6" s="19">
        <f>F4*E4/1000</f>
        <v>3936</v>
      </c>
      <c r="G6" s="83">
        <f>SUM(T3:T7)</f>
        <v>32376.276000000002</v>
      </c>
      <c r="H6" s="3">
        <f t="shared" ref="H6:H11" si="3">H5+1</f>
        <v>3</v>
      </c>
      <c r="I6" s="3" t="s">
        <v>17</v>
      </c>
      <c r="J6" s="6" t="str">
        <f>CONCATENATE($G$2,"-",$D$11,"-","3332","-","1")</f>
        <v>--3332-1</v>
      </c>
      <c r="K6" s="15">
        <f>IF(ROUNDDOWN((E4-36*2-15),0)/2&lt;0,"0",ROUNDDOWN((E4-72-15)/2,0))</f>
        <v>776</v>
      </c>
      <c r="L6" s="3">
        <f>G4*4</f>
        <v>4</v>
      </c>
      <c r="N6" s="17">
        <f t="shared" si="2"/>
        <v>4</v>
      </c>
      <c r="O6" s="114" t="s">
        <v>56</v>
      </c>
      <c r="P6" s="115"/>
      <c r="Q6" s="115"/>
      <c r="R6" s="36">
        <f>K9*L9</f>
        <v>1430</v>
      </c>
      <c r="S6" s="31">
        <v>0.47599999999999998</v>
      </c>
      <c r="T6" s="34">
        <f t="shared" si="0"/>
        <v>680.68</v>
      </c>
      <c r="U6" s="36">
        <v>125000</v>
      </c>
      <c r="V6" s="33">
        <f t="shared" si="1"/>
        <v>85085</v>
      </c>
      <c r="W6" s="137"/>
    </row>
    <row r="7" spans="2:23" ht="37.950000000000003" customHeight="1" x14ac:dyDescent="0.35">
      <c r="B7" s="140"/>
      <c r="C7" s="140"/>
      <c r="D7" s="140"/>
      <c r="E7" s="3"/>
      <c r="F7" s="43" t="s">
        <v>42</v>
      </c>
      <c r="G7" s="43" t="s">
        <v>49</v>
      </c>
      <c r="H7" s="3">
        <f t="shared" si="3"/>
        <v>4</v>
      </c>
      <c r="I7" s="3" t="s">
        <v>18</v>
      </c>
      <c r="J7" s="6" t="str">
        <f>CONCATENATE($G$2,"-",$D$11,"-","3332","-","2")</f>
        <v>--3332-2</v>
      </c>
      <c r="K7" s="19">
        <f>IF(AND(F9="X",G9=""),K5-F8,0)+IF(AND(G9="X",F9=""),K5-G8,0)</f>
        <v>2369</v>
      </c>
      <c r="L7" s="3">
        <f>G4*4</f>
        <v>4</v>
      </c>
      <c r="N7" s="17">
        <f t="shared" si="2"/>
        <v>5</v>
      </c>
      <c r="O7" s="114" t="s">
        <v>71</v>
      </c>
      <c r="P7" s="115"/>
      <c r="Q7" s="119"/>
      <c r="R7" s="36">
        <f>K8*L8</f>
        <v>2316</v>
      </c>
      <c r="S7" s="31">
        <v>0.89100000000000001</v>
      </c>
      <c r="T7" s="34">
        <f t="shared" ref="T7" si="4">S7*R7</f>
        <v>2063.556</v>
      </c>
      <c r="U7" s="36">
        <v>125000</v>
      </c>
      <c r="V7" s="33">
        <f t="shared" si="1"/>
        <v>257944.5</v>
      </c>
      <c r="W7" s="138"/>
    </row>
    <row r="8" spans="2:23" ht="37.950000000000003" customHeight="1" x14ac:dyDescent="0.35">
      <c r="B8" s="140"/>
      <c r="C8" s="140"/>
      <c r="D8" s="140"/>
      <c r="E8" s="3"/>
      <c r="F8" s="3">
        <v>51</v>
      </c>
      <c r="G8" s="3">
        <v>31</v>
      </c>
      <c r="H8" s="3">
        <f t="shared" si="3"/>
        <v>5</v>
      </c>
      <c r="I8" s="3" t="s">
        <v>16</v>
      </c>
      <c r="J8" s="6" t="str">
        <f>CONCATENATE($G$2,"-",$D$11,"-","3323A","-","1")</f>
        <v>--3323A-1</v>
      </c>
      <c r="K8" s="6">
        <f>IF(F9="x",ROUNDDOWN(K7-30-4,0),ROUNDDOWN(K7-34-19,0))</f>
        <v>2316</v>
      </c>
      <c r="L8" s="3">
        <f>G4</f>
        <v>1</v>
      </c>
      <c r="N8" s="17">
        <f t="shared" si="2"/>
        <v>6</v>
      </c>
      <c r="O8" s="114" t="s">
        <v>78</v>
      </c>
      <c r="P8" s="115"/>
      <c r="Q8" s="119"/>
      <c r="R8" s="36"/>
      <c r="S8" s="31"/>
      <c r="T8" s="72"/>
      <c r="U8" s="52">
        <v>0.05</v>
      </c>
      <c r="V8" s="36">
        <f>SUM(V3:V7)*U8</f>
        <v>202351.72500000003</v>
      </c>
      <c r="W8" s="44"/>
    </row>
    <row r="9" spans="2:23" ht="37.950000000000003" customHeight="1" x14ac:dyDescent="0.35">
      <c r="B9" s="140"/>
      <c r="C9" s="140"/>
      <c r="D9" s="140"/>
      <c r="E9" s="3"/>
      <c r="F9" s="3"/>
      <c r="G9" s="3" t="s">
        <v>43</v>
      </c>
      <c r="H9" s="3">
        <f t="shared" si="3"/>
        <v>6</v>
      </c>
      <c r="I9" s="3" t="s">
        <v>35</v>
      </c>
      <c r="J9" s="6" t="str">
        <f>CONCATENATE($G$2,"-",$D$11,"-","3329A","-","1")</f>
        <v>--3329A-1</v>
      </c>
      <c r="K9" s="6">
        <f>K6-61</f>
        <v>715</v>
      </c>
      <c r="L9" s="3">
        <f>G4*2</f>
        <v>2</v>
      </c>
      <c r="N9" s="17">
        <f t="shared" si="2"/>
        <v>7</v>
      </c>
      <c r="O9" s="114" t="s">
        <v>59</v>
      </c>
      <c r="P9" s="115"/>
      <c r="Q9" s="115"/>
      <c r="R9" s="31"/>
      <c r="S9" s="31"/>
      <c r="T9" s="35">
        <v>2</v>
      </c>
      <c r="U9" s="46">
        <v>7700</v>
      </c>
      <c r="V9" s="33">
        <f t="shared" ref="V9:V11" si="5">U9*T9</f>
        <v>15400</v>
      </c>
      <c r="W9" s="28"/>
    </row>
    <row r="10" spans="2:23" ht="37.950000000000003" customHeight="1" x14ac:dyDescent="0.35">
      <c r="B10" s="140"/>
      <c r="C10" s="140"/>
      <c r="D10" s="140"/>
      <c r="E10" s="3"/>
      <c r="F10" s="3"/>
      <c r="G10" s="3"/>
      <c r="H10" s="3">
        <f t="shared" si="3"/>
        <v>7</v>
      </c>
      <c r="I10" s="124" t="s">
        <v>15</v>
      </c>
      <c r="J10" s="3" t="s">
        <v>6</v>
      </c>
      <c r="K10" s="3" t="s">
        <v>7</v>
      </c>
      <c r="L10" s="5" t="s">
        <v>2</v>
      </c>
      <c r="N10" s="17">
        <f t="shared" si="2"/>
        <v>8</v>
      </c>
      <c r="O10" s="114" t="s">
        <v>60</v>
      </c>
      <c r="P10" s="115"/>
      <c r="Q10" s="115"/>
      <c r="R10" s="31"/>
      <c r="S10" s="31"/>
      <c r="T10" s="35">
        <v>8</v>
      </c>
      <c r="U10" s="46">
        <v>7700</v>
      </c>
      <c r="V10" s="33">
        <f t="shared" si="5"/>
        <v>61600</v>
      </c>
      <c r="W10" s="28" t="s">
        <v>73</v>
      </c>
    </row>
    <row r="11" spans="2:23" ht="37.950000000000003" customHeight="1" x14ac:dyDescent="0.35">
      <c r="B11" s="140"/>
      <c r="C11" s="140"/>
      <c r="D11" s="140"/>
      <c r="E11" s="3"/>
      <c r="F11" s="3"/>
      <c r="G11" s="3"/>
      <c r="H11" s="3">
        <f t="shared" si="3"/>
        <v>8</v>
      </c>
      <c r="I11" s="124"/>
      <c r="J11" s="19">
        <f>IF(K6-140&gt;0,K6-140,"0")</f>
        <v>636</v>
      </c>
      <c r="K11" s="19">
        <f>IF(K7-140&gt;0,K7-140,"0")</f>
        <v>2229</v>
      </c>
      <c r="L11" s="19">
        <f>G4*2</f>
        <v>2</v>
      </c>
      <c r="N11" s="17">
        <f t="shared" si="2"/>
        <v>9</v>
      </c>
      <c r="O11" s="114" t="s">
        <v>61</v>
      </c>
      <c r="P11" s="115"/>
      <c r="Q11" s="115"/>
      <c r="R11" s="31"/>
      <c r="S11" s="31"/>
      <c r="T11" s="35">
        <f>T10*2+T9</f>
        <v>18</v>
      </c>
      <c r="U11" s="46">
        <v>100</v>
      </c>
      <c r="V11" s="33">
        <f t="shared" si="5"/>
        <v>1800</v>
      </c>
      <c r="W11" s="28" t="s">
        <v>74</v>
      </c>
    </row>
    <row r="12" spans="2:23" ht="37.950000000000003" customHeight="1" x14ac:dyDescent="0.35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N12" s="17">
        <f>N11+1</f>
        <v>10</v>
      </c>
      <c r="O12" s="116" t="s">
        <v>65</v>
      </c>
      <c r="P12" s="117"/>
      <c r="Q12" s="117"/>
      <c r="R12" s="117"/>
      <c r="S12" s="118"/>
      <c r="T12" s="37"/>
      <c r="U12" s="38"/>
      <c r="V12" s="82">
        <f>SUM(V3:V11)</f>
        <v>4328186.2250000006</v>
      </c>
      <c r="W12" s="28"/>
    </row>
    <row r="13" spans="2:23" ht="37.950000000000003" customHeight="1" x14ac:dyDescent="0.35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51">
        <f>J11*K11*L11/1000000</f>
        <v>2.8352879999999998</v>
      </c>
      <c r="N13" s="26" t="s">
        <v>14</v>
      </c>
      <c r="O13" s="121" t="s">
        <v>51</v>
      </c>
      <c r="P13" s="121"/>
      <c r="Q13" s="121"/>
      <c r="R13" s="26" t="s">
        <v>52</v>
      </c>
      <c r="S13" s="32" t="s">
        <v>58</v>
      </c>
      <c r="T13" s="32"/>
      <c r="U13" s="26" t="s">
        <v>44</v>
      </c>
      <c r="V13" s="26" t="s">
        <v>45</v>
      </c>
      <c r="W13" s="28"/>
    </row>
    <row r="14" spans="2:23" ht="37.950000000000003" customHeight="1" x14ac:dyDescent="0.35">
      <c r="B14" s="122"/>
      <c r="C14" s="122"/>
      <c r="D14" s="130"/>
      <c r="E14" s="130"/>
      <c r="F14" s="130"/>
      <c r="G14" s="130"/>
      <c r="H14" s="130"/>
      <c r="I14" s="130"/>
      <c r="J14" s="122"/>
      <c r="K14" s="122"/>
      <c r="L14" s="100">
        <f>L13*290000</f>
        <v>822233.5199999999</v>
      </c>
      <c r="N14" s="17">
        <v>1</v>
      </c>
      <c r="O14" s="114" t="s">
        <v>66</v>
      </c>
      <c r="P14" s="115"/>
      <c r="Q14" s="115"/>
      <c r="R14" s="40">
        <f>R3+R4+R7</f>
        <v>21336</v>
      </c>
      <c r="S14" s="2">
        <v>1</v>
      </c>
      <c r="T14" s="41"/>
      <c r="U14" s="40">
        <v>1000</v>
      </c>
      <c r="V14" s="40">
        <f>U14*R14*S14/1000</f>
        <v>21336</v>
      </c>
      <c r="W14" s="28"/>
    </row>
    <row r="15" spans="2:23" ht="37.950000000000003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  <c r="L15" s="51">
        <f>F6*350</f>
        <v>1377600</v>
      </c>
      <c r="N15" s="17">
        <f>N14+1</f>
        <v>2</v>
      </c>
      <c r="O15" s="114" t="s">
        <v>47</v>
      </c>
      <c r="P15" s="115"/>
      <c r="Q15" s="115"/>
      <c r="R15" s="40">
        <f>R4*2</f>
        <v>25160</v>
      </c>
      <c r="S15" s="2">
        <v>1</v>
      </c>
      <c r="T15" s="41"/>
      <c r="U15" s="40">
        <v>1000</v>
      </c>
      <c r="V15" s="40">
        <f>U15*R15*S15/1000</f>
        <v>25160</v>
      </c>
      <c r="W15" s="28"/>
    </row>
    <row r="16" spans="2:23" ht="37.950000000000003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22">
        <v>1100000</v>
      </c>
      <c r="K16" s="122"/>
      <c r="L16" s="63">
        <f>V21+L14+L15+J16</f>
        <v>7685015.7450000001</v>
      </c>
      <c r="N16" s="17">
        <f t="shared" ref="N16:N20" si="6">N15+1</f>
        <v>3</v>
      </c>
      <c r="O16" s="114" t="s">
        <v>67</v>
      </c>
      <c r="P16" s="115"/>
      <c r="Q16" s="115"/>
      <c r="R16" s="40"/>
      <c r="S16" s="2">
        <v>2</v>
      </c>
      <c r="T16" s="41"/>
      <c r="U16" s="40">
        <v>2500</v>
      </c>
      <c r="V16" s="40">
        <f>U16*S16</f>
        <v>5000</v>
      </c>
      <c r="W16" s="28" t="s">
        <v>75</v>
      </c>
    </row>
    <row r="17" spans="2:23" ht="37.950000000000003" customHeight="1" x14ac:dyDescent="0.35">
      <c r="B17" s="122"/>
      <c r="C17" s="122"/>
      <c r="D17" s="122"/>
      <c r="E17" s="122"/>
      <c r="F17" s="122"/>
      <c r="G17" s="122"/>
      <c r="H17" s="130"/>
      <c r="I17" s="130"/>
      <c r="J17" s="122">
        <f>F6*2600</f>
        <v>10233600</v>
      </c>
      <c r="K17" s="122"/>
      <c r="L17" s="108">
        <f>L16/F6</f>
        <v>1952.493837652439</v>
      </c>
      <c r="N17" s="17">
        <f t="shared" si="6"/>
        <v>4</v>
      </c>
      <c r="O17" s="114" t="s">
        <v>72</v>
      </c>
      <c r="P17" s="115"/>
      <c r="Q17" s="115"/>
      <c r="R17" s="40"/>
      <c r="S17" s="2">
        <v>1</v>
      </c>
      <c r="T17" s="41"/>
      <c r="U17" s="40">
        <v>2500</v>
      </c>
      <c r="V17" s="40">
        <f>U17*S17</f>
        <v>2500</v>
      </c>
      <c r="W17" s="28" t="s">
        <v>76</v>
      </c>
    </row>
    <row r="18" spans="2:23" ht="37.950000000000003" customHeight="1" x14ac:dyDescent="0.35">
      <c r="B18" s="122"/>
      <c r="C18" s="122"/>
      <c r="D18" s="130"/>
      <c r="E18" s="130"/>
      <c r="F18" s="130"/>
      <c r="G18" s="130"/>
      <c r="H18" s="130"/>
      <c r="I18" s="130"/>
      <c r="J18" s="133">
        <f>L16/J17</f>
        <v>0.75095916832786114</v>
      </c>
      <c r="K18" s="133"/>
      <c r="L18" s="51"/>
      <c r="N18" s="17">
        <f t="shared" si="6"/>
        <v>5</v>
      </c>
      <c r="O18" s="114" t="s">
        <v>68</v>
      </c>
      <c r="P18" s="115"/>
      <c r="Q18" s="119"/>
      <c r="R18" s="40"/>
      <c r="S18" s="54">
        <v>1</v>
      </c>
      <c r="T18" s="41"/>
      <c r="U18" s="40">
        <v>1000</v>
      </c>
      <c r="V18" s="40">
        <f t="shared" ref="V18:V19" si="7">U18*S18</f>
        <v>1000</v>
      </c>
      <c r="W18" s="28"/>
    </row>
    <row r="19" spans="2:23" ht="37.950000000000003" customHeight="1" x14ac:dyDescent="0.35">
      <c r="B19" s="122"/>
      <c r="C19" s="122"/>
      <c r="D19" s="122"/>
      <c r="E19" s="122"/>
      <c r="F19" s="122"/>
      <c r="G19" s="122"/>
      <c r="H19" s="130"/>
      <c r="I19" s="130"/>
      <c r="J19" s="122"/>
      <c r="K19" s="122"/>
      <c r="L19" s="51"/>
      <c r="N19" s="17">
        <f t="shared" si="6"/>
        <v>6</v>
      </c>
      <c r="O19" s="114" t="s">
        <v>70</v>
      </c>
      <c r="P19" s="115"/>
      <c r="Q19" s="119"/>
      <c r="R19" s="40"/>
      <c r="S19" s="2">
        <v>1</v>
      </c>
      <c r="T19" s="41"/>
      <c r="U19" s="40">
        <v>2000</v>
      </c>
      <c r="V19" s="40">
        <f t="shared" si="7"/>
        <v>2000</v>
      </c>
      <c r="W19" s="28" t="s">
        <v>77</v>
      </c>
    </row>
    <row r="20" spans="2:23" ht="37.950000000000003" customHeight="1" x14ac:dyDescent="0.35">
      <c r="B20" s="122"/>
      <c r="C20" s="122"/>
      <c r="D20" s="122"/>
      <c r="E20" s="122"/>
      <c r="F20" s="122"/>
      <c r="G20" s="122"/>
      <c r="H20" s="139"/>
      <c r="I20" s="139"/>
      <c r="J20" s="122"/>
      <c r="K20" s="122"/>
      <c r="L20" s="51">
        <f>F6*250</f>
        <v>984000</v>
      </c>
      <c r="N20" s="17">
        <f t="shared" si="6"/>
        <v>7</v>
      </c>
      <c r="O20" s="131" t="s">
        <v>69</v>
      </c>
      <c r="P20" s="131"/>
      <c r="Q20" s="131"/>
      <c r="R20" s="131"/>
      <c r="S20" s="131"/>
      <c r="T20" s="37"/>
      <c r="U20" s="38"/>
      <c r="V20" s="39">
        <f>SUM(V14:V19)</f>
        <v>56996</v>
      </c>
      <c r="W20" s="28"/>
    </row>
    <row r="21" spans="2:23" ht="37.950000000000003" customHeight="1" x14ac:dyDescent="0.35">
      <c r="B21" s="122"/>
      <c r="C21" s="122"/>
      <c r="D21" s="122"/>
      <c r="E21" s="122"/>
      <c r="F21" s="122"/>
      <c r="G21" s="122"/>
      <c r="H21" s="130"/>
      <c r="I21" s="130"/>
      <c r="J21" s="122"/>
      <c r="K21" s="122"/>
      <c r="L21" s="51"/>
      <c r="N21" s="96"/>
      <c r="O21" s="111" t="s">
        <v>145</v>
      </c>
      <c r="P21" s="112"/>
      <c r="Q21" s="112"/>
      <c r="R21" s="112"/>
      <c r="S21" s="113"/>
      <c r="T21" s="98"/>
      <c r="U21" s="99"/>
      <c r="V21" s="100">
        <f>V12+V20</f>
        <v>4385182.2250000006</v>
      </c>
      <c r="W21" s="97"/>
    </row>
    <row r="22" spans="2:23" ht="37.950000000000003" customHeight="1" x14ac:dyDescent="0.45">
      <c r="N22" s="141" t="s">
        <v>141</v>
      </c>
      <c r="O22" s="141"/>
      <c r="P22" s="141"/>
      <c r="Q22" s="141"/>
      <c r="R22" s="141"/>
      <c r="S22" s="141"/>
      <c r="T22" s="141"/>
      <c r="U22" s="141"/>
      <c r="V22" s="141"/>
      <c r="W22" s="141"/>
    </row>
    <row r="23" spans="2:23" ht="37.950000000000003" customHeight="1" x14ac:dyDescent="0.35">
      <c r="N23" s="26" t="s">
        <v>14</v>
      </c>
      <c r="O23" s="121" t="s">
        <v>51</v>
      </c>
      <c r="P23" s="121"/>
      <c r="Q23" s="121"/>
      <c r="R23" s="26" t="s">
        <v>52</v>
      </c>
      <c r="S23" s="32" t="s">
        <v>62</v>
      </c>
      <c r="T23" s="32" t="s">
        <v>63</v>
      </c>
      <c r="U23" s="26" t="s">
        <v>44</v>
      </c>
      <c r="V23" s="26" t="s">
        <v>45</v>
      </c>
      <c r="W23" s="26" t="s">
        <v>39</v>
      </c>
    </row>
    <row r="24" spans="2:23" ht="37.950000000000003" customHeight="1" x14ac:dyDescent="0.35">
      <c r="N24" s="17">
        <v>1</v>
      </c>
      <c r="O24" s="114" t="s">
        <v>53</v>
      </c>
      <c r="P24" s="115"/>
      <c r="Q24" s="115"/>
      <c r="R24" s="36">
        <f>K4*L4+K5*L5</f>
        <v>6440</v>
      </c>
      <c r="S24" s="86">
        <v>0.88</v>
      </c>
      <c r="T24" s="34">
        <f>S24*R24</f>
        <v>5667.2</v>
      </c>
      <c r="U24" s="36">
        <v>95000</v>
      </c>
      <c r="V24" s="33">
        <f>U24*T24/1000</f>
        <v>538384</v>
      </c>
      <c r="W24" s="136"/>
    </row>
    <row r="25" spans="2:23" ht="37.950000000000003" customHeight="1" x14ac:dyDescent="0.35">
      <c r="N25" s="17">
        <f>N24+1</f>
        <v>2</v>
      </c>
      <c r="O25" s="114" t="s">
        <v>54</v>
      </c>
      <c r="P25" s="115"/>
      <c r="Q25" s="115"/>
      <c r="R25" s="36">
        <f>K6*L6+K7*L7</f>
        <v>12580</v>
      </c>
      <c r="S25" s="86">
        <v>1.08</v>
      </c>
      <c r="T25" s="34">
        <f t="shared" ref="T25:T28" si="8">S25*R25</f>
        <v>13586.400000000001</v>
      </c>
      <c r="U25" s="36">
        <v>95000</v>
      </c>
      <c r="V25" s="33">
        <f t="shared" ref="V25:V28" si="9">U25*T25/1000</f>
        <v>1290708.0000000002</v>
      </c>
      <c r="W25" s="137"/>
    </row>
    <row r="26" spans="2:23" ht="37.950000000000003" customHeight="1" x14ac:dyDescent="0.35">
      <c r="N26" s="17">
        <f t="shared" ref="N26:N32" si="10">N25+1</f>
        <v>3</v>
      </c>
      <c r="O26" s="114" t="s">
        <v>55</v>
      </c>
      <c r="P26" s="115"/>
      <c r="Q26" s="115"/>
      <c r="R26" s="36">
        <f>R25</f>
        <v>12580</v>
      </c>
      <c r="S26" s="80">
        <v>0.27100000000000002</v>
      </c>
      <c r="T26" s="34">
        <f t="shared" si="8"/>
        <v>3409.1800000000003</v>
      </c>
      <c r="U26" s="36">
        <v>95000</v>
      </c>
      <c r="V26" s="33">
        <f t="shared" si="9"/>
        <v>323872.09999999998</v>
      </c>
      <c r="W26" s="137"/>
    </row>
    <row r="27" spans="2:23" ht="37.950000000000003" customHeight="1" x14ac:dyDescent="0.35">
      <c r="N27" s="17">
        <f t="shared" si="10"/>
        <v>4</v>
      </c>
      <c r="O27" s="114" t="s">
        <v>56</v>
      </c>
      <c r="P27" s="115"/>
      <c r="Q27" s="115"/>
      <c r="R27" s="36">
        <f>K9*L9</f>
        <v>1430</v>
      </c>
      <c r="S27" s="80">
        <v>0.47599999999999998</v>
      </c>
      <c r="T27" s="34">
        <f t="shared" si="8"/>
        <v>680.68</v>
      </c>
      <c r="U27" s="36">
        <v>95000</v>
      </c>
      <c r="V27" s="33">
        <f t="shared" si="9"/>
        <v>64664.599999999991</v>
      </c>
      <c r="W27" s="137"/>
    </row>
    <row r="28" spans="2:23" ht="37.950000000000003" customHeight="1" x14ac:dyDescent="0.35">
      <c r="N28" s="17">
        <f t="shared" si="10"/>
        <v>5</v>
      </c>
      <c r="O28" s="114" t="s">
        <v>71</v>
      </c>
      <c r="P28" s="115"/>
      <c r="Q28" s="119"/>
      <c r="R28" s="36">
        <f>K8*L8</f>
        <v>2316</v>
      </c>
      <c r="S28" s="80">
        <v>0.89100000000000001</v>
      </c>
      <c r="T28" s="34">
        <f t="shared" si="8"/>
        <v>2063.556</v>
      </c>
      <c r="U28" s="36">
        <v>95000</v>
      </c>
      <c r="V28" s="33">
        <f t="shared" si="9"/>
        <v>196037.82</v>
      </c>
      <c r="W28" s="138"/>
    </row>
    <row r="29" spans="2:23" ht="37.950000000000003" customHeight="1" x14ac:dyDescent="0.35">
      <c r="N29" s="17">
        <f t="shared" si="10"/>
        <v>6</v>
      </c>
      <c r="O29" s="114" t="s">
        <v>78</v>
      </c>
      <c r="P29" s="115"/>
      <c r="Q29" s="119"/>
      <c r="R29" s="36"/>
      <c r="S29" s="31"/>
      <c r="T29" s="72"/>
      <c r="U29" s="52">
        <v>0.05</v>
      </c>
      <c r="V29" s="36">
        <f>SUM(V24:V28)*U29</f>
        <v>120683.326</v>
      </c>
      <c r="W29" s="44"/>
    </row>
    <row r="30" spans="2:23" ht="37.950000000000003" customHeight="1" x14ac:dyDescent="0.35">
      <c r="N30" s="17">
        <f t="shared" si="10"/>
        <v>7</v>
      </c>
      <c r="O30" s="114" t="s">
        <v>59</v>
      </c>
      <c r="P30" s="115"/>
      <c r="Q30" s="115"/>
      <c r="R30" s="31"/>
      <c r="S30" s="31"/>
      <c r="T30" s="35">
        <v>2</v>
      </c>
      <c r="U30" s="46">
        <v>7700</v>
      </c>
      <c r="V30" s="33">
        <f t="shared" ref="V30:V32" si="11">U30*T30</f>
        <v>15400</v>
      </c>
      <c r="W30" s="28"/>
    </row>
    <row r="31" spans="2:23" ht="37.950000000000003" customHeight="1" x14ac:dyDescent="0.35">
      <c r="N31" s="17">
        <f t="shared" si="10"/>
        <v>8</v>
      </c>
      <c r="O31" s="114" t="s">
        <v>60</v>
      </c>
      <c r="P31" s="115"/>
      <c r="Q31" s="115"/>
      <c r="R31" s="31"/>
      <c r="S31" s="31"/>
      <c r="T31" s="35">
        <v>8</v>
      </c>
      <c r="U31" s="46">
        <v>7700</v>
      </c>
      <c r="V31" s="33">
        <f t="shared" si="11"/>
        <v>61600</v>
      </c>
      <c r="W31" s="28" t="s">
        <v>73</v>
      </c>
    </row>
    <row r="32" spans="2:23" ht="37.950000000000003" customHeight="1" x14ac:dyDescent="0.35">
      <c r="L32" s="1">
        <f>F6*300</f>
        <v>1180800</v>
      </c>
      <c r="N32" s="17">
        <f t="shared" si="10"/>
        <v>9</v>
      </c>
      <c r="O32" s="114" t="s">
        <v>61</v>
      </c>
      <c r="P32" s="115"/>
      <c r="Q32" s="115"/>
      <c r="R32" s="31"/>
      <c r="S32" s="31"/>
      <c r="T32" s="35">
        <f>T31*2+T30</f>
        <v>18</v>
      </c>
      <c r="U32" s="46">
        <v>100</v>
      </c>
      <c r="V32" s="33">
        <f t="shared" si="11"/>
        <v>1800</v>
      </c>
      <c r="W32" s="28" t="s">
        <v>74</v>
      </c>
    </row>
    <row r="33" spans="11:23" ht="37.950000000000003" customHeight="1" x14ac:dyDescent="0.35">
      <c r="K33" s="22">
        <v>1450000</v>
      </c>
      <c r="L33" s="22">
        <f>L32+V34+L14+K33</f>
        <v>6123179.3659999995</v>
      </c>
      <c r="M33" s="1">
        <f>F6*300</f>
        <v>1180800</v>
      </c>
      <c r="N33" s="17">
        <f>N32+1</f>
        <v>10</v>
      </c>
      <c r="O33" s="116" t="s">
        <v>65</v>
      </c>
      <c r="P33" s="117"/>
      <c r="Q33" s="117"/>
      <c r="R33" s="117"/>
      <c r="S33" s="118"/>
      <c r="T33" s="37"/>
      <c r="U33" s="38"/>
      <c r="V33" s="82">
        <f>SUM(V24:V32)</f>
        <v>2613149.8459999999</v>
      </c>
      <c r="W33" s="28"/>
    </row>
    <row r="34" spans="11:23" ht="37.950000000000003" customHeight="1" x14ac:dyDescent="0.35">
      <c r="L34" s="106">
        <f>L33/F6</f>
        <v>1555.6858145325202</v>
      </c>
      <c r="M34" s="22">
        <f>M33+V34</f>
        <v>3850945.8459999999</v>
      </c>
      <c r="N34" s="96"/>
      <c r="O34" s="111" t="s">
        <v>145</v>
      </c>
      <c r="P34" s="112"/>
      <c r="Q34" s="112"/>
      <c r="R34" s="112"/>
      <c r="S34" s="113"/>
      <c r="T34" s="98"/>
      <c r="U34" s="99"/>
      <c r="V34" s="100">
        <f>V20+V33</f>
        <v>2670145.8459999999</v>
      </c>
      <c r="W34" s="97"/>
    </row>
    <row r="35" spans="11:23" ht="37.950000000000003" customHeight="1" x14ac:dyDescent="0.45">
      <c r="L35" s="22">
        <f>F6*1500</f>
        <v>5904000</v>
      </c>
      <c r="M35" s="106">
        <f>M34/F6</f>
        <v>978.39071290650406</v>
      </c>
      <c r="N35" s="120" t="s">
        <v>142</v>
      </c>
      <c r="O35" s="120"/>
      <c r="P35" s="120"/>
      <c r="Q35" s="120"/>
      <c r="R35" s="120"/>
      <c r="S35" s="120"/>
      <c r="T35" s="120"/>
      <c r="U35" s="120"/>
      <c r="V35" s="120"/>
      <c r="W35" s="120"/>
    </row>
    <row r="36" spans="11:23" ht="37.950000000000003" customHeight="1" x14ac:dyDescent="0.35">
      <c r="L36" s="1">
        <f>L33/L35</f>
        <v>1.0371238763550135</v>
      </c>
      <c r="N36" s="26" t="s">
        <v>14</v>
      </c>
      <c r="O36" s="121" t="s">
        <v>51</v>
      </c>
      <c r="P36" s="121"/>
      <c r="Q36" s="121"/>
      <c r="R36" s="26" t="s">
        <v>52</v>
      </c>
      <c r="S36" s="32" t="s">
        <v>62</v>
      </c>
      <c r="T36" s="32" t="s">
        <v>63</v>
      </c>
      <c r="U36" s="26" t="s">
        <v>44</v>
      </c>
      <c r="V36" s="26" t="s">
        <v>45</v>
      </c>
      <c r="W36" s="26" t="s">
        <v>39</v>
      </c>
    </row>
    <row r="37" spans="11:23" ht="37.950000000000003" customHeight="1" x14ac:dyDescent="0.35">
      <c r="N37" s="17">
        <v>1</v>
      </c>
      <c r="O37" s="114" t="s">
        <v>53</v>
      </c>
      <c r="P37" s="115"/>
      <c r="Q37" s="115"/>
      <c r="R37" s="36">
        <f>K4*L4+K5*L5</f>
        <v>6440</v>
      </c>
      <c r="S37" s="80">
        <v>0.70299999999999996</v>
      </c>
      <c r="T37" s="34">
        <f>S37*R37</f>
        <v>4527.32</v>
      </c>
      <c r="U37" s="36">
        <v>80000</v>
      </c>
      <c r="V37" s="33">
        <f>U37*T37/1000</f>
        <v>362185.6</v>
      </c>
      <c r="W37" s="136"/>
    </row>
    <row r="38" spans="11:23" ht="37.950000000000003" customHeight="1" x14ac:dyDescent="0.35">
      <c r="N38" s="17">
        <f>N37+1</f>
        <v>2</v>
      </c>
      <c r="O38" s="114" t="s">
        <v>54</v>
      </c>
      <c r="P38" s="115"/>
      <c r="Q38" s="115"/>
      <c r="R38" s="36">
        <f>K6*L6+K7*L7</f>
        <v>12580</v>
      </c>
      <c r="S38" s="80">
        <v>0.92600000000000005</v>
      </c>
      <c r="T38" s="34">
        <f t="shared" ref="T38:T41" si="12">S38*R38</f>
        <v>11649.08</v>
      </c>
      <c r="U38" s="36">
        <v>80000</v>
      </c>
      <c r="V38" s="33">
        <f t="shared" ref="V38:V41" si="13">U38*T38/1000</f>
        <v>931926.4</v>
      </c>
      <c r="W38" s="137"/>
    </row>
    <row r="39" spans="11:23" ht="37.950000000000003" customHeight="1" x14ac:dyDescent="0.35">
      <c r="N39" s="17">
        <f t="shared" ref="N39:N45" si="14">N38+1</f>
        <v>3</v>
      </c>
      <c r="O39" s="114" t="s">
        <v>55</v>
      </c>
      <c r="P39" s="115"/>
      <c r="Q39" s="115"/>
      <c r="R39" s="36">
        <f>R38</f>
        <v>12580</v>
      </c>
      <c r="S39" s="80">
        <v>0.27100000000000002</v>
      </c>
      <c r="T39" s="34">
        <f t="shared" si="12"/>
        <v>3409.1800000000003</v>
      </c>
      <c r="U39" s="36">
        <v>80000</v>
      </c>
      <c r="V39" s="33">
        <f t="shared" si="13"/>
        <v>272734.40000000002</v>
      </c>
      <c r="W39" s="137"/>
    </row>
    <row r="40" spans="11:23" ht="37.950000000000003" customHeight="1" x14ac:dyDescent="0.35">
      <c r="N40" s="17">
        <f t="shared" si="14"/>
        <v>4</v>
      </c>
      <c r="O40" s="114" t="s">
        <v>56</v>
      </c>
      <c r="P40" s="115"/>
      <c r="Q40" s="115"/>
      <c r="R40" s="36">
        <f>K9*L9</f>
        <v>1430</v>
      </c>
      <c r="S40" s="80">
        <v>0.47599999999999998</v>
      </c>
      <c r="T40" s="34">
        <f t="shared" si="12"/>
        <v>680.68</v>
      </c>
      <c r="U40" s="36">
        <v>80000</v>
      </c>
      <c r="V40" s="33">
        <f t="shared" si="13"/>
        <v>54454.399999999994</v>
      </c>
      <c r="W40" s="137"/>
    </row>
    <row r="41" spans="11:23" ht="37.950000000000003" customHeight="1" x14ac:dyDescent="0.35">
      <c r="N41" s="17">
        <f t="shared" si="14"/>
        <v>5</v>
      </c>
      <c r="O41" s="114" t="s">
        <v>71</v>
      </c>
      <c r="P41" s="115"/>
      <c r="Q41" s="119"/>
      <c r="R41" s="36">
        <f>K8*L8</f>
        <v>2316</v>
      </c>
      <c r="S41" s="80">
        <v>0.89100000000000001</v>
      </c>
      <c r="T41" s="34">
        <f t="shared" si="12"/>
        <v>2063.556</v>
      </c>
      <c r="U41" s="36">
        <v>80000</v>
      </c>
      <c r="V41" s="33">
        <f t="shared" si="13"/>
        <v>165084.48000000001</v>
      </c>
      <c r="W41" s="138"/>
    </row>
    <row r="42" spans="11:23" ht="37.950000000000003" customHeight="1" x14ac:dyDescent="0.35">
      <c r="N42" s="17">
        <f t="shared" si="14"/>
        <v>6</v>
      </c>
      <c r="O42" s="114" t="s">
        <v>78</v>
      </c>
      <c r="P42" s="115"/>
      <c r="Q42" s="119"/>
      <c r="R42" s="36"/>
      <c r="S42" s="31"/>
      <c r="T42" s="72"/>
      <c r="U42" s="52">
        <v>0.05</v>
      </c>
      <c r="V42" s="36">
        <f>SUM(V37:V41)*U42</f>
        <v>89319.263999999996</v>
      </c>
      <c r="W42" s="44"/>
    </row>
    <row r="43" spans="11:23" ht="37.950000000000003" customHeight="1" x14ac:dyDescent="0.35">
      <c r="N43" s="17">
        <f t="shared" si="14"/>
        <v>7</v>
      </c>
      <c r="O43" s="114" t="s">
        <v>59</v>
      </c>
      <c r="P43" s="115"/>
      <c r="Q43" s="115"/>
      <c r="R43" s="31"/>
      <c r="S43" s="31"/>
      <c r="T43" s="35">
        <v>2</v>
      </c>
      <c r="U43" s="46">
        <v>7700</v>
      </c>
      <c r="V43" s="33">
        <f t="shared" ref="V43:V45" si="15">U43*T43</f>
        <v>15400</v>
      </c>
      <c r="W43" s="28"/>
    </row>
    <row r="44" spans="11:23" ht="37.950000000000003" customHeight="1" x14ac:dyDescent="0.35">
      <c r="N44" s="17">
        <f t="shared" si="14"/>
        <v>8</v>
      </c>
      <c r="O44" s="114" t="s">
        <v>60</v>
      </c>
      <c r="P44" s="115"/>
      <c r="Q44" s="115"/>
      <c r="R44" s="31"/>
      <c r="S44" s="31"/>
      <c r="T44" s="35">
        <v>8</v>
      </c>
      <c r="U44" s="46">
        <v>7700</v>
      </c>
      <c r="V44" s="33">
        <f t="shared" si="15"/>
        <v>61600</v>
      </c>
      <c r="W44" s="28" t="s">
        <v>73</v>
      </c>
    </row>
    <row r="45" spans="11:23" ht="37.950000000000003" customHeight="1" x14ac:dyDescent="0.35">
      <c r="N45" s="17">
        <f t="shared" si="14"/>
        <v>9</v>
      </c>
      <c r="O45" s="114" t="s">
        <v>61</v>
      </c>
      <c r="P45" s="115"/>
      <c r="Q45" s="115"/>
      <c r="R45" s="31"/>
      <c r="S45" s="31"/>
      <c r="T45" s="35">
        <f>T44*2+T43</f>
        <v>18</v>
      </c>
      <c r="U45" s="46">
        <v>100</v>
      </c>
      <c r="V45" s="33">
        <f t="shared" si="15"/>
        <v>1800</v>
      </c>
      <c r="W45" s="28" t="s">
        <v>74</v>
      </c>
    </row>
    <row r="46" spans="11:23" ht="37.950000000000003" customHeight="1" x14ac:dyDescent="0.35">
      <c r="N46" s="17">
        <f>N45+1</f>
        <v>10</v>
      </c>
      <c r="O46" s="116" t="s">
        <v>65</v>
      </c>
      <c r="P46" s="117"/>
      <c r="Q46" s="117"/>
      <c r="R46" s="117"/>
      <c r="S46" s="118"/>
      <c r="T46" s="37"/>
      <c r="U46" s="38"/>
      <c r="V46" s="82">
        <f>SUM(V37:V45)</f>
        <v>1954504.5439999998</v>
      </c>
      <c r="W46" s="28"/>
    </row>
    <row r="47" spans="11:23" ht="37.950000000000003" customHeight="1" x14ac:dyDescent="0.35">
      <c r="N47" s="96"/>
      <c r="O47" s="111" t="s">
        <v>145</v>
      </c>
      <c r="P47" s="112"/>
      <c r="Q47" s="112"/>
      <c r="R47" s="112"/>
      <c r="S47" s="113"/>
      <c r="T47" s="98"/>
      <c r="U47" s="99"/>
      <c r="V47" s="100">
        <f>V20+V46</f>
        <v>2011500.5439999998</v>
      </c>
      <c r="W47" s="97"/>
    </row>
  </sheetData>
  <mergeCells count="95">
    <mergeCell ref="O21:S21"/>
    <mergeCell ref="O24:Q24"/>
    <mergeCell ref="O30:Q30"/>
    <mergeCell ref="B1:L1"/>
    <mergeCell ref="H2:H3"/>
    <mergeCell ref="I10:I11"/>
    <mergeCell ref="O7:Q7"/>
    <mergeCell ref="O9:Q9"/>
    <mergeCell ref="O10:Q10"/>
    <mergeCell ref="O11:Q11"/>
    <mergeCell ref="B2:F2"/>
    <mergeCell ref="I2:L2"/>
    <mergeCell ref="B3:D11"/>
    <mergeCell ref="O20:S20"/>
    <mergeCell ref="N22:W22"/>
    <mergeCell ref="O23:Q23"/>
    <mergeCell ref="O14:Q14"/>
    <mergeCell ref="O15:Q15"/>
    <mergeCell ref="O16:Q16"/>
    <mergeCell ref="O18:Q18"/>
    <mergeCell ref="O19:Q19"/>
    <mergeCell ref="O17:Q17"/>
    <mergeCell ref="O13:Q13"/>
    <mergeCell ref="N1:W1"/>
    <mergeCell ref="O2:Q2"/>
    <mergeCell ref="O3:Q3"/>
    <mergeCell ref="O4:Q4"/>
    <mergeCell ref="O5:Q5"/>
    <mergeCell ref="O6:Q6"/>
    <mergeCell ref="W3:W7"/>
    <mergeCell ref="O8:Q8"/>
    <mergeCell ref="O12:S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D18:E18"/>
    <mergeCell ref="F18:G18"/>
    <mergeCell ref="H18:I18"/>
    <mergeCell ref="J18:K18"/>
    <mergeCell ref="B19:G19"/>
    <mergeCell ref="H19:I19"/>
    <mergeCell ref="J19:K19"/>
    <mergeCell ref="B20:G20"/>
    <mergeCell ref="H20:I20"/>
    <mergeCell ref="J20:K20"/>
    <mergeCell ref="B21:C21"/>
    <mergeCell ref="D21:E21"/>
    <mergeCell ref="F21:G21"/>
    <mergeCell ref="H21:I21"/>
    <mergeCell ref="J21:K21"/>
    <mergeCell ref="W37:W41"/>
    <mergeCell ref="O38:Q38"/>
    <mergeCell ref="O39:Q39"/>
    <mergeCell ref="O40:Q40"/>
    <mergeCell ref="O41:Q41"/>
    <mergeCell ref="O36:Q36"/>
    <mergeCell ref="O34:S34"/>
    <mergeCell ref="O47:S47"/>
    <mergeCell ref="O42:Q42"/>
    <mergeCell ref="O43:Q43"/>
    <mergeCell ref="O44:Q44"/>
    <mergeCell ref="O45:Q45"/>
    <mergeCell ref="O46:S46"/>
    <mergeCell ref="O37:Q37"/>
    <mergeCell ref="W24:W28"/>
    <mergeCell ref="O31:Q31"/>
    <mergeCell ref="O32:Q32"/>
    <mergeCell ref="O33:S33"/>
    <mergeCell ref="N35:W35"/>
    <mergeCell ref="O27:Q27"/>
    <mergeCell ref="O28:Q28"/>
    <mergeCell ref="O29:Q29"/>
    <mergeCell ref="O25:Q25"/>
    <mergeCell ref="O26:Q2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47"/>
  <sheetViews>
    <sheetView zoomScale="45" zoomScaleNormal="45" zoomScalePageLayoutView="75" workbookViewId="0">
      <selection activeCell="E4" sqref="E4"/>
    </sheetView>
  </sheetViews>
  <sheetFormatPr defaultColWidth="17.109375" defaultRowHeight="46.2" customHeight="1" x14ac:dyDescent="0.35"/>
  <cols>
    <col min="1" max="12" width="17.109375" style="1"/>
    <col min="13" max="13" width="21.109375" style="1" customWidth="1"/>
    <col min="14" max="14" width="12" style="1" customWidth="1"/>
    <col min="15" max="21" width="17.109375" style="1"/>
    <col min="22" max="22" width="19.21875" style="1" customWidth="1"/>
    <col min="23" max="23" width="34.21875" style="1" customWidth="1"/>
    <col min="24" max="16384" width="17.109375" style="1"/>
  </cols>
  <sheetData>
    <row r="1" spans="2:23" ht="46.2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144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66" customHeight="1" x14ac:dyDescent="0.35">
      <c r="B2" s="123"/>
      <c r="C2" s="123"/>
      <c r="D2" s="123"/>
      <c r="E2" s="123"/>
      <c r="F2" s="123"/>
      <c r="G2" s="8"/>
      <c r="H2" s="124" t="s">
        <v>14</v>
      </c>
      <c r="I2" s="123" t="s">
        <v>9</v>
      </c>
      <c r="J2" s="123"/>
      <c r="K2" s="123"/>
      <c r="L2" s="123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46.2" customHeight="1" x14ac:dyDescent="0.35">
      <c r="B3" s="140"/>
      <c r="C3" s="140"/>
      <c r="D3" s="140"/>
      <c r="E3" s="3" t="s">
        <v>0</v>
      </c>
      <c r="F3" s="3" t="s">
        <v>1</v>
      </c>
      <c r="G3" s="3" t="s">
        <v>2</v>
      </c>
      <c r="H3" s="124"/>
      <c r="I3" s="9" t="s">
        <v>4</v>
      </c>
      <c r="J3" s="9" t="s">
        <v>3</v>
      </c>
      <c r="K3" s="9" t="s">
        <v>5</v>
      </c>
      <c r="L3" s="9" t="s">
        <v>2</v>
      </c>
      <c r="N3" s="17">
        <v>1</v>
      </c>
      <c r="O3" s="114" t="s">
        <v>53</v>
      </c>
      <c r="P3" s="115"/>
      <c r="Q3" s="115"/>
      <c r="R3" s="36">
        <f>K4*L4+K5*L5</f>
        <v>7920</v>
      </c>
      <c r="S3" s="31">
        <v>1.2569999999999999</v>
      </c>
      <c r="T3" s="34">
        <f>S3*R3</f>
        <v>9955.4399999999987</v>
      </c>
      <c r="U3" s="36">
        <v>105000</v>
      </c>
      <c r="V3" s="33">
        <f>U3*T3/1000</f>
        <v>1045321.1999999998</v>
      </c>
      <c r="W3" s="76"/>
    </row>
    <row r="4" spans="2:23" ht="46.2" customHeight="1" x14ac:dyDescent="0.35">
      <c r="B4" s="140"/>
      <c r="C4" s="140"/>
      <c r="D4" s="140"/>
      <c r="E4" s="3">
        <v>2600</v>
      </c>
      <c r="F4" s="3">
        <v>2660</v>
      </c>
      <c r="G4" s="3">
        <v>1</v>
      </c>
      <c r="H4" s="6">
        <v>1</v>
      </c>
      <c r="I4" s="3" t="s">
        <v>10</v>
      </c>
      <c r="J4" s="6" t="str">
        <f>CONCATENATE($G$2,"-",$D$11,"-","3328","-","1")</f>
        <v>--3328-1</v>
      </c>
      <c r="K4" s="3">
        <f>E4</f>
        <v>2600</v>
      </c>
      <c r="L4" s="3">
        <f>G4*1</f>
        <v>1</v>
      </c>
      <c r="N4" s="17">
        <f>N3+1</f>
        <v>2</v>
      </c>
      <c r="O4" s="114" t="s">
        <v>54</v>
      </c>
      <c r="P4" s="115"/>
      <c r="Q4" s="115"/>
      <c r="R4" s="36">
        <f>K6*L6+K7*L7</f>
        <v>25872</v>
      </c>
      <c r="S4" s="31">
        <v>1.4410000000000001</v>
      </c>
      <c r="T4" s="34">
        <f t="shared" ref="T4:T7" si="0">S4*R4</f>
        <v>37281.552000000003</v>
      </c>
      <c r="U4" s="36">
        <v>105000</v>
      </c>
      <c r="V4" s="33">
        <f>U4*T4/1000</f>
        <v>3914562.9600000004</v>
      </c>
      <c r="W4" s="76"/>
    </row>
    <row r="5" spans="2:23" ht="46.2" customHeight="1" x14ac:dyDescent="0.35">
      <c r="B5" s="140"/>
      <c r="C5" s="140"/>
      <c r="D5" s="140"/>
      <c r="E5" s="84"/>
      <c r="F5" s="43" t="s">
        <v>46</v>
      </c>
      <c r="G5" s="43" t="s">
        <v>119</v>
      </c>
      <c r="H5" s="6">
        <f>H4+1</f>
        <v>2</v>
      </c>
      <c r="I5" s="3" t="s">
        <v>11</v>
      </c>
      <c r="J5" s="6" t="str">
        <f>CONCATENATE($G$2,"-",$D$11,"-","3328","-","2")</f>
        <v>--3328-2</v>
      </c>
      <c r="K5" s="3">
        <f>F4</f>
        <v>2660</v>
      </c>
      <c r="L5" s="3">
        <f>G4*2</f>
        <v>2</v>
      </c>
      <c r="N5" s="17">
        <f t="shared" ref="N5:N12" si="1">N4+1</f>
        <v>3</v>
      </c>
      <c r="O5" s="114" t="s">
        <v>55</v>
      </c>
      <c r="P5" s="115"/>
      <c r="Q5" s="115"/>
      <c r="R5" s="36">
        <f>R4</f>
        <v>25872</v>
      </c>
      <c r="S5" s="31">
        <v>0.27100000000000002</v>
      </c>
      <c r="T5" s="34">
        <f t="shared" si="0"/>
        <v>7011.3120000000008</v>
      </c>
      <c r="U5" s="36">
        <v>105000</v>
      </c>
      <c r="V5" s="33">
        <f t="shared" ref="V5:V7" si="2">U5*T5/1000</f>
        <v>736187.76000000013</v>
      </c>
      <c r="W5" s="76"/>
    </row>
    <row r="6" spans="2:23" ht="46.2" customHeight="1" x14ac:dyDescent="0.35">
      <c r="B6" s="140"/>
      <c r="C6" s="140"/>
      <c r="D6" s="140"/>
      <c r="E6" s="54"/>
      <c r="F6" s="19">
        <f>F4*E4/1000</f>
        <v>6916</v>
      </c>
      <c r="G6" s="83">
        <f>SUM(T3:T7)</f>
        <v>64808.378999999994</v>
      </c>
      <c r="H6" s="6">
        <f t="shared" ref="H6:H11" si="3">H5+1</f>
        <v>3</v>
      </c>
      <c r="I6" s="3" t="s">
        <v>17</v>
      </c>
      <c r="J6" s="6" t="str">
        <f>CONCATENATE($G$2,"-",$D$11,"-","3332","-","1")</f>
        <v>--3332-1</v>
      </c>
      <c r="K6" s="3">
        <f>IF((E4-36*2-25)/4&lt;0,"0",ROUNDDOWN((E4-72-25)/4,0))</f>
        <v>625</v>
      </c>
      <c r="L6" s="3">
        <f>G4*8</f>
        <v>8</v>
      </c>
      <c r="N6" s="17">
        <f t="shared" si="1"/>
        <v>4</v>
      </c>
      <c r="O6" s="114" t="s">
        <v>56</v>
      </c>
      <c r="P6" s="115"/>
      <c r="Q6" s="115"/>
      <c r="R6" s="36">
        <f>K8*L8</f>
        <v>7725</v>
      </c>
      <c r="S6" s="31">
        <v>0.47599999999999998</v>
      </c>
      <c r="T6" s="34">
        <f t="shared" si="0"/>
        <v>3677.1</v>
      </c>
      <c r="U6" s="36">
        <v>105000</v>
      </c>
      <c r="V6" s="33">
        <f t="shared" si="2"/>
        <v>386095.5</v>
      </c>
      <c r="W6" s="76"/>
    </row>
    <row r="7" spans="2:23" ht="46.2" customHeight="1" x14ac:dyDescent="0.35">
      <c r="B7" s="140"/>
      <c r="C7" s="140"/>
      <c r="D7" s="140"/>
      <c r="E7" s="3"/>
      <c r="F7" s="43" t="s">
        <v>42</v>
      </c>
      <c r="G7" s="43" t="s">
        <v>49</v>
      </c>
      <c r="H7" s="6">
        <f t="shared" si="3"/>
        <v>4</v>
      </c>
      <c r="I7" s="3" t="s">
        <v>18</v>
      </c>
      <c r="J7" s="6" t="str">
        <f>CONCATENATE($G$2,"-",$D$11,"-","3332","-","2")</f>
        <v>--3332-2</v>
      </c>
      <c r="K7" s="19">
        <f>IF(AND(F9="X",G9=""),K5-F8,0)+IF(AND(G9="X",F9=""),K5-G8,0)</f>
        <v>2609</v>
      </c>
      <c r="L7" s="3">
        <f>G4*8</f>
        <v>8</v>
      </c>
      <c r="N7" s="17">
        <f t="shared" si="1"/>
        <v>5</v>
      </c>
      <c r="O7" s="114" t="s">
        <v>71</v>
      </c>
      <c r="P7" s="115"/>
      <c r="Q7" s="119"/>
      <c r="R7" s="36">
        <f>K8*L8</f>
        <v>7725</v>
      </c>
      <c r="S7" s="31">
        <v>0.89100000000000001</v>
      </c>
      <c r="T7" s="34">
        <f t="shared" si="0"/>
        <v>6882.9750000000004</v>
      </c>
      <c r="U7" s="36">
        <v>105000</v>
      </c>
      <c r="V7" s="33">
        <f t="shared" si="2"/>
        <v>722712.375</v>
      </c>
      <c r="W7" s="44"/>
    </row>
    <row r="8" spans="2:23" ht="46.2" customHeight="1" x14ac:dyDescent="0.35">
      <c r="B8" s="140"/>
      <c r="C8" s="140"/>
      <c r="D8" s="140"/>
      <c r="E8" s="3"/>
      <c r="F8" s="3">
        <v>51</v>
      </c>
      <c r="G8" s="3">
        <v>31</v>
      </c>
      <c r="H8" s="6">
        <f t="shared" si="3"/>
        <v>5</v>
      </c>
      <c r="I8" s="3" t="s">
        <v>16</v>
      </c>
      <c r="J8" s="6" t="str">
        <f>CONCATENATE($G$2,"-",$D$11,"-","3323A","-","1")</f>
        <v>--3323A-1</v>
      </c>
      <c r="K8" s="6">
        <f>IF(F9="x",ROUNDDOWN(K7-30-4,0),ROUNDDOWN(K7-34-19,0))</f>
        <v>2575</v>
      </c>
      <c r="L8" s="3">
        <f>G4*3</f>
        <v>3</v>
      </c>
      <c r="N8" s="17">
        <f t="shared" si="1"/>
        <v>6</v>
      </c>
      <c r="O8" s="114" t="s">
        <v>78</v>
      </c>
      <c r="P8" s="115"/>
      <c r="Q8" s="119"/>
      <c r="R8" s="36"/>
      <c r="S8" s="31"/>
      <c r="T8" s="72"/>
      <c r="U8" s="52">
        <v>0.05</v>
      </c>
      <c r="V8" s="36">
        <f>SUM(V3:V7)*U8</f>
        <v>340243.98975000001</v>
      </c>
      <c r="W8" s="44"/>
    </row>
    <row r="9" spans="2:23" ht="46.2" customHeight="1" x14ac:dyDescent="0.35">
      <c r="B9" s="140"/>
      <c r="C9" s="140"/>
      <c r="D9" s="140"/>
      <c r="E9" s="3"/>
      <c r="F9" s="3" t="s">
        <v>43</v>
      </c>
      <c r="G9" s="3"/>
      <c r="H9" s="6">
        <f t="shared" si="3"/>
        <v>6</v>
      </c>
      <c r="I9" s="3" t="s">
        <v>35</v>
      </c>
      <c r="J9" s="6" t="str">
        <f>CONCATENATE($G$2,"-",$D$11,"-","3329A","-","1")</f>
        <v>--3329A-1</v>
      </c>
      <c r="K9" s="6">
        <f>K6-61</f>
        <v>564</v>
      </c>
      <c r="L9" s="3">
        <f>G4*4</f>
        <v>4</v>
      </c>
      <c r="N9" s="17">
        <f t="shared" si="1"/>
        <v>7</v>
      </c>
      <c r="O9" s="114" t="s">
        <v>59</v>
      </c>
      <c r="P9" s="115"/>
      <c r="Q9" s="115"/>
      <c r="R9" s="31"/>
      <c r="S9" s="31"/>
      <c r="T9" s="35">
        <v>2</v>
      </c>
      <c r="U9" s="36">
        <v>7700</v>
      </c>
      <c r="V9" s="33">
        <f t="shared" ref="V9:V11" si="4">U9*T9</f>
        <v>15400</v>
      </c>
      <c r="W9" s="17"/>
    </row>
    <row r="10" spans="2:23" ht="46.2" customHeight="1" x14ac:dyDescent="0.35">
      <c r="B10" s="140"/>
      <c r="C10" s="140"/>
      <c r="D10" s="140"/>
      <c r="E10" s="3"/>
      <c r="F10" s="3"/>
      <c r="G10" s="3"/>
      <c r="H10" s="6">
        <f t="shared" si="3"/>
        <v>7</v>
      </c>
      <c r="I10" s="124" t="s">
        <v>15</v>
      </c>
      <c r="J10" s="3" t="s">
        <v>6</v>
      </c>
      <c r="K10" s="3" t="s">
        <v>7</v>
      </c>
      <c r="L10" s="5" t="s">
        <v>2</v>
      </c>
      <c r="N10" s="17">
        <f t="shared" si="1"/>
        <v>8</v>
      </c>
      <c r="O10" s="114" t="s">
        <v>60</v>
      </c>
      <c r="P10" s="115"/>
      <c r="Q10" s="115"/>
      <c r="R10" s="31"/>
      <c r="S10" s="31"/>
      <c r="T10" s="35">
        <v>16</v>
      </c>
      <c r="U10" s="36">
        <v>7700</v>
      </c>
      <c r="V10" s="33">
        <f t="shared" si="4"/>
        <v>123200</v>
      </c>
      <c r="W10" s="28" t="s">
        <v>73</v>
      </c>
    </row>
    <row r="11" spans="2:23" ht="46.2" customHeight="1" x14ac:dyDescent="0.35">
      <c r="B11" s="140"/>
      <c r="C11" s="140"/>
      <c r="D11" s="140"/>
      <c r="E11" s="3"/>
      <c r="F11" s="3"/>
      <c r="G11" s="3"/>
      <c r="H11" s="6">
        <f t="shared" si="3"/>
        <v>8</v>
      </c>
      <c r="I11" s="124"/>
      <c r="J11" s="14">
        <f>IF(K6-145&gt;0,K6-145,"0")</f>
        <v>480</v>
      </c>
      <c r="K11" s="14">
        <f>IF(K7-140&gt;0,K7-140,"0")</f>
        <v>2469</v>
      </c>
      <c r="L11" s="14">
        <f>G4*4</f>
        <v>4</v>
      </c>
      <c r="N11" s="17">
        <f t="shared" si="1"/>
        <v>9</v>
      </c>
      <c r="O11" s="114" t="s">
        <v>61</v>
      </c>
      <c r="P11" s="115"/>
      <c r="Q11" s="115"/>
      <c r="R11" s="31"/>
      <c r="S11" s="31"/>
      <c r="T11" s="35">
        <f>T10*2+T9</f>
        <v>34</v>
      </c>
      <c r="U11" s="36">
        <v>100</v>
      </c>
      <c r="V11" s="33">
        <f t="shared" si="4"/>
        <v>3400</v>
      </c>
      <c r="W11" s="28" t="s">
        <v>74</v>
      </c>
    </row>
    <row r="12" spans="2:23" ht="46.2" customHeight="1" x14ac:dyDescent="0.35">
      <c r="N12" s="17">
        <f t="shared" si="1"/>
        <v>10</v>
      </c>
      <c r="O12" s="116" t="s">
        <v>65</v>
      </c>
      <c r="P12" s="117"/>
      <c r="Q12" s="117"/>
      <c r="R12" s="117"/>
      <c r="S12" s="118"/>
      <c r="T12" s="37"/>
      <c r="U12" s="38"/>
      <c r="V12" s="39">
        <f>SUM(V3:V11)</f>
        <v>7287123.7847499996</v>
      </c>
      <c r="W12" s="17"/>
    </row>
    <row r="13" spans="2:23" s="25" customFormat="1" ht="46.2" customHeight="1" x14ac:dyDescent="0.35">
      <c r="B13" s="129"/>
      <c r="C13" s="129"/>
      <c r="D13" s="129"/>
      <c r="E13" s="129"/>
      <c r="F13" s="129"/>
      <c r="G13" s="129"/>
      <c r="H13" s="129"/>
      <c r="I13" s="129"/>
      <c r="J13" s="60">
        <f>J11*K11*L11*0.22</f>
        <v>1042905.6</v>
      </c>
      <c r="K13" s="60"/>
      <c r="L13" s="85">
        <f>F6*150</f>
        <v>1037400</v>
      </c>
      <c r="M13" s="105">
        <f>V21</f>
        <v>7393384.7847499996</v>
      </c>
      <c r="N13" s="90" t="s">
        <v>14</v>
      </c>
      <c r="O13" s="121" t="s">
        <v>51</v>
      </c>
      <c r="P13" s="121"/>
      <c r="Q13" s="121"/>
      <c r="R13" s="26" t="s">
        <v>52</v>
      </c>
      <c r="S13" s="32" t="s">
        <v>58</v>
      </c>
      <c r="T13" s="32"/>
      <c r="U13" s="26" t="s">
        <v>44</v>
      </c>
      <c r="V13" s="26" t="s">
        <v>45</v>
      </c>
      <c r="W13" s="2"/>
    </row>
    <row r="14" spans="2:23" ht="46.2" customHeight="1" x14ac:dyDescent="0.35">
      <c r="B14" s="122"/>
      <c r="C14" s="122"/>
      <c r="D14" s="130"/>
      <c r="E14" s="130"/>
      <c r="F14" s="130"/>
      <c r="G14" s="130"/>
      <c r="H14" s="130">
        <v>2650000</v>
      </c>
      <c r="I14" s="130"/>
      <c r="J14" s="142">
        <f>F6*350</f>
        <v>2420600</v>
      </c>
      <c r="K14" s="129"/>
      <c r="L14" s="60">
        <f>V12+L13</f>
        <v>8324523.7847499996</v>
      </c>
      <c r="M14" s="92">
        <f>F6*300</f>
        <v>2074800</v>
      </c>
      <c r="N14" s="55">
        <v>1</v>
      </c>
      <c r="O14" s="114" t="s">
        <v>66</v>
      </c>
      <c r="P14" s="115"/>
      <c r="Q14" s="115"/>
      <c r="R14" s="40">
        <f>R3+R4+R7</f>
        <v>41517</v>
      </c>
      <c r="S14" s="2">
        <v>1</v>
      </c>
      <c r="T14" s="41"/>
      <c r="U14" s="40">
        <v>1000</v>
      </c>
      <c r="V14" s="40">
        <f>U14*R14*S14/1000</f>
        <v>41517</v>
      </c>
      <c r="W14" s="2"/>
    </row>
    <row r="15" spans="2:23" ht="46.2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00">
        <f>J14+V21+H14+J13</f>
        <v>13506890.384749999</v>
      </c>
      <c r="K15" s="100"/>
      <c r="L15" s="60"/>
      <c r="M15" s="105">
        <f>M13+M14</f>
        <v>9468184.7847499996</v>
      </c>
      <c r="N15" s="55">
        <f>N14+1</f>
        <v>2</v>
      </c>
      <c r="O15" s="114" t="s">
        <v>47</v>
      </c>
      <c r="P15" s="115"/>
      <c r="Q15" s="115"/>
      <c r="R15" s="40">
        <f>R4*2</f>
        <v>51744</v>
      </c>
      <c r="S15" s="2">
        <v>1</v>
      </c>
      <c r="T15" s="41"/>
      <c r="U15" s="40">
        <v>1000</v>
      </c>
      <c r="V15" s="40">
        <f>U15*R15*S15/1000</f>
        <v>51744</v>
      </c>
      <c r="W15" s="28" t="s">
        <v>75</v>
      </c>
    </row>
    <row r="16" spans="2:23" ht="46.2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42">
        <f>J15/F6</f>
        <v>1952.9916692813765</v>
      </c>
      <c r="K16" s="129"/>
      <c r="L16" s="60"/>
      <c r="M16" s="105">
        <v>3150000</v>
      </c>
      <c r="N16" s="55">
        <f t="shared" ref="N16:N20" si="5">N15+1</f>
        <v>3</v>
      </c>
      <c r="O16" s="114" t="s">
        <v>67</v>
      </c>
      <c r="P16" s="115"/>
      <c r="Q16" s="115"/>
      <c r="R16" s="40"/>
      <c r="S16" s="2">
        <v>1</v>
      </c>
      <c r="T16" s="41"/>
      <c r="U16" s="40">
        <v>2500</v>
      </c>
      <c r="V16" s="40">
        <f>U16*S16</f>
        <v>2500</v>
      </c>
      <c r="W16" s="28" t="s">
        <v>76</v>
      </c>
    </row>
    <row r="17" spans="2:23" ht="46.2" customHeight="1" x14ac:dyDescent="0.35">
      <c r="B17" s="122"/>
      <c r="C17" s="122"/>
      <c r="D17" s="122"/>
      <c r="E17" s="122"/>
      <c r="F17" s="122"/>
      <c r="G17" s="122"/>
      <c r="H17" s="130"/>
      <c r="I17" s="130"/>
      <c r="J17" s="142">
        <f>M17/F6</f>
        <v>1975.2877942090802</v>
      </c>
      <c r="K17" s="129"/>
      <c r="L17" s="60"/>
      <c r="M17" s="91">
        <f>M16+M15+J13</f>
        <v>13661090.384749999</v>
      </c>
      <c r="N17" s="55">
        <f t="shared" si="5"/>
        <v>4</v>
      </c>
      <c r="O17" s="114" t="s">
        <v>72</v>
      </c>
      <c r="P17" s="115"/>
      <c r="Q17" s="115"/>
      <c r="R17" s="40"/>
      <c r="S17" s="2">
        <v>3</v>
      </c>
      <c r="T17" s="41"/>
      <c r="U17" s="40">
        <v>2500</v>
      </c>
      <c r="V17" s="40">
        <f>U17*S17</f>
        <v>7500</v>
      </c>
      <c r="W17" s="28"/>
    </row>
    <row r="18" spans="2:23" ht="46.2" customHeight="1" x14ac:dyDescent="0.35">
      <c r="B18" s="122"/>
      <c r="C18" s="122"/>
      <c r="D18" s="130"/>
      <c r="E18" s="130"/>
      <c r="F18" s="130"/>
      <c r="G18" s="130"/>
      <c r="H18" s="135">
        <f>M17/J18</f>
        <v>0.82494507154287433</v>
      </c>
      <c r="I18" s="135"/>
      <c r="J18" s="129">
        <f>7200*2300</f>
        <v>16560000</v>
      </c>
      <c r="K18" s="129"/>
      <c r="L18" s="60"/>
      <c r="M18" s="91">
        <f>(J11*K11*L11)/1000000</f>
        <v>4.7404799999999998</v>
      </c>
      <c r="N18" s="55">
        <f t="shared" si="5"/>
        <v>5</v>
      </c>
      <c r="O18" s="114" t="s">
        <v>68</v>
      </c>
      <c r="P18" s="115"/>
      <c r="Q18" s="119"/>
      <c r="R18" s="40"/>
      <c r="S18" s="2">
        <v>1</v>
      </c>
      <c r="T18" s="41"/>
      <c r="U18" s="40">
        <v>1000</v>
      </c>
      <c r="V18" s="40">
        <f t="shared" ref="V18:V19" si="6">U18*S18</f>
        <v>1000</v>
      </c>
      <c r="W18" s="28" t="s">
        <v>77</v>
      </c>
    </row>
    <row r="19" spans="2:23" ht="46.2" customHeight="1" x14ac:dyDescent="0.35">
      <c r="B19" s="122"/>
      <c r="C19" s="122"/>
      <c r="D19" s="122"/>
      <c r="E19" s="122"/>
      <c r="F19" s="122"/>
      <c r="G19" s="122"/>
      <c r="H19" s="130"/>
      <c r="I19" s="130"/>
      <c r="J19" s="129">
        <f>F6*150</f>
        <v>1037400</v>
      </c>
      <c r="K19" s="129"/>
      <c r="L19" s="60"/>
      <c r="M19" s="100">
        <f>M18*220000</f>
        <v>1042905.6</v>
      </c>
      <c r="N19" s="55">
        <f t="shared" si="5"/>
        <v>6</v>
      </c>
      <c r="O19" s="114" t="s">
        <v>70</v>
      </c>
      <c r="P19" s="115"/>
      <c r="Q19" s="119"/>
      <c r="R19" s="40"/>
      <c r="S19" s="2">
        <v>1</v>
      </c>
      <c r="T19" s="41"/>
      <c r="U19" s="40">
        <v>2000</v>
      </c>
      <c r="V19" s="40">
        <f t="shared" si="6"/>
        <v>2000</v>
      </c>
      <c r="W19" s="28" t="s">
        <v>77</v>
      </c>
    </row>
    <row r="20" spans="2:23" ht="46.2" customHeight="1" x14ac:dyDescent="0.35">
      <c r="B20" s="143"/>
      <c r="C20" s="143"/>
      <c r="D20" s="143"/>
      <c r="E20" s="143"/>
      <c r="F20" s="143"/>
      <c r="G20" s="143"/>
      <c r="H20" s="144"/>
      <c r="I20" s="144"/>
      <c r="J20" s="145">
        <f>J13+V47+J19</f>
        <v>6673344.6687499993</v>
      </c>
      <c r="K20" s="146"/>
      <c r="L20" s="93"/>
      <c r="M20" s="94">
        <f>M19+M14+V34</f>
        <v>8393820.5023999996</v>
      </c>
      <c r="N20" s="55">
        <f t="shared" si="5"/>
        <v>7</v>
      </c>
      <c r="O20" s="131" t="s">
        <v>69</v>
      </c>
      <c r="P20" s="131"/>
      <c r="Q20" s="131"/>
      <c r="R20" s="131"/>
      <c r="S20" s="131"/>
      <c r="T20" s="37"/>
      <c r="U20" s="38"/>
      <c r="V20" s="39">
        <f>SUM(V14:V19)</f>
        <v>106261</v>
      </c>
      <c r="W20" s="56"/>
    </row>
    <row r="21" spans="2:23" ht="46.2" customHeight="1" x14ac:dyDescent="0.35">
      <c r="B21" s="122"/>
      <c r="C21" s="122"/>
      <c r="D21" s="122"/>
      <c r="E21" s="122"/>
      <c r="F21" s="122"/>
      <c r="G21" s="122"/>
      <c r="H21" s="130">
        <f t="shared" ref="H21" si="7">F21</f>
        <v>0</v>
      </c>
      <c r="I21" s="130"/>
      <c r="J21" s="53"/>
      <c r="K21" s="51"/>
      <c r="L21" s="60"/>
      <c r="M21" s="61">
        <f>F6*200</f>
        <v>1383200</v>
      </c>
      <c r="N21" s="96"/>
      <c r="O21" s="111" t="s">
        <v>145</v>
      </c>
      <c r="P21" s="112"/>
      <c r="Q21" s="112"/>
      <c r="R21" s="112"/>
      <c r="S21" s="113"/>
      <c r="T21" s="98"/>
      <c r="U21" s="99"/>
      <c r="V21" s="100">
        <f>V12+V20</f>
        <v>7393384.7847499996</v>
      </c>
      <c r="W21" s="97"/>
    </row>
    <row r="22" spans="2:23" ht="46.2" customHeight="1" x14ac:dyDescent="0.45">
      <c r="B22" s="57"/>
      <c r="C22" s="147"/>
      <c r="D22" s="147"/>
      <c r="E22" s="147"/>
      <c r="F22" s="58"/>
      <c r="G22" s="51"/>
      <c r="H22" s="51"/>
      <c r="I22" s="59"/>
      <c r="J22" s="59"/>
      <c r="K22" s="51"/>
      <c r="L22" s="60"/>
      <c r="M22" s="61">
        <f>M21+V21</f>
        <v>8776584.7847499996</v>
      </c>
      <c r="N22" s="120" t="s">
        <v>143</v>
      </c>
      <c r="O22" s="120"/>
      <c r="P22" s="120"/>
      <c r="Q22" s="120"/>
      <c r="R22" s="120"/>
      <c r="S22" s="120"/>
      <c r="T22" s="120"/>
      <c r="U22" s="120"/>
      <c r="V22" s="120"/>
      <c r="W22" s="120"/>
    </row>
    <row r="23" spans="2:23" ht="46.2" customHeight="1" x14ac:dyDescent="0.35">
      <c r="B23" s="57"/>
      <c r="C23" s="147"/>
      <c r="D23" s="147"/>
      <c r="E23" s="147"/>
      <c r="F23" s="62"/>
      <c r="G23" s="51"/>
      <c r="H23" s="51"/>
      <c r="I23" s="51"/>
      <c r="J23" s="63"/>
      <c r="K23" s="51"/>
      <c r="L23" s="57"/>
      <c r="M23" s="51"/>
      <c r="N23" s="26" t="s">
        <v>14</v>
      </c>
      <c r="O23" s="121" t="s">
        <v>51</v>
      </c>
      <c r="P23" s="121"/>
      <c r="Q23" s="121"/>
      <c r="R23" s="26" t="s">
        <v>52</v>
      </c>
      <c r="S23" s="32" t="s">
        <v>62</v>
      </c>
      <c r="T23" s="32" t="s">
        <v>63</v>
      </c>
      <c r="U23" s="26" t="s">
        <v>44</v>
      </c>
      <c r="V23" s="26" t="s">
        <v>45</v>
      </c>
      <c r="W23" s="26" t="s">
        <v>39</v>
      </c>
    </row>
    <row r="24" spans="2:23" ht="46.2" customHeight="1" x14ac:dyDescent="0.35">
      <c r="B24" s="57"/>
      <c r="C24" s="147"/>
      <c r="D24" s="147"/>
      <c r="E24" s="147"/>
      <c r="F24" s="62"/>
      <c r="G24" s="51"/>
      <c r="H24" s="51"/>
      <c r="I24" s="51"/>
      <c r="J24" s="64"/>
      <c r="K24" s="51"/>
      <c r="L24" s="57"/>
      <c r="M24" s="51"/>
      <c r="N24" s="17">
        <v>1</v>
      </c>
      <c r="O24" s="114" t="s">
        <v>53</v>
      </c>
      <c r="P24" s="115"/>
      <c r="Q24" s="115"/>
      <c r="R24" s="36">
        <f>K4*L4+K5*L5</f>
        <v>7920</v>
      </c>
      <c r="S24" s="86">
        <v>0.88</v>
      </c>
      <c r="T24" s="34">
        <f>S24*R24</f>
        <v>6969.6</v>
      </c>
      <c r="U24" s="36">
        <v>96000</v>
      </c>
      <c r="V24" s="33">
        <f>U24*T24/1000</f>
        <v>669081.59999999998</v>
      </c>
      <c r="W24" s="76"/>
    </row>
    <row r="25" spans="2:23" ht="46.2" customHeight="1" x14ac:dyDescent="0.35">
      <c r="B25" s="57"/>
      <c r="C25" s="147"/>
      <c r="D25" s="147"/>
      <c r="E25" s="147"/>
      <c r="F25" s="62"/>
      <c r="G25" s="51"/>
      <c r="H25" s="51"/>
      <c r="I25" s="51"/>
      <c r="J25" s="64"/>
      <c r="K25" s="51"/>
      <c r="L25" s="57"/>
      <c r="M25" s="51"/>
      <c r="N25" s="17">
        <f>N24+1</f>
        <v>2</v>
      </c>
      <c r="O25" s="114" t="s">
        <v>54</v>
      </c>
      <c r="P25" s="115"/>
      <c r="Q25" s="115"/>
      <c r="R25" s="36">
        <f>K6*L6+K7*L7</f>
        <v>25872</v>
      </c>
      <c r="S25" s="86">
        <v>1.08</v>
      </c>
      <c r="T25" s="34">
        <f t="shared" ref="T25:T28" si="8">S25*R25</f>
        <v>27941.760000000002</v>
      </c>
      <c r="U25" s="36">
        <v>96000</v>
      </c>
      <c r="V25" s="33">
        <f>U25*T25/1000</f>
        <v>2682408.96</v>
      </c>
      <c r="W25" s="76"/>
    </row>
    <row r="26" spans="2:23" ht="46.2" customHeight="1" x14ac:dyDescent="0.35">
      <c r="B26" s="57"/>
      <c r="C26" s="147"/>
      <c r="D26" s="147"/>
      <c r="E26" s="147"/>
      <c r="F26" s="62"/>
      <c r="G26" s="51"/>
      <c r="H26" s="51"/>
      <c r="I26" s="51"/>
      <c r="J26" s="64"/>
      <c r="K26" s="51"/>
      <c r="L26" s="57"/>
      <c r="M26" s="51"/>
      <c r="N26" s="17">
        <f t="shared" ref="N26:N33" si="9">N25+1</f>
        <v>3</v>
      </c>
      <c r="O26" s="114" t="s">
        <v>55</v>
      </c>
      <c r="P26" s="115"/>
      <c r="Q26" s="115"/>
      <c r="R26" s="36">
        <f>R25</f>
        <v>25872</v>
      </c>
      <c r="S26" s="80">
        <v>0.27100000000000002</v>
      </c>
      <c r="T26" s="34">
        <f t="shared" si="8"/>
        <v>7011.3120000000008</v>
      </c>
      <c r="U26" s="36">
        <v>96000</v>
      </c>
      <c r="V26" s="33">
        <f t="shared" ref="V26:V28" si="10">U26*T26/1000</f>
        <v>673085.95200000016</v>
      </c>
      <c r="W26" s="76"/>
    </row>
    <row r="27" spans="2:23" ht="46.2" customHeight="1" x14ac:dyDescent="0.35">
      <c r="B27" s="57"/>
      <c r="C27" s="147"/>
      <c r="D27" s="147"/>
      <c r="E27" s="147"/>
      <c r="F27" s="62"/>
      <c r="G27" s="51"/>
      <c r="H27" s="51"/>
      <c r="I27" s="59"/>
      <c r="J27" s="65"/>
      <c r="K27" s="51"/>
      <c r="L27" s="57"/>
      <c r="M27" s="51"/>
      <c r="N27" s="17">
        <f t="shared" si="9"/>
        <v>4</v>
      </c>
      <c r="O27" s="114" t="s">
        <v>56</v>
      </c>
      <c r="P27" s="115"/>
      <c r="Q27" s="115"/>
      <c r="R27" s="36">
        <f>K9*L9</f>
        <v>2256</v>
      </c>
      <c r="S27" s="80">
        <v>0.47599999999999998</v>
      </c>
      <c r="T27" s="34">
        <f t="shared" si="8"/>
        <v>1073.856</v>
      </c>
      <c r="U27" s="36">
        <v>96000</v>
      </c>
      <c r="V27" s="33">
        <f t="shared" si="10"/>
        <v>103090.17600000001</v>
      </c>
      <c r="W27" s="76"/>
    </row>
    <row r="28" spans="2:23" ht="46.2" customHeight="1" x14ac:dyDescent="0.35">
      <c r="B28" s="57"/>
      <c r="C28" s="148"/>
      <c r="D28" s="148"/>
      <c r="E28" s="148"/>
      <c r="F28" s="62"/>
      <c r="G28" s="51"/>
      <c r="H28" s="51"/>
      <c r="I28" s="59"/>
      <c r="J28" s="65"/>
      <c r="K28" s="51"/>
      <c r="L28" s="57"/>
      <c r="M28" s="51"/>
      <c r="N28" s="17">
        <f t="shared" si="9"/>
        <v>5</v>
      </c>
      <c r="O28" s="114" t="s">
        <v>71</v>
      </c>
      <c r="P28" s="115"/>
      <c r="Q28" s="119"/>
      <c r="R28" s="36">
        <f>K8*L8</f>
        <v>7725</v>
      </c>
      <c r="S28" s="80">
        <v>0.89100000000000001</v>
      </c>
      <c r="T28" s="34">
        <f t="shared" si="8"/>
        <v>6882.9750000000004</v>
      </c>
      <c r="U28" s="36">
        <v>96000</v>
      </c>
      <c r="V28" s="33">
        <f t="shared" si="10"/>
        <v>660765.6</v>
      </c>
      <c r="W28" s="44"/>
    </row>
    <row r="29" spans="2:23" ht="46.2" customHeight="1" x14ac:dyDescent="0.35">
      <c r="B29" s="57"/>
      <c r="C29" s="148"/>
      <c r="D29" s="148"/>
      <c r="E29" s="148"/>
      <c r="F29" s="62"/>
      <c r="G29" s="51"/>
      <c r="H29" s="51"/>
      <c r="I29" s="59"/>
      <c r="J29" s="65"/>
      <c r="K29" s="51"/>
      <c r="L29" s="57"/>
      <c r="M29" s="51"/>
      <c r="N29" s="17">
        <f t="shared" si="9"/>
        <v>6</v>
      </c>
      <c r="O29" s="114" t="s">
        <v>78</v>
      </c>
      <c r="P29" s="115"/>
      <c r="Q29" s="119"/>
      <c r="R29" s="36"/>
      <c r="S29" s="31"/>
      <c r="T29" s="72"/>
      <c r="U29" s="52">
        <v>0.05</v>
      </c>
      <c r="V29" s="36">
        <f>SUM(V24:V28)*U29</f>
        <v>239421.61439999999</v>
      </c>
      <c r="W29" s="44"/>
    </row>
    <row r="30" spans="2:23" ht="46.2" customHeight="1" x14ac:dyDescent="0.35">
      <c r="B30" s="57"/>
      <c r="C30" s="147"/>
      <c r="D30" s="147"/>
      <c r="E30" s="147"/>
      <c r="F30" s="62"/>
      <c r="G30" s="51"/>
      <c r="H30" s="51"/>
      <c r="I30" s="59"/>
      <c r="J30" s="59"/>
      <c r="K30" s="51"/>
      <c r="L30" s="51"/>
      <c r="M30" s="51"/>
      <c r="N30" s="17">
        <f t="shared" si="9"/>
        <v>7</v>
      </c>
      <c r="O30" s="114" t="s">
        <v>59</v>
      </c>
      <c r="P30" s="115"/>
      <c r="Q30" s="115"/>
      <c r="R30" s="31"/>
      <c r="S30" s="31"/>
      <c r="T30" s="35">
        <v>2</v>
      </c>
      <c r="U30" s="36">
        <v>7700</v>
      </c>
      <c r="V30" s="33">
        <f t="shared" ref="V30:V32" si="11">U30*T30</f>
        <v>15400</v>
      </c>
      <c r="W30" s="17"/>
    </row>
    <row r="31" spans="2:23" s="24" customFormat="1" ht="46.2" customHeight="1" x14ac:dyDescent="0.35">
      <c r="B31" s="150"/>
      <c r="C31" s="150"/>
      <c r="D31" s="150"/>
      <c r="E31" s="150"/>
      <c r="F31" s="150"/>
      <c r="G31" s="150"/>
      <c r="H31" s="150"/>
      <c r="I31" s="150"/>
      <c r="J31" s="66"/>
      <c r="K31" s="67"/>
      <c r="L31" s="67"/>
      <c r="M31" s="67"/>
      <c r="N31" s="17">
        <f t="shared" si="9"/>
        <v>8</v>
      </c>
      <c r="O31" s="114" t="s">
        <v>60</v>
      </c>
      <c r="P31" s="115"/>
      <c r="Q31" s="115"/>
      <c r="R31" s="31"/>
      <c r="S31" s="31"/>
      <c r="T31" s="35">
        <v>16</v>
      </c>
      <c r="U31" s="36">
        <v>7700</v>
      </c>
      <c r="V31" s="33">
        <f t="shared" si="11"/>
        <v>123200</v>
      </c>
      <c r="W31" s="28" t="s">
        <v>73</v>
      </c>
    </row>
    <row r="32" spans="2:23" ht="46.2" customHeight="1" x14ac:dyDescent="0.35">
      <c r="B32" s="51"/>
      <c r="C32" s="148"/>
      <c r="D32" s="148"/>
      <c r="E32" s="148"/>
      <c r="F32" s="148"/>
      <c r="G32" s="51"/>
      <c r="H32" s="51"/>
      <c r="I32" s="59"/>
      <c r="J32" s="51"/>
      <c r="K32" s="51"/>
      <c r="L32" s="51"/>
      <c r="M32" s="51"/>
      <c r="N32" s="17">
        <f t="shared" si="9"/>
        <v>9</v>
      </c>
      <c r="O32" s="114" t="s">
        <v>61</v>
      </c>
      <c r="P32" s="115"/>
      <c r="Q32" s="115"/>
      <c r="R32" s="31"/>
      <c r="S32" s="31"/>
      <c r="T32" s="35">
        <f>T31*2+T30</f>
        <v>34</v>
      </c>
      <c r="U32" s="36">
        <v>100</v>
      </c>
      <c r="V32" s="33">
        <f t="shared" si="11"/>
        <v>3400</v>
      </c>
      <c r="W32" s="28" t="s">
        <v>74</v>
      </c>
    </row>
    <row r="33" spans="3:23" ht="46.2" customHeight="1" x14ac:dyDescent="0.35">
      <c r="C33" s="126"/>
      <c r="D33" s="126"/>
      <c r="E33" s="126"/>
      <c r="F33" s="126"/>
      <c r="I33" s="10"/>
      <c r="L33" s="22"/>
      <c r="N33" s="17">
        <f t="shared" si="9"/>
        <v>10</v>
      </c>
      <c r="O33" s="116" t="s">
        <v>65</v>
      </c>
      <c r="P33" s="117"/>
      <c r="Q33" s="117"/>
      <c r="R33" s="117"/>
      <c r="S33" s="118"/>
      <c r="T33" s="37"/>
      <c r="U33" s="38"/>
      <c r="V33" s="39">
        <f>SUM(V24:V32)</f>
        <v>5169853.9024</v>
      </c>
      <c r="W33" s="17"/>
    </row>
    <row r="34" spans="3:23" ht="46.2" customHeight="1" x14ac:dyDescent="0.35">
      <c r="C34" s="126"/>
      <c r="D34" s="126"/>
      <c r="E34" s="126"/>
      <c r="F34" s="126"/>
      <c r="I34" s="29"/>
      <c r="M34" s="1">
        <f>F6*250</f>
        <v>1729000</v>
      </c>
      <c r="N34" s="96"/>
      <c r="O34" s="111" t="s">
        <v>145</v>
      </c>
      <c r="P34" s="112"/>
      <c r="Q34" s="112"/>
      <c r="R34" s="112"/>
      <c r="S34" s="113"/>
      <c r="T34" s="98"/>
      <c r="U34" s="99"/>
      <c r="V34" s="100">
        <f>V20+V33</f>
        <v>5276114.9024</v>
      </c>
      <c r="W34" s="97"/>
    </row>
    <row r="35" spans="3:23" ht="46.2" customHeight="1" x14ac:dyDescent="0.45">
      <c r="C35" s="149"/>
      <c r="D35" s="149"/>
      <c r="E35" s="149"/>
      <c r="F35" s="149"/>
      <c r="G35" s="23"/>
      <c r="H35" s="23"/>
      <c r="I35" s="30"/>
      <c r="M35" s="22">
        <f>V34+M34</f>
        <v>7005114.9024</v>
      </c>
      <c r="N35" s="120" t="s">
        <v>138</v>
      </c>
      <c r="O35" s="120"/>
      <c r="P35" s="120"/>
      <c r="Q35" s="120"/>
      <c r="R35" s="120"/>
      <c r="S35" s="120"/>
      <c r="T35" s="120"/>
      <c r="U35" s="120"/>
      <c r="V35" s="120"/>
      <c r="W35" s="120"/>
    </row>
    <row r="36" spans="3:23" ht="46.2" customHeight="1" x14ac:dyDescent="0.35">
      <c r="I36" s="10"/>
      <c r="M36" s="22">
        <f>H14</f>
        <v>2650000</v>
      </c>
      <c r="N36" s="26" t="s">
        <v>14</v>
      </c>
      <c r="O36" s="121" t="s">
        <v>51</v>
      </c>
      <c r="P36" s="121"/>
      <c r="Q36" s="121"/>
      <c r="R36" s="26" t="s">
        <v>52</v>
      </c>
      <c r="S36" s="32" t="s">
        <v>62</v>
      </c>
      <c r="T36" s="32" t="s">
        <v>63</v>
      </c>
      <c r="U36" s="26" t="s">
        <v>44</v>
      </c>
      <c r="V36" s="26" t="s">
        <v>45</v>
      </c>
      <c r="W36" s="26" t="s">
        <v>39</v>
      </c>
    </row>
    <row r="37" spans="3:23" ht="46.2" customHeight="1" x14ac:dyDescent="0.35">
      <c r="I37" s="22"/>
      <c r="M37" s="22">
        <f>M36+M35+M34</f>
        <v>11384114.9024</v>
      </c>
      <c r="N37" s="17">
        <v>1</v>
      </c>
      <c r="O37" s="114" t="s">
        <v>53</v>
      </c>
      <c r="P37" s="115"/>
      <c r="Q37" s="115"/>
      <c r="R37" s="36">
        <f>K4*L4+K5*L5</f>
        <v>7920</v>
      </c>
      <c r="S37" s="80">
        <v>0.70299999999999996</v>
      </c>
      <c r="T37" s="34">
        <f>S37*R37</f>
        <v>5567.7599999999993</v>
      </c>
      <c r="U37" s="36">
        <v>93000</v>
      </c>
      <c r="V37" s="33">
        <f>U37*T37/1000</f>
        <v>517801.67999999993</v>
      </c>
      <c r="W37" s="76"/>
    </row>
    <row r="38" spans="3:23" ht="46.2" customHeight="1" x14ac:dyDescent="0.35">
      <c r="M38" s="106">
        <f>M37/F6</f>
        <v>1646.0547863504917</v>
      </c>
      <c r="N38" s="17">
        <f>N37+1</f>
        <v>2</v>
      </c>
      <c r="O38" s="114" t="s">
        <v>54</v>
      </c>
      <c r="P38" s="115"/>
      <c r="Q38" s="115"/>
      <c r="R38" s="36">
        <f>K6*L6+K7*L7</f>
        <v>25872</v>
      </c>
      <c r="S38" s="80">
        <v>0.92600000000000005</v>
      </c>
      <c r="T38" s="34">
        <f t="shared" ref="T38:T41" si="12">S38*R38</f>
        <v>23957.472000000002</v>
      </c>
      <c r="U38" s="36">
        <v>93000</v>
      </c>
      <c r="V38" s="33">
        <f>U38*T38/1000</f>
        <v>2228044.8960000002</v>
      </c>
      <c r="W38" s="76"/>
    </row>
    <row r="39" spans="3:23" ht="46.2" customHeight="1" x14ac:dyDescent="0.35">
      <c r="N39" s="17">
        <f t="shared" ref="N39:N46" si="13">N38+1</f>
        <v>3</v>
      </c>
      <c r="O39" s="114" t="s">
        <v>55</v>
      </c>
      <c r="P39" s="115"/>
      <c r="Q39" s="115"/>
      <c r="R39" s="36">
        <f>R38</f>
        <v>25872</v>
      </c>
      <c r="S39" s="80">
        <v>0.27100000000000002</v>
      </c>
      <c r="T39" s="34">
        <f t="shared" si="12"/>
        <v>7011.3120000000008</v>
      </c>
      <c r="U39" s="36">
        <v>93000</v>
      </c>
      <c r="V39" s="33">
        <f t="shared" ref="V39:V41" si="14">U39*T39/1000</f>
        <v>652052.01600000006</v>
      </c>
      <c r="W39" s="76"/>
    </row>
    <row r="40" spans="3:23" ht="46.2" customHeight="1" x14ac:dyDescent="0.35">
      <c r="N40" s="17">
        <f t="shared" si="13"/>
        <v>4</v>
      </c>
      <c r="O40" s="114" t="s">
        <v>56</v>
      </c>
      <c r="P40" s="115"/>
      <c r="Q40" s="115"/>
      <c r="R40" s="36">
        <f>K9*L9</f>
        <v>2256</v>
      </c>
      <c r="S40" s="80">
        <v>0.47599999999999998</v>
      </c>
      <c r="T40" s="34">
        <f t="shared" si="12"/>
        <v>1073.856</v>
      </c>
      <c r="U40" s="36">
        <v>93000</v>
      </c>
      <c r="V40" s="33">
        <f t="shared" si="14"/>
        <v>99868.607999999993</v>
      </c>
      <c r="W40" s="76"/>
    </row>
    <row r="41" spans="3:23" ht="46.2" customHeight="1" x14ac:dyDescent="0.35">
      <c r="N41" s="17">
        <f t="shared" si="13"/>
        <v>5</v>
      </c>
      <c r="O41" s="114" t="s">
        <v>71</v>
      </c>
      <c r="P41" s="115"/>
      <c r="Q41" s="119"/>
      <c r="R41" s="36">
        <f>K8*L8</f>
        <v>7725</v>
      </c>
      <c r="S41" s="80">
        <v>0.89100000000000001</v>
      </c>
      <c r="T41" s="34">
        <f t="shared" si="12"/>
        <v>6882.9750000000004</v>
      </c>
      <c r="U41" s="36">
        <v>93000</v>
      </c>
      <c r="V41" s="33">
        <f t="shared" si="14"/>
        <v>640116.67500000005</v>
      </c>
      <c r="W41" s="44"/>
    </row>
    <row r="42" spans="3:23" ht="46.2" customHeight="1" x14ac:dyDescent="0.35">
      <c r="N42" s="17">
        <f t="shared" si="13"/>
        <v>6</v>
      </c>
      <c r="O42" s="114" t="s">
        <v>78</v>
      </c>
      <c r="P42" s="115"/>
      <c r="Q42" s="119"/>
      <c r="R42" s="36"/>
      <c r="S42" s="31"/>
      <c r="T42" s="72"/>
      <c r="U42" s="52">
        <v>0.05</v>
      </c>
      <c r="V42" s="36">
        <f>SUM(V37:V41)*U42</f>
        <v>206894.19375000001</v>
      </c>
      <c r="W42" s="44"/>
    </row>
    <row r="43" spans="3:23" ht="46.2" customHeight="1" x14ac:dyDescent="0.35">
      <c r="N43" s="17">
        <f t="shared" si="13"/>
        <v>7</v>
      </c>
      <c r="O43" s="114" t="s">
        <v>59</v>
      </c>
      <c r="P43" s="115"/>
      <c r="Q43" s="115"/>
      <c r="R43" s="31"/>
      <c r="S43" s="31"/>
      <c r="T43" s="35">
        <v>2</v>
      </c>
      <c r="U43" s="36">
        <v>7700</v>
      </c>
      <c r="V43" s="33">
        <f t="shared" ref="V43:V45" si="15">U43*T43</f>
        <v>15400</v>
      </c>
      <c r="W43" s="17"/>
    </row>
    <row r="44" spans="3:23" ht="46.2" customHeight="1" x14ac:dyDescent="0.35">
      <c r="N44" s="17">
        <f t="shared" si="13"/>
        <v>8</v>
      </c>
      <c r="O44" s="114" t="s">
        <v>60</v>
      </c>
      <c r="P44" s="115"/>
      <c r="Q44" s="115"/>
      <c r="R44" s="31"/>
      <c r="S44" s="31"/>
      <c r="T44" s="35">
        <v>16</v>
      </c>
      <c r="U44" s="36">
        <v>7700</v>
      </c>
      <c r="V44" s="33">
        <f t="shared" si="15"/>
        <v>123200</v>
      </c>
      <c r="W44" s="28" t="s">
        <v>73</v>
      </c>
    </row>
    <row r="45" spans="3:23" ht="46.2" customHeight="1" x14ac:dyDescent="0.35">
      <c r="N45" s="17">
        <f t="shared" si="13"/>
        <v>9</v>
      </c>
      <c r="O45" s="114" t="s">
        <v>61</v>
      </c>
      <c r="P45" s="115"/>
      <c r="Q45" s="115"/>
      <c r="R45" s="31"/>
      <c r="S45" s="31"/>
      <c r="T45" s="35">
        <f>T44*2+T43</f>
        <v>34</v>
      </c>
      <c r="U45" s="36">
        <v>100</v>
      </c>
      <c r="V45" s="33">
        <f t="shared" si="15"/>
        <v>3400</v>
      </c>
      <c r="W45" s="28" t="s">
        <v>74</v>
      </c>
    </row>
    <row r="46" spans="3:23" ht="46.2" customHeight="1" x14ac:dyDescent="0.35">
      <c r="N46" s="17">
        <f t="shared" si="13"/>
        <v>10</v>
      </c>
      <c r="O46" s="116" t="s">
        <v>65</v>
      </c>
      <c r="P46" s="117"/>
      <c r="Q46" s="117"/>
      <c r="R46" s="117"/>
      <c r="S46" s="118"/>
      <c r="T46" s="37"/>
      <c r="U46" s="38"/>
      <c r="V46" s="39">
        <f>SUM(V37:V45)</f>
        <v>4486778.0687499996</v>
      </c>
      <c r="W46" s="17"/>
    </row>
    <row r="47" spans="3:23" ht="46.2" customHeight="1" x14ac:dyDescent="0.35">
      <c r="N47" s="96"/>
      <c r="O47" s="111" t="s">
        <v>145</v>
      </c>
      <c r="P47" s="112"/>
      <c r="Q47" s="112"/>
      <c r="R47" s="112"/>
      <c r="S47" s="113"/>
      <c r="T47" s="98"/>
      <c r="U47" s="99"/>
      <c r="V47" s="100">
        <f>V20+V46</f>
        <v>4593039.0687499996</v>
      </c>
      <c r="W47" s="97"/>
    </row>
  </sheetData>
  <mergeCells count="103">
    <mergeCell ref="O29:Q29"/>
    <mergeCell ref="O19:Q19"/>
    <mergeCell ref="O20:S20"/>
    <mergeCell ref="N22:W22"/>
    <mergeCell ref="O23:Q23"/>
    <mergeCell ref="O24:Q24"/>
    <mergeCell ref="O25:Q25"/>
    <mergeCell ref="O26:Q26"/>
    <mergeCell ref="O27:Q27"/>
    <mergeCell ref="O21:S21"/>
    <mergeCell ref="B17:G17"/>
    <mergeCell ref="H17:I17"/>
    <mergeCell ref="J17:K17"/>
    <mergeCell ref="C32:F32"/>
    <mergeCell ref="C33:F33"/>
    <mergeCell ref="C34:F34"/>
    <mergeCell ref="C35:F35"/>
    <mergeCell ref="B31:I31"/>
    <mergeCell ref="N1:W1"/>
    <mergeCell ref="O2:Q2"/>
    <mergeCell ref="O3:Q3"/>
    <mergeCell ref="O4:Q4"/>
    <mergeCell ref="O5:Q5"/>
    <mergeCell ref="O6:Q6"/>
    <mergeCell ref="O9:Q9"/>
    <mergeCell ref="O10:Q10"/>
    <mergeCell ref="O11:Q11"/>
    <mergeCell ref="O12:S12"/>
    <mergeCell ref="O13:Q13"/>
    <mergeCell ref="O14:Q14"/>
    <mergeCell ref="O15:Q15"/>
    <mergeCell ref="O16:Q16"/>
    <mergeCell ref="O18:Q18"/>
    <mergeCell ref="O28:Q28"/>
    <mergeCell ref="B19:G19"/>
    <mergeCell ref="H19:I19"/>
    <mergeCell ref="J19:K19"/>
    <mergeCell ref="B20:G20"/>
    <mergeCell ref="H20:I20"/>
    <mergeCell ref="J20:K20"/>
    <mergeCell ref="C30:E30"/>
    <mergeCell ref="C28:E28"/>
    <mergeCell ref="C22:E22"/>
    <mergeCell ref="C29:E29"/>
    <mergeCell ref="C24:E24"/>
    <mergeCell ref="C25:E25"/>
    <mergeCell ref="C26:E26"/>
    <mergeCell ref="C27:E27"/>
    <mergeCell ref="C23:E23"/>
    <mergeCell ref="B21:C21"/>
    <mergeCell ref="H14:I14"/>
    <mergeCell ref="J14:K14"/>
    <mergeCell ref="B15:C15"/>
    <mergeCell ref="D15:E15"/>
    <mergeCell ref="F15:G15"/>
    <mergeCell ref="H15:I15"/>
    <mergeCell ref="B16:C16"/>
    <mergeCell ref="D16:E16"/>
    <mergeCell ref="F16:G16"/>
    <mergeCell ref="H16:I16"/>
    <mergeCell ref="J16:K16"/>
    <mergeCell ref="O17:Q17"/>
    <mergeCell ref="O8:Q8"/>
    <mergeCell ref="O7:Q7"/>
    <mergeCell ref="J18:K18"/>
    <mergeCell ref="B3:D11"/>
    <mergeCell ref="I2:L2"/>
    <mergeCell ref="B1:L1"/>
    <mergeCell ref="D21:E21"/>
    <mergeCell ref="F21:G21"/>
    <mergeCell ref="H21:I21"/>
    <mergeCell ref="I10:I11"/>
    <mergeCell ref="B18:C18"/>
    <mergeCell ref="D18:E18"/>
    <mergeCell ref="F18:G18"/>
    <mergeCell ref="H18:I18"/>
    <mergeCell ref="B2:F2"/>
    <mergeCell ref="H2:H3"/>
    <mergeCell ref="H13:I13"/>
    <mergeCell ref="B13:C13"/>
    <mergeCell ref="D13:E13"/>
    <mergeCell ref="F13:G13"/>
    <mergeCell ref="B14:C14"/>
    <mergeCell ref="D14:E14"/>
    <mergeCell ref="F14:G14"/>
    <mergeCell ref="O47:S47"/>
    <mergeCell ref="O40:Q40"/>
    <mergeCell ref="O41:Q41"/>
    <mergeCell ref="O42:Q42"/>
    <mergeCell ref="O43:Q43"/>
    <mergeCell ref="O44:Q44"/>
    <mergeCell ref="O45:Q45"/>
    <mergeCell ref="O46:S46"/>
    <mergeCell ref="O30:Q30"/>
    <mergeCell ref="O31:Q31"/>
    <mergeCell ref="O32:Q32"/>
    <mergeCell ref="O33:S33"/>
    <mergeCell ref="N35:W35"/>
    <mergeCell ref="O36:Q36"/>
    <mergeCell ref="O37:Q37"/>
    <mergeCell ref="O38:Q38"/>
    <mergeCell ref="O39:Q39"/>
    <mergeCell ref="O34:S34"/>
  </mergeCells>
  <pageMargins left="0.7" right="0.7" top="0.75" bottom="0.75" header="0.3" footer="0.3"/>
  <pageSetup scale="32" orientation="portrait" r:id="rId1"/>
  <colBreaks count="1" manualBreakCount="1">
    <brk id="12" max="1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20"/>
  <sheetViews>
    <sheetView zoomScale="46" zoomScaleNormal="46" zoomScaleSheetLayoutView="37" workbookViewId="0">
      <selection activeCell="G4" sqref="G4"/>
    </sheetView>
  </sheetViews>
  <sheetFormatPr defaultColWidth="19.21875" defaultRowHeight="44.4" customHeight="1" x14ac:dyDescent="0.35"/>
  <cols>
    <col min="1" max="22" width="19.21875" style="1"/>
    <col min="23" max="23" width="39.5546875" style="1" customWidth="1"/>
    <col min="24" max="16384" width="19.21875" style="1"/>
  </cols>
  <sheetData>
    <row r="1" spans="2:23" ht="43.2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60.6" customHeight="1" x14ac:dyDescent="0.35">
      <c r="B2" s="158" t="s">
        <v>8</v>
      </c>
      <c r="C2" s="159"/>
      <c r="D2" s="159"/>
      <c r="E2" s="159"/>
      <c r="F2" s="159"/>
      <c r="G2" s="20"/>
      <c r="H2" s="156" t="s">
        <v>14</v>
      </c>
      <c r="I2" s="123" t="s">
        <v>9</v>
      </c>
      <c r="J2" s="123"/>
      <c r="K2" s="123"/>
      <c r="L2" s="123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44.4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157"/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80</v>
      </c>
      <c r="P3" s="115"/>
      <c r="Q3" s="115"/>
      <c r="R3" s="36">
        <f>K4*L4+K5*L5</f>
        <v>1550</v>
      </c>
      <c r="S3" s="31">
        <v>0.876</v>
      </c>
      <c r="T3" s="34">
        <f>S3*R3</f>
        <v>1357.8</v>
      </c>
      <c r="U3" s="36">
        <v>102000</v>
      </c>
      <c r="V3" s="33">
        <f>U3*T3/1000</f>
        <v>138495.6</v>
      </c>
      <c r="W3" s="76"/>
    </row>
    <row r="4" spans="2:23" ht="44.4" customHeight="1" x14ac:dyDescent="0.35">
      <c r="B4" s="125"/>
      <c r="C4" s="126"/>
      <c r="D4" s="154"/>
      <c r="E4" s="3">
        <v>385</v>
      </c>
      <c r="F4" s="3">
        <v>390</v>
      </c>
      <c r="G4" s="3">
        <v>1</v>
      </c>
      <c r="H4" s="68" t="s">
        <v>19</v>
      </c>
      <c r="I4" s="3" t="s">
        <v>10</v>
      </c>
      <c r="J4" s="6" t="str">
        <f>CONCATENATE($G$2,"-",$D$9,"-","3318","-","1")</f>
        <v>--3318-1</v>
      </c>
      <c r="K4" s="3">
        <f>E4</f>
        <v>385</v>
      </c>
      <c r="L4" s="3">
        <f>G4*2</f>
        <v>2</v>
      </c>
      <c r="N4" s="17">
        <f>N3+1</f>
        <v>2</v>
      </c>
      <c r="O4" s="114" t="s">
        <v>81</v>
      </c>
      <c r="P4" s="115"/>
      <c r="Q4" s="115"/>
      <c r="R4" s="36">
        <f>K6*L6+K7*L7</f>
        <v>1350</v>
      </c>
      <c r="S4" s="31">
        <v>1.0640000000000001</v>
      </c>
      <c r="T4" s="34">
        <f t="shared" ref="T4:T5" si="0">S4*R4</f>
        <v>1436.4</v>
      </c>
      <c r="U4" s="36">
        <v>102000</v>
      </c>
      <c r="V4" s="33">
        <f t="shared" ref="V4:V5" si="1">U4*T4/1000</f>
        <v>146512.79999999999</v>
      </c>
      <c r="W4" s="76"/>
    </row>
    <row r="5" spans="2:23" ht="44.4" customHeight="1" x14ac:dyDescent="0.35">
      <c r="B5" s="125"/>
      <c r="C5" s="126"/>
      <c r="D5" s="154"/>
      <c r="E5" s="84"/>
      <c r="F5" s="43" t="s">
        <v>46</v>
      </c>
      <c r="G5" s="43" t="s">
        <v>119</v>
      </c>
      <c r="H5" s="68" t="s">
        <v>20</v>
      </c>
      <c r="I5" s="3" t="s">
        <v>11</v>
      </c>
      <c r="J5" s="6" t="str">
        <f>CONCATENATE($G$2,"-",$D$9,"-","3318","-","2")</f>
        <v>--3318-2</v>
      </c>
      <c r="K5" s="3">
        <f>F4</f>
        <v>390</v>
      </c>
      <c r="L5" s="3">
        <f>G4*2</f>
        <v>2</v>
      </c>
      <c r="N5" s="17">
        <f t="shared" ref="N5:N10" si="2">N4+1</f>
        <v>3</v>
      </c>
      <c r="O5" s="114" t="s">
        <v>55</v>
      </c>
      <c r="P5" s="115"/>
      <c r="Q5" s="115"/>
      <c r="R5" s="36">
        <f>R4</f>
        <v>1350</v>
      </c>
      <c r="S5" s="31">
        <v>0.27100000000000002</v>
      </c>
      <c r="T5" s="34">
        <f t="shared" si="0"/>
        <v>365.85</v>
      </c>
      <c r="U5" s="36">
        <v>102000</v>
      </c>
      <c r="V5" s="33">
        <f t="shared" si="1"/>
        <v>37316.699999999997</v>
      </c>
      <c r="W5" s="76"/>
    </row>
    <row r="6" spans="2:23" ht="44.4" customHeight="1" x14ac:dyDescent="0.35">
      <c r="B6" s="125"/>
      <c r="C6" s="126"/>
      <c r="D6" s="154"/>
      <c r="E6" s="54"/>
      <c r="F6" s="19">
        <f>F4*E4/1000</f>
        <v>150.15</v>
      </c>
      <c r="G6" s="83">
        <f>SUM(T3:T5)</f>
        <v>3160.0499999999997</v>
      </c>
      <c r="H6" s="68" t="s">
        <v>21</v>
      </c>
      <c r="I6" s="3" t="s">
        <v>12</v>
      </c>
      <c r="J6" s="6" t="str">
        <f>CONCATENATE($G$2,"-",$D$9,"-","8092","-","1")</f>
        <v>--8092-1</v>
      </c>
      <c r="K6" s="3">
        <f>IF(E4-40-10&lt;0,"0",E4-40-10)</f>
        <v>335</v>
      </c>
      <c r="L6" s="3">
        <f>G4*2</f>
        <v>2</v>
      </c>
      <c r="N6" s="17">
        <f t="shared" si="2"/>
        <v>4</v>
      </c>
      <c r="O6" s="114" t="s">
        <v>78</v>
      </c>
      <c r="P6" s="115"/>
      <c r="Q6" s="119"/>
      <c r="R6" s="36"/>
      <c r="S6" s="31"/>
      <c r="T6" s="72"/>
      <c r="U6" s="52">
        <v>0.05</v>
      </c>
      <c r="V6" s="36">
        <f>SUM(V3:V5)*U6</f>
        <v>16116.255000000003</v>
      </c>
      <c r="W6" s="44"/>
    </row>
    <row r="7" spans="2:23" ht="44.4" customHeight="1" x14ac:dyDescent="0.35">
      <c r="B7" s="125"/>
      <c r="C7" s="126"/>
      <c r="D7" s="154"/>
      <c r="E7" s="2"/>
      <c r="F7" s="2"/>
      <c r="G7" s="2"/>
      <c r="H7" s="68" t="s">
        <v>22</v>
      </c>
      <c r="I7" s="3" t="s">
        <v>13</v>
      </c>
      <c r="J7" s="6" t="str">
        <f>CONCATENATE($G$2,"-",$D$9,"-","8092","-","2")</f>
        <v>--8092-2</v>
      </c>
      <c r="K7" s="3">
        <f>IF(F4-40-10&lt;0,"0",F4-40-10)</f>
        <v>340</v>
      </c>
      <c r="L7" s="3">
        <f>G4*2</f>
        <v>2</v>
      </c>
      <c r="N7" s="17">
        <f t="shared" si="2"/>
        <v>5</v>
      </c>
      <c r="O7" s="114" t="s">
        <v>90</v>
      </c>
      <c r="P7" s="115"/>
      <c r="Q7" s="115"/>
      <c r="R7" s="31"/>
      <c r="S7" s="31"/>
      <c r="T7" s="35">
        <v>4</v>
      </c>
      <c r="U7" s="36">
        <v>4400</v>
      </c>
      <c r="V7" s="33">
        <f t="shared" ref="V7:V9" si="3">U7*T7</f>
        <v>17600</v>
      </c>
      <c r="W7" s="28" t="s">
        <v>84</v>
      </c>
    </row>
    <row r="8" spans="2:23" ht="44.4" customHeight="1" x14ac:dyDescent="0.35">
      <c r="B8" s="125"/>
      <c r="C8" s="126"/>
      <c r="D8" s="154"/>
      <c r="E8" s="3"/>
      <c r="F8" s="3"/>
      <c r="G8" s="3"/>
      <c r="H8" s="68" t="s">
        <v>24</v>
      </c>
      <c r="I8" s="156" t="s">
        <v>79</v>
      </c>
      <c r="J8" s="3" t="s">
        <v>6</v>
      </c>
      <c r="K8" s="3" t="s">
        <v>7</v>
      </c>
      <c r="L8" s="5" t="s">
        <v>2</v>
      </c>
      <c r="N8" s="17">
        <f t="shared" si="2"/>
        <v>6</v>
      </c>
      <c r="O8" s="114" t="s">
        <v>91</v>
      </c>
      <c r="P8" s="115"/>
      <c r="Q8" s="115"/>
      <c r="R8" s="31"/>
      <c r="S8" s="31"/>
      <c r="T8" s="35">
        <v>4</v>
      </c>
      <c r="U8" s="36">
        <v>5100</v>
      </c>
      <c r="V8" s="33">
        <f t="shared" si="3"/>
        <v>20400</v>
      </c>
      <c r="W8" s="28" t="s">
        <v>73</v>
      </c>
    </row>
    <row r="9" spans="2:23" ht="44.4" customHeight="1" x14ac:dyDescent="0.35">
      <c r="B9" s="127"/>
      <c r="C9" s="128"/>
      <c r="D9" s="155"/>
      <c r="E9" s="3"/>
      <c r="F9" s="3"/>
      <c r="G9" s="3"/>
      <c r="H9" s="68" t="s">
        <v>25</v>
      </c>
      <c r="I9" s="157"/>
      <c r="J9" s="19">
        <f>IF(K6-120&gt;0,K6-120,"0")</f>
        <v>215</v>
      </c>
      <c r="K9" s="19">
        <f>IF(K7-120&gt;0,K7-120,"0")</f>
        <v>220</v>
      </c>
      <c r="L9" s="19">
        <f>G4</f>
        <v>1</v>
      </c>
      <c r="N9" s="17">
        <f t="shared" si="2"/>
        <v>7</v>
      </c>
      <c r="O9" s="114" t="s">
        <v>61</v>
      </c>
      <c r="P9" s="115"/>
      <c r="Q9" s="115"/>
      <c r="R9" s="31"/>
      <c r="S9" s="31"/>
      <c r="T9" s="35">
        <f>T8*2+T7</f>
        <v>12</v>
      </c>
      <c r="U9" s="36">
        <v>100</v>
      </c>
      <c r="V9" s="33">
        <f t="shared" si="3"/>
        <v>1200</v>
      </c>
      <c r="W9" s="28" t="s">
        <v>74</v>
      </c>
    </row>
    <row r="10" spans="2:23" ht="44.4" customHeight="1" x14ac:dyDescent="0.35">
      <c r="N10" s="17">
        <f t="shared" si="2"/>
        <v>8</v>
      </c>
      <c r="O10" s="116" t="s">
        <v>65</v>
      </c>
      <c r="P10" s="117"/>
      <c r="Q10" s="117"/>
      <c r="R10" s="117"/>
      <c r="S10" s="118"/>
      <c r="T10" s="37"/>
      <c r="U10" s="38"/>
      <c r="V10" s="39">
        <f>SUM(V3:V9)</f>
        <v>377641.35500000004</v>
      </c>
      <c r="W10" s="17"/>
    </row>
    <row r="11" spans="2:23" ht="44.4" customHeight="1" x14ac:dyDescent="0.35">
      <c r="M11" s="1">
        <f>F6*350</f>
        <v>52552.5</v>
      </c>
      <c r="N11" s="26" t="s">
        <v>14</v>
      </c>
      <c r="O11" s="121" t="s">
        <v>51</v>
      </c>
      <c r="P11" s="121"/>
      <c r="Q11" s="121"/>
      <c r="R11" s="26" t="s">
        <v>52</v>
      </c>
      <c r="S11" s="32" t="s">
        <v>58</v>
      </c>
      <c r="T11" s="32"/>
      <c r="U11" s="26" t="s">
        <v>44</v>
      </c>
      <c r="V11" s="26" t="s">
        <v>45</v>
      </c>
      <c r="W11" s="2"/>
    </row>
    <row r="12" spans="2:23" ht="44.4" customHeight="1" x14ac:dyDescent="0.35"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85"/>
      <c r="M12" s="22">
        <f>V17+M11</f>
        <v>438793.85500000004</v>
      </c>
      <c r="N12" s="17">
        <v>1</v>
      </c>
      <c r="O12" s="114" t="s">
        <v>66</v>
      </c>
      <c r="P12" s="115"/>
      <c r="Q12" s="115"/>
      <c r="R12" s="40">
        <f>R3+R4</f>
        <v>2900</v>
      </c>
      <c r="S12" s="2">
        <v>1</v>
      </c>
      <c r="T12" s="27"/>
      <c r="U12" s="40">
        <v>1000</v>
      </c>
      <c r="V12" s="40">
        <f>U12*R12*S12/1000</f>
        <v>2900</v>
      </c>
      <c r="W12" s="2"/>
    </row>
    <row r="13" spans="2:23" ht="44.4" customHeight="1" x14ac:dyDescent="0.35">
      <c r="B13" s="122"/>
      <c r="C13" s="122"/>
      <c r="D13" s="130"/>
      <c r="E13" s="130"/>
      <c r="F13" s="130"/>
      <c r="G13" s="130"/>
      <c r="H13" s="130"/>
      <c r="I13" s="130"/>
      <c r="J13" s="53"/>
      <c r="K13" s="53"/>
      <c r="L13" s="53"/>
      <c r="M13" s="110">
        <f>J9*K9*L9/1000000</f>
        <v>4.7300000000000002E-2</v>
      </c>
      <c r="N13" s="17">
        <f>N12+1</f>
        <v>2</v>
      </c>
      <c r="O13" s="114" t="s">
        <v>47</v>
      </c>
      <c r="P13" s="115"/>
      <c r="Q13" s="115"/>
      <c r="R13" s="40">
        <f>R4*2</f>
        <v>2700</v>
      </c>
      <c r="S13" s="2">
        <v>1</v>
      </c>
      <c r="T13" s="27"/>
      <c r="U13" s="40">
        <v>1000</v>
      </c>
      <c r="V13" s="40">
        <f>U13*R13*S13/1000</f>
        <v>2700</v>
      </c>
      <c r="W13" s="2"/>
    </row>
    <row r="14" spans="2:23" ht="44.4" customHeight="1" x14ac:dyDescent="0.35">
      <c r="B14" s="122"/>
      <c r="C14" s="122"/>
      <c r="D14" s="130"/>
      <c r="E14" s="130"/>
      <c r="F14" s="130"/>
      <c r="G14" s="130"/>
      <c r="H14" s="130"/>
      <c r="I14" s="130"/>
      <c r="J14" s="53"/>
      <c r="K14" s="53"/>
      <c r="L14" s="22">
        <f>M13*220000</f>
        <v>10406</v>
      </c>
      <c r="M14" s="1">
        <v>350000</v>
      </c>
      <c r="N14" s="17">
        <f t="shared" ref="N14:N16" si="4">N13+1</f>
        <v>3</v>
      </c>
      <c r="O14" s="114" t="s">
        <v>68</v>
      </c>
      <c r="P14" s="115"/>
      <c r="Q14" s="119"/>
      <c r="R14" s="40"/>
      <c r="S14" s="54">
        <v>1</v>
      </c>
      <c r="T14" s="27"/>
      <c r="U14" s="40">
        <v>1000</v>
      </c>
      <c r="V14" s="40">
        <f t="shared" ref="V14:V15" si="5">U14*S14</f>
        <v>1000</v>
      </c>
      <c r="W14" s="28" t="s">
        <v>86</v>
      </c>
    </row>
    <row r="15" spans="2:23" ht="44.4" customHeight="1" x14ac:dyDescent="0.35">
      <c r="B15" s="122"/>
      <c r="C15" s="122"/>
      <c r="D15" s="130"/>
      <c r="E15" s="130"/>
      <c r="F15" s="130"/>
      <c r="G15" s="130"/>
      <c r="H15" s="130"/>
      <c r="I15" s="130"/>
      <c r="J15" s="53"/>
      <c r="K15" s="53"/>
      <c r="L15" s="53"/>
      <c r="M15" s="22">
        <f>M12+M14+L14</f>
        <v>799199.85499999998</v>
      </c>
      <c r="N15" s="17">
        <f t="shared" si="4"/>
        <v>4</v>
      </c>
      <c r="O15" s="114" t="s">
        <v>70</v>
      </c>
      <c r="P15" s="115"/>
      <c r="Q15" s="119"/>
      <c r="R15" s="40"/>
      <c r="S15" s="2">
        <v>1</v>
      </c>
      <c r="T15" s="27"/>
      <c r="U15" s="40">
        <v>2000</v>
      </c>
      <c r="V15" s="40">
        <f t="shared" si="5"/>
        <v>2000</v>
      </c>
      <c r="W15" s="28" t="s">
        <v>86</v>
      </c>
    </row>
    <row r="16" spans="2:23" ht="44.4" customHeight="1" x14ac:dyDescent="0.35">
      <c r="B16" s="122"/>
      <c r="C16" s="122"/>
      <c r="D16" s="122"/>
      <c r="E16" s="122"/>
      <c r="F16" s="122"/>
      <c r="G16" s="122"/>
      <c r="H16" s="130"/>
      <c r="I16" s="130"/>
      <c r="J16" s="53"/>
      <c r="K16" s="53"/>
      <c r="L16" s="53">
        <f>F6*2100</f>
        <v>315315</v>
      </c>
      <c r="N16" s="17">
        <f t="shared" si="4"/>
        <v>5</v>
      </c>
      <c r="O16" s="131" t="s">
        <v>69</v>
      </c>
      <c r="P16" s="131"/>
      <c r="Q16" s="131"/>
      <c r="R16" s="131"/>
      <c r="S16" s="131"/>
      <c r="T16" s="37"/>
      <c r="U16" s="38"/>
      <c r="V16" s="39">
        <f>SUM(V12:V15)</f>
        <v>8600</v>
      </c>
      <c r="W16" s="2"/>
    </row>
    <row r="17" spans="2:23" ht="44.4" customHeight="1" x14ac:dyDescent="0.35">
      <c r="B17" s="122"/>
      <c r="C17" s="122"/>
      <c r="D17" s="130"/>
      <c r="E17" s="130"/>
      <c r="F17" s="130"/>
      <c r="G17" s="130"/>
      <c r="H17" s="130"/>
      <c r="I17" s="130"/>
      <c r="J17" s="53"/>
      <c r="K17" s="53"/>
      <c r="L17" s="107">
        <f>M15/L16</f>
        <v>2.5346077890363605</v>
      </c>
      <c r="N17" s="96"/>
      <c r="O17" s="111" t="s">
        <v>145</v>
      </c>
      <c r="P17" s="112"/>
      <c r="Q17" s="112"/>
      <c r="R17" s="112"/>
      <c r="S17" s="113"/>
      <c r="T17" s="98"/>
      <c r="U17" s="99"/>
      <c r="V17" s="100">
        <f>V10+V16</f>
        <v>386241.35500000004</v>
      </c>
      <c r="W17" s="97"/>
    </row>
    <row r="18" spans="2:23" ht="44.4" customHeight="1" x14ac:dyDescent="0.35">
      <c r="B18" s="122"/>
      <c r="C18" s="122"/>
      <c r="D18" s="122"/>
      <c r="E18" s="122"/>
      <c r="F18" s="122"/>
      <c r="G18" s="122"/>
      <c r="H18" s="130"/>
      <c r="I18" s="130"/>
      <c r="J18" s="53"/>
      <c r="K18" s="53"/>
      <c r="L18" s="53"/>
      <c r="O18" s="21"/>
      <c r="P18" s="147"/>
      <c r="Q18" s="147"/>
      <c r="R18" s="48"/>
      <c r="S18" s="47"/>
      <c r="T18" s="47"/>
      <c r="U18" s="50"/>
      <c r="V18" s="47">
        <f>F6*250</f>
        <v>37537.5</v>
      </c>
      <c r="W18" s="50"/>
    </row>
    <row r="19" spans="2:23" ht="44.4" customHeight="1" x14ac:dyDescent="0.35">
      <c r="B19" s="122"/>
      <c r="C19" s="122"/>
      <c r="D19" s="122"/>
      <c r="E19" s="122"/>
      <c r="F19" s="122"/>
      <c r="G19" s="122"/>
      <c r="H19" s="139"/>
      <c r="I19" s="139"/>
      <c r="J19" s="53"/>
      <c r="K19" s="53"/>
      <c r="L19" s="53"/>
      <c r="O19" s="21"/>
      <c r="P19" s="147"/>
      <c r="Q19" s="147"/>
      <c r="R19" s="48"/>
      <c r="S19" s="47"/>
      <c r="T19" s="47"/>
      <c r="U19" s="49"/>
      <c r="V19" s="47">
        <f>V18+V17</f>
        <v>423778.85500000004</v>
      </c>
      <c r="W19" s="50"/>
    </row>
    <row r="20" spans="2:23" ht="44.4" customHeight="1" x14ac:dyDescent="0.35">
      <c r="B20" s="122"/>
      <c r="C20" s="122"/>
      <c r="D20" s="122"/>
      <c r="E20" s="122"/>
      <c r="F20" s="122"/>
      <c r="G20" s="122"/>
      <c r="H20" s="130"/>
      <c r="I20" s="130"/>
      <c r="J20" s="53"/>
      <c r="K20" s="53"/>
      <c r="U20" s="106">
        <f>V19/F6</f>
        <v>2822.3699966699969</v>
      </c>
    </row>
  </sheetData>
  <mergeCells count="56">
    <mergeCell ref="O16:S16"/>
    <mergeCell ref="P18:Q18"/>
    <mergeCell ref="P19:Q19"/>
    <mergeCell ref="O11:Q11"/>
    <mergeCell ref="O12:Q12"/>
    <mergeCell ref="O13:Q13"/>
    <mergeCell ref="O14:Q14"/>
    <mergeCell ref="O15:Q15"/>
    <mergeCell ref="O17:S17"/>
    <mergeCell ref="O6:Q6"/>
    <mergeCell ref="O7:Q7"/>
    <mergeCell ref="O8:Q8"/>
    <mergeCell ref="O9:Q9"/>
    <mergeCell ref="O10:S10"/>
    <mergeCell ref="N1:W1"/>
    <mergeCell ref="O2:Q2"/>
    <mergeCell ref="O3:Q3"/>
    <mergeCell ref="O4:Q4"/>
    <mergeCell ref="O5:Q5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:L1"/>
    <mergeCell ref="B12:C12"/>
    <mergeCell ref="D12:E12"/>
    <mergeCell ref="F12:G12"/>
    <mergeCell ref="H12:I12"/>
    <mergeCell ref="J12:K12"/>
    <mergeCell ref="B3:D9"/>
    <mergeCell ref="H2:H3"/>
    <mergeCell ref="I8:I9"/>
    <mergeCell ref="I2:L2"/>
    <mergeCell ref="B2:F2"/>
  </mergeCells>
  <pageMargins left="0.7" right="0.7" top="0.75" bottom="0.75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4"/>
  <sheetViews>
    <sheetView topLeftCell="D1" zoomScale="47" zoomScaleNormal="47" zoomScaleSheetLayoutView="36" workbookViewId="0">
      <selection activeCell="K9" sqref="K9"/>
    </sheetView>
  </sheetViews>
  <sheetFormatPr defaultColWidth="20.44140625" defaultRowHeight="42" customHeight="1" x14ac:dyDescent="0.35"/>
  <cols>
    <col min="1" max="22" width="20.44140625" style="1"/>
    <col min="23" max="23" width="42.44140625" style="1" customWidth="1"/>
    <col min="24" max="16384" width="20.44140625" style="1"/>
  </cols>
  <sheetData>
    <row r="1" spans="2:23" ht="42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55.2" customHeight="1" x14ac:dyDescent="0.35">
      <c r="B2" s="158" t="s">
        <v>8</v>
      </c>
      <c r="C2" s="159"/>
      <c r="D2" s="159"/>
      <c r="E2" s="159"/>
      <c r="F2" s="159"/>
      <c r="G2" s="8"/>
      <c r="H2" s="7"/>
      <c r="I2" s="158" t="s">
        <v>9</v>
      </c>
      <c r="J2" s="159"/>
      <c r="K2" s="159"/>
      <c r="L2" s="159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42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80</v>
      </c>
      <c r="P3" s="115"/>
      <c r="Q3" s="115"/>
      <c r="R3" s="36">
        <f>K4*L4+K5*L5</f>
        <v>5484</v>
      </c>
      <c r="S3" s="31">
        <v>0.876</v>
      </c>
      <c r="T3" s="34">
        <f>S3*R3</f>
        <v>4803.9840000000004</v>
      </c>
      <c r="U3" s="36">
        <v>105000</v>
      </c>
      <c r="V3" s="33">
        <f>U3*T3/1000</f>
        <v>504418.32000000007</v>
      </c>
      <c r="W3" s="73"/>
    </row>
    <row r="4" spans="2:23" ht="42" customHeight="1" x14ac:dyDescent="0.35">
      <c r="B4" s="125"/>
      <c r="C4" s="126"/>
      <c r="D4" s="154"/>
      <c r="E4" s="3">
        <v>1345</v>
      </c>
      <c r="F4" s="3">
        <v>1397</v>
      </c>
      <c r="G4" s="3">
        <v>1</v>
      </c>
      <c r="H4" s="6">
        <v>1</v>
      </c>
      <c r="I4" s="3" t="s">
        <v>10</v>
      </c>
      <c r="J4" s="6" t="str">
        <f>CONCATENATE($G$2,"-",$D$10,"-","3318","-","1")</f>
        <v>--3318-1</v>
      </c>
      <c r="K4" s="3">
        <f>E4</f>
        <v>1345</v>
      </c>
      <c r="L4" s="3">
        <f>G4*2</f>
        <v>2</v>
      </c>
      <c r="N4" s="17">
        <f>N3+1</f>
        <v>2</v>
      </c>
      <c r="O4" s="114" t="s">
        <v>81</v>
      </c>
      <c r="P4" s="115"/>
      <c r="Q4" s="115"/>
      <c r="R4" s="36">
        <f>K6*L6+K7*L7</f>
        <v>7964</v>
      </c>
      <c r="S4" s="31">
        <v>1.0640000000000001</v>
      </c>
      <c r="T4" s="34">
        <f t="shared" ref="T4:T5" si="0">S4*R4</f>
        <v>8473.6959999999999</v>
      </c>
      <c r="U4" s="36">
        <v>105000</v>
      </c>
      <c r="V4" s="33">
        <f t="shared" ref="V4:V6" si="1">U4*T4/1000</f>
        <v>889738.08</v>
      </c>
      <c r="W4" s="74"/>
    </row>
    <row r="5" spans="2:23" ht="42" customHeight="1" x14ac:dyDescent="0.35">
      <c r="B5" s="125"/>
      <c r="C5" s="126"/>
      <c r="D5" s="154"/>
      <c r="E5" s="84"/>
      <c r="F5" s="43" t="s">
        <v>46</v>
      </c>
      <c r="G5" s="43" t="s">
        <v>119</v>
      </c>
      <c r="H5" s="6">
        <f>H4+1</f>
        <v>2</v>
      </c>
      <c r="I5" s="3" t="s">
        <v>11</v>
      </c>
      <c r="J5" s="6" t="str">
        <f>CONCATENATE($G$2,"-",$D$10,"-","3318","-","2")</f>
        <v>--3318-2</v>
      </c>
      <c r="K5" s="3">
        <f>F4</f>
        <v>1397</v>
      </c>
      <c r="L5" s="3">
        <f>G4*2</f>
        <v>2</v>
      </c>
      <c r="N5" s="17">
        <f t="shared" ref="N5:N11" si="2">N4+1</f>
        <v>3</v>
      </c>
      <c r="O5" s="114" t="s">
        <v>55</v>
      </c>
      <c r="P5" s="115"/>
      <c r="Q5" s="115"/>
      <c r="R5" s="36">
        <f>R4</f>
        <v>7964</v>
      </c>
      <c r="S5" s="31">
        <v>0.27100000000000002</v>
      </c>
      <c r="T5" s="34">
        <f t="shared" si="0"/>
        <v>2158.2440000000001</v>
      </c>
      <c r="U5" s="36">
        <v>105000</v>
      </c>
      <c r="V5" s="33">
        <f t="shared" si="1"/>
        <v>226615.62</v>
      </c>
      <c r="W5" s="74"/>
    </row>
    <row r="6" spans="2:23" ht="42" customHeight="1" x14ac:dyDescent="0.35">
      <c r="B6" s="125"/>
      <c r="C6" s="126"/>
      <c r="D6" s="154"/>
      <c r="E6" s="54"/>
      <c r="F6" s="19">
        <f>F4*E4/1000</f>
        <v>1878.9649999999999</v>
      </c>
      <c r="G6" s="83">
        <f>SUM(T3:T6)</f>
        <v>16579.968000000001</v>
      </c>
      <c r="H6" s="6">
        <f t="shared" ref="H6:H10" si="3">H5+1</f>
        <v>3</v>
      </c>
      <c r="I6" s="3" t="s">
        <v>17</v>
      </c>
      <c r="J6" s="6" t="str">
        <f>CONCATENATE($G$2,"-",$D$10,"-","3202","-","1")</f>
        <v>--3202-1</v>
      </c>
      <c r="K6" s="3">
        <f>IF(ROUNDDOWN((E4-40-16)/2,0)&lt;0,"0",ROUNDDOWN((E4-40-16)/2,0))</f>
        <v>644</v>
      </c>
      <c r="L6" s="3">
        <f>G4*4</f>
        <v>4</v>
      </c>
      <c r="N6" s="17">
        <f t="shared" si="2"/>
        <v>4</v>
      </c>
      <c r="O6" s="114" t="s">
        <v>71</v>
      </c>
      <c r="P6" s="115"/>
      <c r="Q6" s="115"/>
      <c r="R6" s="36">
        <f>K8*L8</f>
        <v>1284</v>
      </c>
      <c r="S6" s="31">
        <v>0.89100000000000001</v>
      </c>
      <c r="T6" s="34">
        <f>S6*R6</f>
        <v>1144.0440000000001</v>
      </c>
      <c r="U6" s="36">
        <v>105000</v>
      </c>
      <c r="V6" s="33">
        <f t="shared" si="1"/>
        <v>120124.62000000001</v>
      </c>
      <c r="W6" s="75"/>
    </row>
    <row r="7" spans="2:23" ht="42" customHeight="1" x14ac:dyDescent="0.35">
      <c r="B7" s="125"/>
      <c r="C7" s="126"/>
      <c r="D7" s="154"/>
      <c r="E7" s="2"/>
      <c r="F7" s="2"/>
      <c r="G7" s="2"/>
      <c r="H7" s="6">
        <f t="shared" si="3"/>
        <v>4</v>
      </c>
      <c r="I7" s="3" t="s">
        <v>18</v>
      </c>
      <c r="J7" s="6" t="str">
        <f>CONCATENATE($G$2,"-",$D$10,"-","3202","-","2")</f>
        <v>--3202-2</v>
      </c>
      <c r="K7" s="3">
        <f>IF(F4-40-10&lt;0,"0",ROUNDDOWN(F4-40-10,0))</f>
        <v>1347</v>
      </c>
      <c r="L7" s="3">
        <f>G4*4</f>
        <v>4</v>
      </c>
      <c r="N7" s="17">
        <f t="shared" si="2"/>
        <v>5</v>
      </c>
      <c r="O7" s="114" t="s">
        <v>78</v>
      </c>
      <c r="P7" s="115"/>
      <c r="Q7" s="119"/>
      <c r="R7" s="36"/>
      <c r="S7" s="31"/>
      <c r="T7" s="72"/>
      <c r="U7" s="52">
        <v>0.05</v>
      </c>
      <c r="V7" s="36">
        <f>SUM(V3:V6)*U7</f>
        <v>87044.832000000009</v>
      </c>
      <c r="W7" s="44"/>
    </row>
    <row r="8" spans="2:23" ht="42" customHeight="1" x14ac:dyDescent="0.35">
      <c r="B8" s="125"/>
      <c r="C8" s="126"/>
      <c r="D8" s="154"/>
      <c r="E8" s="2"/>
      <c r="F8" s="2"/>
      <c r="G8" s="2"/>
      <c r="H8" s="6">
        <f t="shared" si="3"/>
        <v>5</v>
      </c>
      <c r="I8" s="3" t="s">
        <v>16</v>
      </c>
      <c r="J8" s="6" t="str">
        <f>CONCATENATE($G$2,"-",$D$10,"-","3323A","-","1")</f>
        <v>--3323A-1</v>
      </c>
      <c r="K8" s="6">
        <f>K7-63</f>
        <v>1284</v>
      </c>
      <c r="L8" s="3">
        <f>G4*1</f>
        <v>1</v>
      </c>
      <c r="N8" s="17">
        <f t="shared" si="2"/>
        <v>6</v>
      </c>
      <c r="O8" s="114" t="s">
        <v>90</v>
      </c>
      <c r="P8" s="115"/>
      <c r="Q8" s="115"/>
      <c r="R8" s="31"/>
      <c r="S8" s="31"/>
      <c r="T8" s="35">
        <v>4</v>
      </c>
      <c r="U8" s="36">
        <v>4400</v>
      </c>
      <c r="V8" s="33">
        <f t="shared" ref="V8:V10" si="4">U8*T8</f>
        <v>17600</v>
      </c>
      <c r="W8" s="17"/>
    </row>
    <row r="9" spans="2:23" ht="42" customHeight="1" x14ac:dyDescent="0.35">
      <c r="B9" s="125"/>
      <c r="C9" s="126"/>
      <c r="D9" s="154"/>
      <c r="E9" s="3"/>
      <c r="F9" s="3"/>
      <c r="G9" s="3"/>
      <c r="H9" s="6">
        <f t="shared" si="3"/>
        <v>6</v>
      </c>
      <c r="I9" s="156" t="s">
        <v>79</v>
      </c>
      <c r="J9" s="3" t="s">
        <v>6</v>
      </c>
      <c r="K9" s="3" t="s">
        <v>7</v>
      </c>
      <c r="L9" s="5" t="s">
        <v>2</v>
      </c>
      <c r="N9" s="17">
        <f t="shared" si="2"/>
        <v>7</v>
      </c>
      <c r="O9" s="114" t="s">
        <v>91</v>
      </c>
      <c r="P9" s="115"/>
      <c r="Q9" s="115"/>
      <c r="R9" s="31"/>
      <c r="S9" s="31"/>
      <c r="T9" s="35">
        <v>8</v>
      </c>
      <c r="U9" s="36">
        <v>5100</v>
      </c>
      <c r="V9" s="33">
        <f t="shared" si="4"/>
        <v>40800</v>
      </c>
      <c r="W9" s="28" t="s">
        <v>73</v>
      </c>
    </row>
    <row r="10" spans="2:23" ht="42" customHeight="1" x14ac:dyDescent="0.35">
      <c r="B10" s="127"/>
      <c r="C10" s="128"/>
      <c r="D10" s="155"/>
      <c r="E10" s="3"/>
      <c r="F10" s="3"/>
      <c r="G10" s="3"/>
      <c r="H10" s="6">
        <f t="shared" si="3"/>
        <v>7</v>
      </c>
      <c r="I10" s="157"/>
      <c r="J10" s="3">
        <f>IF(K6-120&gt;0,K6-120,"0")</f>
        <v>524</v>
      </c>
      <c r="K10" s="3">
        <f>IF(K7-120&gt;0,K7-120,"0")</f>
        <v>1227</v>
      </c>
      <c r="L10" s="3">
        <f>G4*2</f>
        <v>2</v>
      </c>
      <c r="N10" s="17">
        <f t="shared" si="2"/>
        <v>8</v>
      </c>
      <c r="O10" s="114" t="s">
        <v>61</v>
      </c>
      <c r="P10" s="115"/>
      <c r="Q10" s="115"/>
      <c r="R10" s="31"/>
      <c r="S10" s="31"/>
      <c r="T10" s="35">
        <f>T9*2+T8</f>
        <v>20</v>
      </c>
      <c r="U10" s="36">
        <v>100</v>
      </c>
      <c r="V10" s="33">
        <f t="shared" si="4"/>
        <v>2000</v>
      </c>
      <c r="W10" s="28" t="s">
        <v>74</v>
      </c>
    </row>
    <row r="11" spans="2:23" ht="42" customHeight="1" x14ac:dyDescent="0.35">
      <c r="N11" s="17">
        <f t="shared" si="2"/>
        <v>9</v>
      </c>
      <c r="O11" s="116" t="s">
        <v>65</v>
      </c>
      <c r="P11" s="117"/>
      <c r="Q11" s="117"/>
      <c r="R11" s="117"/>
      <c r="S11" s="118"/>
      <c r="T11" s="37"/>
      <c r="U11" s="38"/>
      <c r="V11" s="39">
        <f>SUM(V3:V10)</f>
        <v>1888341.4720000001</v>
      </c>
      <c r="W11" s="17"/>
    </row>
    <row r="12" spans="2:23" ht="42" customHeight="1" x14ac:dyDescent="0.35"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N12" s="26" t="s">
        <v>14</v>
      </c>
      <c r="O12" s="121" t="s">
        <v>51</v>
      </c>
      <c r="P12" s="121"/>
      <c r="Q12" s="121"/>
      <c r="R12" s="26" t="s">
        <v>52</v>
      </c>
      <c r="S12" s="32" t="s">
        <v>58</v>
      </c>
      <c r="T12" s="32"/>
      <c r="U12" s="26" t="s">
        <v>44</v>
      </c>
      <c r="V12" s="26" t="s">
        <v>45</v>
      </c>
      <c r="W12" s="2"/>
    </row>
    <row r="13" spans="2:23" ht="42" customHeight="1" x14ac:dyDescent="0.35">
      <c r="B13" s="122"/>
      <c r="C13" s="122"/>
      <c r="D13" s="130"/>
      <c r="E13" s="130"/>
      <c r="F13" s="130"/>
      <c r="G13" s="130"/>
      <c r="H13" s="130"/>
      <c r="I13" s="130"/>
      <c r="J13" s="122"/>
      <c r="K13" s="122"/>
      <c r="L13" s="1">
        <f>J10*K10*L10/1000000</f>
        <v>1.2858959999999999</v>
      </c>
      <c r="N13" s="17">
        <v>1</v>
      </c>
      <c r="O13" s="114" t="s">
        <v>66</v>
      </c>
      <c r="P13" s="115"/>
      <c r="Q13" s="115"/>
      <c r="R13" s="40">
        <f>R3+R4+R6</f>
        <v>14732</v>
      </c>
      <c r="S13" s="2">
        <v>1</v>
      </c>
      <c r="T13" s="27"/>
      <c r="U13" s="40">
        <v>1000</v>
      </c>
      <c r="V13" s="40">
        <f>U13*R13*S13/1000</f>
        <v>14732</v>
      </c>
      <c r="W13" s="2"/>
    </row>
    <row r="14" spans="2:23" ht="42" customHeight="1" x14ac:dyDescent="0.35">
      <c r="B14" s="122"/>
      <c r="C14" s="122"/>
      <c r="D14" s="130"/>
      <c r="E14" s="130"/>
      <c r="F14" s="130"/>
      <c r="G14" s="130"/>
      <c r="H14" s="130"/>
      <c r="I14" s="130"/>
      <c r="J14" s="122"/>
      <c r="K14" s="122"/>
      <c r="L14" s="1">
        <v>220000</v>
      </c>
      <c r="N14" s="17">
        <f>N13+1</f>
        <v>2</v>
      </c>
      <c r="O14" s="114" t="s">
        <v>47</v>
      </c>
      <c r="P14" s="115"/>
      <c r="Q14" s="115"/>
      <c r="R14" s="40">
        <f>R4*2</f>
        <v>15928</v>
      </c>
      <c r="S14" s="2">
        <v>1</v>
      </c>
      <c r="T14" s="27"/>
      <c r="U14" s="40">
        <v>1000</v>
      </c>
      <c r="V14" s="40">
        <f>U14*R14*S14/1000</f>
        <v>15928</v>
      </c>
      <c r="W14" s="2"/>
    </row>
    <row r="15" spans="2:23" ht="42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  <c r="L15" s="22">
        <f>L13*L14</f>
        <v>282897.12</v>
      </c>
      <c r="N15" s="17">
        <f t="shared" ref="N15:N18" si="5">N14+1</f>
        <v>3</v>
      </c>
      <c r="O15" s="114" t="s">
        <v>72</v>
      </c>
      <c r="P15" s="115"/>
      <c r="Q15" s="115"/>
      <c r="R15" s="40"/>
      <c r="S15" s="2">
        <v>1</v>
      </c>
      <c r="T15" s="27"/>
      <c r="U15" s="40">
        <v>2500</v>
      </c>
      <c r="V15" s="40">
        <f>U15*S15</f>
        <v>2500</v>
      </c>
      <c r="W15" s="28" t="s">
        <v>85</v>
      </c>
    </row>
    <row r="16" spans="2:23" ht="42" customHeight="1" x14ac:dyDescent="0.35">
      <c r="B16" s="122"/>
      <c r="C16" s="122"/>
      <c r="D16" s="122"/>
      <c r="E16" s="122"/>
      <c r="F16" s="122"/>
      <c r="G16" s="122"/>
      <c r="H16" s="130"/>
      <c r="I16" s="130"/>
      <c r="J16" s="122"/>
      <c r="K16" s="122"/>
      <c r="L16" s="22">
        <f>F6*350</f>
        <v>657637.75</v>
      </c>
      <c r="N16" s="17">
        <f t="shared" si="5"/>
        <v>4</v>
      </c>
      <c r="O16" s="114" t="s">
        <v>68</v>
      </c>
      <c r="P16" s="115"/>
      <c r="Q16" s="119"/>
      <c r="R16" s="40"/>
      <c r="S16" s="54">
        <v>1</v>
      </c>
      <c r="T16" s="27"/>
      <c r="U16" s="40">
        <v>1000</v>
      </c>
      <c r="V16" s="40">
        <f t="shared" ref="V16:V17" si="6">U16*S16</f>
        <v>1000</v>
      </c>
      <c r="W16" s="28" t="s">
        <v>86</v>
      </c>
    </row>
    <row r="17" spans="2:23" ht="42" customHeight="1" x14ac:dyDescent="0.35">
      <c r="B17" s="122"/>
      <c r="C17" s="122"/>
      <c r="D17" s="130"/>
      <c r="E17" s="130"/>
      <c r="F17" s="130"/>
      <c r="G17" s="130"/>
      <c r="H17" s="130"/>
      <c r="I17" s="130"/>
      <c r="J17" s="122"/>
      <c r="K17" s="122"/>
      <c r="L17" s="22">
        <f>L16+L15</f>
        <v>940534.87</v>
      </c>
      <c r="N17" s="17">
        <f t="shared" si="5"/>
        <v>5</v>
      </c>
      <c r="O17" s="114" t="s">
        <v>70</v>
      </c>
      <c r="P17" s="115"/>
      <c r="Q17" s="119"/>
      <c r="R17" s="40"/>
      <c r="S17" s="2">
        <v>1</v>
      </c>
      <c r="T17" s="27"/>
      <c r="U17" s="40">
        <v>2000</v>
      </c>
      <c r="V17" s="40">
        <f t="shared" si="6"/>
        <v>2000</v>
      </c>
      <c r="W17" s="2" t="s">
        <v>86</v>
      </c>
    </row>
    <row r="18" spans="2:23" ht="42" customHeight="1" x14ac:dyDescent="0.35">
      <c r="B18" s="122"/>
      <c r="C18" s="122"/>
      <c r="D18" s="122"/>
      <c r="E18" s="122"/>
      <c r="F18" s="122"/>
      <c r="G18" s="122"/>
      <c r="H18" s="130"/>
      <c r="I18" s="130"/>
      <c r="J18" s="122"/>
      <c r="K18" s="122"/>
      <c r="L18" s="22">
        <f>L17+V19+L16+L19</f>
        <v>3902674.0920000002</v>
      </c>
      <c r="M18" s="106">
        <f>L18/F6</f>
        <v>2077.0339479447462</v>
      </c>
      <c r="N18" s="17">
        <f t="shared" si="5"/>
        <v>6</v>
      </c>
      <c r="O18" s="131" t="s">
        <v>69</v>
      </c>
      <c r="P18" s="131"/>
      <c r="Q18" s="131"/>
      <c r="R18" s="131"/>
      <c r="S18" s="131"/>
      <c r="T18" s="37"/>
      <c r="U18" s="38"/>
      <c r="V18" s="39">
        <f>SUM(V13:V17)</f>
        <v>36160</v>
      </c>
      <c r="W18" s="2"/>
    </row>
    <row r="19" spans="2:23" ht="42" customHeight="1" x14ac:dyDescent="0.35">
      <c r="B19" s="122"/>
      <c r="C19" s="122"/>
      <c r="D19" s="122"/>
      <c r="E19" s="122"/>
      <c r="F19" s="122"/>
      <c r="G19" s="122"/>
      <c r="H19" s="139"/>
      <c r="I19" s="139"/>
      <c r="J19" s="122">
        <f>1800*2200</f>
        <v>3960000</v>
      </c>
      <c r="K19" s="122"/>
      <c r="L19" s="1">
        <v>380000</v>
      </c>
      <c r="M19" s="22">
        <f>L19+L18</f>
        <v>4282674.0920000002</v>
      </c>
      <c r="N19" s="96"/>
      <c r="O19" s="111" t="s">
        <v>145</v>
      </c>
      <c r="P19" s="112"/>
      <c r="Q19" s="112"/>
      <c r="R19" s="112"/>
      <c r="S19" s="113"/>
      <c r="T19" s="98"/>
      <c r="U19" s="99"/>
      <c r="V19" s="100">
        <f>V11+V18</f>
        <v>1924501.4720000001</v>
      </c>
      <c r="W19" s="97"/>
    </row>
    <row r="20" spans="2:23" ht="42" customHeight="1" x14ac:dyDescent="0.35">
      <c r="B20" s="122"/>
      <c r="C20" s="122"/>
      <c r="D20" s="122"/>
      <c r="E20" s="122"/>
      <c r="F20" s="122"/>
      <c r="G20" s="122"/>
      <c r="H20" s="130"/>
      <c r="I20" s="130"/>
      <c r="J20" s="133">
        <f>L18/J19</f>
        <v>0.98552376060606062</v>
      </c>
      <c r="K20" s="133"/>
      <c r="L20" s="22">
        <f>L18/F6</f>
        <v>2077.0339479447462</v>
      </c>
      <c r="M20" s="106">
        <f>M19/F6</f>
        <v>2279.2729465423786</v>
      </c>
      <c r="V20" s="1">
        <f>F6*250</f>
        <v>469741.25</v>
      </c>
    </row>
    <row r="21" spans="2:23" ht="42" customHeight="1" x14ac:dyDescent="0.35">
      <c r="L21" s="106">
        <f>L20/F6</f>
        <v>1.1054138570674528</v>
      </c>
      <c r="U21" s="106">
        <f>V21/F6</f>
        <v>1274.2348697288135</v>
      </c>
      <c r="V21" s="22">
        <f>V20+V19</f>
        <v>2394242.7220000001</v>
      </c>
    </row>
    <row r="22" spans="2:23" ht="42" customHeight="1" x14ac:dyDescent="0.35">
      <c r="V22" s="106">
        <f>V21*12%</f>
        <v>287309.12663999997</v>
      </c>
    </row>
    <row r="23" spans="2:23" ht="42" customHeight="1" x14ac:dyDescent="0.35">
      <c r="V23" s="106">
        <f>V22+V21</f>
        <v>2681551.84864</v>
      </c>
    </row>
    <row r="24" spans="2:23" ht="42" customHeight="1" x14ac:dyDescent="0.35">
      <c r="V24" s="106">
        <f>V23/F6</f>
        <v>1427.143054096271</v>
      </c>
    </row>
  </sheetData>
  <mergeCells count="63">
    <mergeCell ref="O12:Q12"/>
    <mergeCell ref="O13:Q13"/>
    <mergeCell ref="O14:Q14"/>
    <mergeCell ref="O15:Q15"/>
    <mergeCell ref="O16:Q16"/>
    <mergeCell ref="O7:Q7"/>
    <mergeCell ref="O8:Q8"/>
    <mergeCell ref="O9:Q9"/>
    <mergeCell ref="O10:Q10"/>
    <mergeCell ref="O11:S11"/>
    <mergeCell ref="N1:W1"/>
    <mergeCell ref="O2:Q2"/>
    <mergeCell ref="O3:Q3"/>
    <mergeCell ref="O4:Q4"/>
    <mergeCell ref="O5:Q5"/>
    <mergeCell ref="O6:Q6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2:C12"/>
    <mergeCell ref="D12:E12"/>
    <mergeCell ref="F12:G12"/>
    <mergeCell ref="H12:I12"/>
    <mergeCell ref="J12:K12"/>
    <mergeCell ref="I9:I10"/>
    <mergeCell ref="B3:D10"/>
    <mergeCell ref="B1:L1"/>
    <mergeCell ref="I2:L2"/>
    <mergeCell ref="B2:F2"/>
    <mergeCell ref="O19:S19"/>
    <mergeCell ref="J18:K18"/>
    <mergeCell ref="J19:K19"/>
    <mergeCell ref="J20:K20"/>
    <mergeCell ref="J13:K13"/>
    <mergeCell ref="J14:K14"/>
    <mergeCell ref="J15:K15"/>
    <mergeCell ref="J16:K16"/>
    <mergeCell ref="J17:K17"/>
    <mergeCell ref="O17:Q17"/>
    <mergeCell ref="O18:S18"/>
  </mergeCells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21"/>
  <sheetViews>
    <sheetView topLeftCell="E1" zoomScale="54" zoomScaleNormal="54" workbookViewId="0">
      <selection activeCell="O23" sqref="O23"/>
    </sheetView>
  </sheetViews>
  <sheetFormatPr defaultColWidth="18.109375" defaultRowHeight="34.950000000000003" customHeight="1" x14ac:dyDescent="0.35"/>
  <cols>
    <col min="1" max="22" width="18.109375" style="1"/>
    <col min="23" max="23" width="36.5546875" style="1" customWidth="1"/>
    <col min="24" max="16384" width="18.109375" style="1"/>
  </cols>
  <sheetData>
    <row r="1" spans="2:23" ht="34.950000000000003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53.4" customHeight="1" x14ac:dyDescent="0.35">
      <c r="B2" s="158" t="s">
        <v>8</v>
      </c>
      <c r="C2" s="159"/>
      <c r="D2" s="159"/>
      <c r="E2" s="159"/>
      <c r="F2" s="159"/>
      <c r="G2" s="8"/>
      <c r="H2" s="7"/>
      <c r="I2" s="158" t="s">
        <v>9</v>
      </c>
      <c r="J2" s="159"/>
      <c r="K2" s="159"/>
      <c r="L2" s="159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4.950000000000003" customHeight="1" x14ac:dyDescent="0.35">
      <c r="B3" s="160"/>
      <c r="C3" s="161"/>
      <c r="D3" s="161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116</v>
      </c>
      <c r="P3" s="115"/>
      <c r="Q3" s="115"/>
      <c r="R3" s="36">
        <f>K4*L4+K5*L5</f>
        <v>6800</v>
      </c>
      <c r="S3" s="31">
        <v>0.876</v>
      </c>
      <c r="T3" s="34">
        <f>S3*R3</f>
        <v>5956.8</v>
      </c>
      <c r="U3" s="36">
        <v>80000</v>
      </c>
      <c r="V3" s="33">
        <f>U3*T3/1000</f>
        <v>476544</v>
      </c>
      <c r="W3" s="73"/>
    </row>
    <row r="4" spans="2:23" ht="34.950000000000003" customHeight="1" x14ac:dyDescent="0.35">
      <c r="B4" s="162"/>
      <c r="C4" s="163"/>
      <c r="D4" s="163"/>
      <c r="E4" s="3">
        <v>2400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CONCATENATE($G$2,"-",$D$10,"-","3318","-","1")</f>
        <v>--3318-1</v>
      </c>
      <c r="K4" s="3">
        <f>E4</f>
        <v>2400</v>
      </c>
      <c r="L4" s="3">
        <f>G4*2</f>
        <v>2</v>
      </c>
      <c r="N4" s="17">
        <f>N3+1</f>
        <v>2</v>
      </c>
      <c r="O4" s="114" t="s">
        <v>81</v>
      </c>
      <c r="P4" s="115"/>
      <c r="Q4" s="115"/>
      <c r="R4" s="36">
        <f>K6*L6+K7*L7</f>
        <v>10296</v>
      </c>
      <c r="S4" s="31">
        <v>1.0640000000000001</v>
      </c>
      <c r="T4" s="34">
        <f t="shared" ref="T4:T6" si="0">S4*R4</f>
        <v>10954.944000000001</v>
      </c>
      <c r="U4" s="36">
        <v>80000</v>
      </c>
      <c r="V4" s="33">
        <f t="shared" ref="V4:V6" si="1">U4*T4/1000</f>
        <v>876395.52000000014</v>
      </c>
      <c r="W4" s="74"/>
    </row>
    <row r="5" spans="2:23" ht="34.950000000000003" customHeight="1" x14ac:dyDescent="0.35">
      <c r="B5" s="162"/>
      <c r="C5" s="163"/>
      <c r="D5" s="163"/>
      <c r="E5" s="84"/>
      <c r="F5" s="43" t="s">
        <v>46</v>
      </c>
      <c r="G5" s="43" t="s">
        <v>119</v>
      </c>
      <c r="H5" s="6" t="s">
        <v>20</v>
      </c>
      <c r="I5" s="3" t="s">
        <v>11</v>
      </c>
      <c r="J5" s="6" t="str">
        <f>CONCATENATE($G$2,"-",$D$10,"-","3318","-","2")</f>
        <v>--3318-2</v>
      </c>
      <c r="K5" s="3">
        <f>F4</f>
        <v>1000</v>
      </c>
      <c r="L5" s="3">
        <f>G4*2</f>
        <v>2</v>
      </c>
      <c r="N5" s="17">
        <f t="shared" ref="N5:N11" si="2">N4+1</f>
        <v>3</v>
      </c>
      <c r="O5" s="114" t="s">
        <v>55</v>
      </c>
      <c r="P5" s="115"/>
      <c r="Q5" s="115"/>
      <c r="R5" s="36">
        <f>R4</f>
        <v>10296</v>
      </c>
      <c r="S5" s="31">
        <v>0.27100000000000002</v>
      </c>
      <c r="T5" s="34">
        <f t="shared" si="0"/>
        <v>2790.2160000000003</v>
      </c>
      <c r="U5" s="36">
        <v>80000</v>
      </c>
      <c r="V5" s="33">
        <f t="shared" si="1"/>
        <v>223217.28000000003</v>
      </c>
      <c r="W5" s="74"/>
    </row>
    <row r="6" spans="2:23" ht="34.950000000000003" customHeight="1" x14ac:dyDescent="0.35">
      <c r="B6" s="162"/>
      <c r="C6" s="163"/>
      <c r="D6" s="163"/>
      <c r="E6" s="54"/>
      <c r="F6" s="19">
        <f>F4*E4/1000</f>
        <v>2400</v>
      </c>
      <c r="G6" s="83">
        <f>SUM(T3:T6)</f>
        <v>21641.160000000003</v>
      </c>
      <c r="H6" s="6" t="s">
        <v>21</v>
      </c>
      <c r="I6" s="3" t="s">
        <v>17</v>
      </c>
      <c r="J6" s="6" t="str">
        <f>CONCATENATE($G$2,"-",$D$10,"-","3202","-","1")</f>
        <v>--3202-1</v>
      </c>
      <c r="K6" s="3">
        <f>IF(ROUNDDOWN((E4-40-30-30)/3,0)&lt;0,"0",ROUNDDOWN((E4-40-30-30)/3,0))</f>
        <v>766</v>
      </c>
      <c r="L6" s="3">
        <f>G4*6</f>
        <v>6</v>
      </c>
      <c r="N6" s="17">
        <f t="shared" si="2"/>
        <v>4</v>
      </c>
      <c r="O6" s="114" t="s">
        <v>87</v>
      </c>
      <c r="P6" s="115"/>
      <c r="Q6" s="115"/>
      <c r="R6" s="36">
        <f>K8*L8</f>
        <v>1920</v>
      </c>
      <c r="S6" s="31">
        <v>1.01</v>
      </c>
      <c r="T6" s="34">
        <f t="shared" si="0"/>
        <v>1939.2</v>
      </c>
      <c r="U6" s="36">
        <v>80000</v>
      </c>
      <c r="V6" s="33">
        <f t="shared" si="1"/>
        <v>155136</v>
      </c>
      <c r="W6" s="75"/>
    </row>
    <row r="7" spans="2:23" ht="34.950000000000003" customHeight="1" x14ac:dyDescent="0.35">
      <c r="B7" s="162"/>
      <c r="C7" s="163"/>
      <c r="D7" s="163"/>
      <c r="E7" s="2"/>
      <c r="F7" s="2"/>
      <c r="G7" s="2"/>
      <c r="H7" s="6" t="s">
        <v>22</v>
      </c>
      <c r="I7" s="3" t="s">
        <v>18</v>
      </c>
      <c r="J7" s="6" t="str">
        <f>CONCATENATE($G$2,"-",$D$10,"-","3202","-","2")</f>
        <v>--3202-2</v>
      </c>
      <c r="K7" s="3">
        <f>IF(F4-40-10&lt;0,"0",F4-40-10)</f>
        <v>950</v>
      </c>
      <c r="L7" s="3">
        <f>G4*6</f>
        <v>6</v>
      </c>
      <c r="N7" s="17">
        <f t="shared" si="2"/>
        <v>5</v>
      </c>
      <c r="O7" s="114" t="s">
        <v>78</v>
      </c>
      <c r="P7" s="115"/>
      <c r="Q7" s="119"/>
      <c r="R7" s="36"/>
      <c r="S7" s="31"/>
      <c r="T7" s="72"/>
      <c r="U7" s="52">
        <v>0.05</v>
      </c>
      <c r="V7" s="36">
        <f>SUM(V3:V6)*U7</f>
        <v>86564.640000000014</v>
      </c>
      <c r="W7" s="44"/>
    </row>
    <row r="8" spans="2:23" ht="34.950000000000003" customHeight="1" x14ac:dyDescent="0.35">
      <c r="B8" s="162"/>
      <c r="C8" s="163"/>
      <c r="D8" s="163"/>
      <c r="E8" s="2"/>
      <c r="F8" s="2"/>
      <c r="G8" s="2"/>
      <c r="H8" s="6" t="s">
        <v>24</v>
      </c>
      <c r="I8" s="3" t="s">
        <v>27</v>
      </c>
      <c r="J8" s="6" t="str">
        <f>CONCATENATE($G$2,"-",$D$10,"-","3313","-","1")</f>
        <v>--3313-1</v>
      </c>
      <c r="K8" s="3">
        <f>IF(F4-40&lt;0,"0",F4-40)</f>
        <v>960</v>
      </c>
      <c r="L8" s="3">
        <f>G4*2</f>
        <v>2</v>
      </c>
      <c r="N8" s="17">
        <f t="shared" si="2"/>
        <v>6</v>
      </c>
      <c r="O8" s="114" t="s">
        <v>90</v>
      </c>
      <c r="P8" s="115"/>
      <c r="Q8" s="115"/>
      <c r="R8" s="31"/>
      <c r="S8" s="31"/>
      <c r="T8" s="35">
        <v>4</v>
      </c>
      <c r="U8" s="36">
        <v>4400</v>
      </c>
      <c r="V8" s="33">
        <f t="shared" ref="V8:V10" si="3">U8*T8</f>
        <v>17600</v>
      </c>
      <c r="W8" s="17"/>
    </row>
    <row r="9" spans="2:23" ht="34.950000000000003" customHeight="1" x14ac:dyDescent="0.35">
      <c r="B9" s="162"/>
      <c r="C9" s="163"/>
      <c r="D9" s="163"/>
      <c r="E9" s="3"/>
      <c r="F9" s="3"/>
      <c r="G9" s="3"/>
      <c r="H9" s="3"/>
      <c r="I9" s="166" t="s">
        <v>79</v>
      </c>
      <c r="J9" s="3" t="s">
        <v>6</v>
      </c>
      <c r="K9" s="3" t="s">
        <v>7</v>
      </c>
      <c r="L9" s="5" t="s">
        <v>2</v>
      </c>
      <c r="N9" s="17">
        <f t="shared" si="2"/>
        <v>7</v>
      </c>
      <c r="O9" s="114" t="s">
        <v>91</v>
      </c>
      <c r="P9" s="115"/>
      <c r="Q9" s="115"/>
      <c r="R9" s="31"/>
      <c r="S9" s="31"/>
      <c r="T9" s="35">
        <v>12</v>
      </c>
      <c r="U9" s="36">
        <v>5100</v>
      </c>
      <c r="V9" s="33">
        <f t="shared" si="3"/>
        <v>61200</v>
      </c>
      <c r="W9" s="28" t="s">
        <v>73</v>
      </c>
    </row>
    <row r="10" spans="2:23" ht="34.950000000000003" customHeight="1" x14ac:dyDescent="0.35">
      <c r="B10" s="164"/>
      <c r="C10" s="165"/>
      <c r="D10" s="165"/>
      <c r="E10" s="3"/>
      <c r="F10" s="3"/>
      <c r="G10" s="3"/>
      <c r="H10" s="3"/>
      <c r="I10" s="167"/>
      <c r="J10" s="19">
        <f>IF(K6-120&gt;0,K6-120,"0")</f>
        <v>646</v>
      </c>
      <c r="K10" s="19">
        <f>IF(K7-120&gt;0,K7-120,"0")</f>
        <v>830</v>
      </c>
      <c r="L10" s="19">
        <f>G4*3</f>
        <v>3</v>
      </c>
      <c r="N10" s="17">
        <f>N9+1</f>
        <v>8</v>
      </c>
      <c r="O10" s="114" t="s">
        <v>61</v>
      </c>
      <c r="P10" s="115"/>
      <c r="Q10" s="115"/>
      <c r="R10" s="31"/>
      <c r="S10" s="31"/>
      <c r="T10" s="35">
        <f>T9*2+T8</f>
        <v>28</v>
      </c>
      <c r="U10" s="36">
        <v>100</v>
      </c>
      <c r="V10" s="33">
        <f t="shared" si="3"/>
        <v>2800</v>
      </c>
      <c r="W10" s="28" t="s">
        <v>74</v>
      </c>
    </row>
    <row r="11" spans="2:23" ht="34.950000000000003" customHeight="1" x14ac:dyDescent="0.35">
      <c r="N11" s="17">
        <f t="shared" si="2"/>
        <v>9</v>
      </c>
      <c r="O11" s="116" t="s">
        <v>65</v>
      </c>
      <c r="P11" s="117"/>
      <c r="Q11" s="117"/>
      <c r="R11" s="117"/>
      <c r="S11" s="118"/>
      <c r="T11" s="37"/>
      <c r="U11" s="38"/>
      <c r="V11" s="39">
        <f>SUM(V3:V10)</f>
        <v>1899457.44</v>
      </c>
      <c r="W11" s="17"/>
    </row>
    <row r="12" spans="2:23" ht="34.950000000000003" customHeight="1" x14ac:dyDescent="0.35">
      <c r="N12" s="26" t="s">
        <v>14</v>
      </c>
      <c r="O12" s="121" t="s">
        <v>51</v>
      </c>
      <c r="P12" s="121"/>
      <c r="Q12" s="121"/>
      <c r="R12" s="26" t="s">
        <v>52</v>
      </c>
      <c r="S12" s="32" t="s">
        <v>58</v>
      </c>
      <c r="T12" s="32"/>
      <c r="U12" s="26" t="s">
        <v>44</v>
      </c>
      <c r="V12" s="26" t="s">
        <v>45</v>
      </c>
      <c r="W12" s="2"/>
    </row>
    <row r="13" spans="2:23" ht="34.950000000000003" customHeight="1" x14ac:dyDescent="0.35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N13" s="17">
        <v>1</v>
      </c>
      <c r="O13" s="114" t="s">
        <v>66</v>
      </c>
      <c r="P13" s="115"/>
      <c r="Q13" s="115"/>
      <c r="R13" s="40">
        <f>R3+R6+R4</f>
        <v>19016</v>
      </c>
      <c r="S13" s="2">
        <v>1</v>
      </c>
      <c r="T13" s="27"/>
      <c r="U13" s="40">
        <v>1000</v>
      </c>
      <c r="V13" s="40">
        <f>U13*R13/1000</f>
        <v>19016</v>
      </c>
      <c r="W13" s="2"/>
    </row>
    <row r="14" spans="2:23" ht="34.950000000000003" customHeight="1" x14ac:dyDescent="0.35">
      <c r="B14" s="122"/>
      <c r="C14" s="122"/>
      <c r="D14" s="130"/>
      <c r="E14" s="130"/>
      <c r="F14" s="130"/>
      <c r="G14" s="130"/>
      <c r="H14" s="130"/>
      <c r="I14" s="130"/>
      <c r="J14" s="122"/>
      <c r="K14" s="122"/>
      <c r="N14" s="17">
        <f>N13+1</f>
        <v>2</v>
      </c>
      <c r="O14" s="114" t="s">
        <v>47</v>
      </c>
      <c r="P14" s="115"/>
      <c r="Q14" s="115"/>
      <c r="R14" s="40">
        <f>R4*2</f>
        <v>20592</v>
      </c>
      <c r="S14" s="2">
        <v>1</v>
      </c>
      <c r="T14" s="27"/>
      <c r="U14" s="40">
        <v>1000</v>
      </c>
      <c r="V14" s="40">
        <f>U14*R14/1000</f>
        <v>20592</v>
      </c>
      <c r="W14" s="2"/>
    </row>
    <row r="15" spans="2:23" ht="34.950000000000003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  <c r="N15" s="17">
        <v>3</v>
      </c>
      <c r="O15" s="114" t="s">
        <v>68</v>
      </c>
      <c r="P15" s="115"/>
      <c r="Q15" s="119"/>
      <c r="R15" s="40"/>
      <c r="S15" s="54">
        <v>1</v>
      </c>
      <c r="T15" s="27"/>
      <c r="U15" s="40">
        <v>1000</v>
      </c>
      <c r="V15" s="40">
        <f t="shared" ref="V15:V16" si="4">U15*S15</f>
        <v>1000</v>
      </c>
      <c r="W15" s="28" t="s">
        <v>86</v>
      </c>
    </row>
    <row r="16" spans="2:23" ht="34.950000000000003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22"/>
      <c r="K16" s="122"/>
      <c r="N16" s="17">
        <f t="shared" ref="N16:N17" si="5">N15+1</f>
        <v>4</v>
      </c>
      <c r="O16" s="114" t="s">
        <v>70</v>
      </c>
      <c r="P16" s="115"/>
      <c r="Q16" s="119"/>
      <c r="R16" s="40"/>
      <c r="S16" s="2">
        <v>1</v>
      </c>
      <c r="T16" s="27"/>
      <c r="U16" s="40">
        <v>2000</v>
      </c>
      <c r="V16" s="40">
        <f t="shared" si="4"/>
        <v>2000</v>
      </c>
      <c r="W16" s="28" t="s">
        <v>86</v>
      </c>
    </row>
    <row r="17" spans="2:23" ht="34.950000000000003" customHeight="1" x14ac:dyDescent="0.35">
      <c r="B17" s="122"/>
      <c r="C17" s="122"/>
      <c r="D17" s="122"/>
      <c r="E17" s="122"/>
      <c r="F17" s="122"/>
      <c r="G17" s="122"/>
      <c r="H17" s="130"/>
      <c r="I17" s="130"/>
      <c r="J17" s="122"/>
      <c r="K17" s="122"/>
      <c r="N17" s="17">
        <f t="shared" si="5"/>
        <v>5</v>
      </c>
      <c r="O17" s="131" t="s">
        <v>69</v>
      </c>
      <c r="P17" s="131"/>
      <c r="Q17" s="131"/>
      <c r="R17" s="131"/>
      <c r="S17" s="131"/>
      <c r="T17" s="37"/>
      <c r="U17" s="38"/>
      <c r="V17" s="39">
        <f>SUM(V13:V16)</f>
        <v>42608</v>
      </c>
      <c r="W17" s="2"/>
    </row>
    <row r="18" spans="2:23" ht="34.950000000000003" customHeight="1" x14ac:dyDescent="0.35">
      <c r="B18" s="122"/>
      <c r="C18" s="122"/>
      <c r="D18" s="130"/>
      <c r="E18" s="130"/>
      <c r="F18" s="130"/>
      <c r="G18" s="130"/>
      <c r="H18" s="130"/>
      <c r="I18" s="130"/>
      <c r="J18" s="122"/>
      <c r="K18" s="122"/>
      <c r="N18" s="96"/>
      <c r="O18" s="111" t="s">
        <v>145</v>
      </c>
      <c r="P18" s="112"/>
      <c r="Q18" s="112"/>
      <c r="R18" s="112"/>
      <c r="S18" s="113"/>
      <c r="T18" s="98"/>
      <c r="U18" s="99"/>
      <c r="V18" s="100">
        <f>V11+V17</f>
        <v>1942065.44</v>
      </c>
      <c r="W18" s="97"/>
    </row>
    <row r="19" spans="2:23" ht="34.950000000000003" customHeight="1" x14ac:dyDescent="0.35">
      <c r="B19" s="122"/>
      <c r="C19" s="122"/>
      <c r="D19" s="122"/>
      <c r="E19" s="122"/>
      <c r="F19" s="122"/>
      <c r="G19" s="122"/>
      <c r="H19" s="130"/>
      <c r="I19" s="130"/>
      <c r="J19" s="122"/>
      <c r="K19" s="122"/>
      <c r="W19" s="1" t="s">
        <v>88</v>
      </c>
    </row>
    <row r="20" spans="2:23" ht="34.950000000000003" customHeight="1" x14ac:dyDescent="0.35">
      <c r="B20" s="122"/>
      <c r="C20" s="122"/>
      <c r="D20" s="122"/>
      <c r="E20" s="122"/>
      <c r="F20" s="122"/>
      <c r="G20" s="122"/>
      <c r="H20" s="139"/>
      <c r="I20" s="139"/>
      <c r="J20" s="122"/>
      <c r="K20" s="122"/>
    </row>
    <row r="21" spans="2:23" ht="34.950000000000003" customHeight="1" x14ac:dyDescent="0.35">
      <c r="B21" s="122"/>
      <c r="C21" s="122"/>
      <c r="D21" s="122"/>
      <c r="E21" s="122"/>
      <c r="F21" s="122"/>
      <c r="G21" s="122"/>
      <c r="H21" s="130"/>
      <c r="I21" s="130"/>
      <c r="J21" s="122"/>
      <c r="K21" s="122"/>
    </row>
  </sheetData>
  <mergeCells count="62">
    <mergeCell ref="O11:S11"/>
    <mergeCell ref="O16:Q16"/>
    <mergeCell ref="O17:S17"/>
    <mergeCell ref="O12:Q12"/>
    <mergeCell ref="O13:Q13"/>
    <mergeCell ref="O14:Q14"/>
    <mergeCell ref="O15:Q15"/>
    <mergeCell ref="O6:Q6"/>
    <mergeCell ref="O7:Q7"/>
    <mergeCell ref="O8:Q8"/>
    <mergeCell ref="O9:Q9"/>
    <mergeCell ref="O10:Q10"/>
    <mergeCell ref="N1:W1"/>
    <mergeCell ref="O2:Q2"/>
    <mergeCell ref="O3:Q3"/>
    <mergeCell ref="O4:Q4"/>
    <mergeCell ref="O5:Q5"/>
    <mergeCell ref="B19:G19"/>
    <mergeCell ref="H19:I19"/>
    <mergeCell ref="B20:G20"/>
    <mergeCell ref="H20:I20"/>
    <mergeCell ref="B21:C21"/>
    <mergeCell ref="D21:E21"/>
    <mergeCell ref="F21:G21"/>
    <mergeCell ref="H21:I21"/>
    <mergeCell ref="B17:G17"/>
    <mergeCell ref="H17:I17"/>
    <mergeCell ref="B18:C18"/>
    <mergeCell ref="D18:E18"/>
    <mergeCell ref="F18:G18"/>
    <mergeCell ref="H18:I18"/>
    <mergeCell ref="B15:C15"/>
    <mergeCell ref="D15:E15"/>
    <mergeCell ref="F15:G15"/>
    <mergeCell ref="H15:I15"/>
    <mergeCell ref="B16:C16"/>
    <mergeCell ref="D16:E16"/>
    <mergeCell ref="F16:G16"/>
    <mergeCell ref="H16:I16"/>
    <mergeCell ref="J13:K13"/>
    <mergeCell ref="B3:D10"/>
    <mergeCell ref="I9:I10"/>
    <mergeCell ref="B14:C14"/>
    <mergeCell ref="D14:E14"/>
    <mergeCell ref="F14:G14"/>
    <mergeCell ref="H14:I14"/>
    <mergeCell ref="O18:S18"/>
    <mergeCell ref="J19:K19"/>
    <mergeCell ref="J20:K20"/>
    <mergeCell ref="J21:K21"/>
    <mergeCell ref="B1:L1"/>
    <mergeCell ref="I2:L2"/>
    <mergeCell ref="J14:K14"/>
    <mergeCell ref="J15:K15"/>
    <mergeCell ref="J16:K16"/>
    <mergeCell ref="J17:K17"/>
    <mergeCell ref="J18:K18"/>
    <mergeCell ref="B2:F2"/>
    <mergeCell ref="B13:C13"/>
    <mergeCell ref="D13:E13"/>
    <mergeCell ref="F13:G13"/>
    <mergeCell ref="H13:I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7"/>
  <sheetViews>
    <sheetView topLeftCell="D1" zoomScale="47" zoomScaleNormal="47" workbookViewId="0">
      <selection activeCell="N22" sqref="N22"/>
    </sheetView>
  </sheetViews>
  <sheetFormatPr defaultColWidth="19.5546875" defaultRowHeight="39" customHeight="1" x14ac:dyDescent="0.35"/>
  <cols>
    <col min="1" max="22" width="19.5546875" style="1"/>
    <col min="23" max="23" width="39.21875" style="1" customWidth="1"/>
    <col min="24" max="16384" width="19.5546875" style="1"/>
  </cols>
  <sheetData>
    <row r="1" spans="2:23" ht="39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64.95" customHeight="1" x14ac:dyDescent="0.35">
      <c r="B2" s="158"/>
      <c r="C2" s="159"/>
      <c r="D2" s="159"/>
      <c r="E2" s="159"/>
      <c r="F2" s="159"/>
      <c r="G2" s="8"/>
      <c r="H2" s="7"/>
      <c r="I2" s="158" t="s">
        <v>9</v>
      </c>
      <c r="J2" s="159"/>
      <c r="K2" s="159"/>
      <c r="L2" s="159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9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53</v>
      </c>
      <c r="P3" s="115"/>
      <c r="Q3" s="115"/>
      <c r="R3" s="36">
        <f>K4*L4+K5*L5</f>
        <v>9200</v>
      </c>
      <c r="S3" s="31">
        <v>0.876</v>
      </c>
      <c r="T3" s="34">
        <f>S3*R3</f>
        <v>8059.2</v>
      </c>
      <c r="U3" s="36">
        <v>80000</v>
      </c>
      <c r="V3" s="33">
        <f>U3*T3/1000</f>
        <v>644736</v>
      </c>
      <c r="W3" s="136"/>
    </row>
    <row r="4" spans="2:23" ht="39" customHeight="1" x14ac:dyDescent="0.35">
      <c r="B4" s="125"/>
      <c r="C4" s="126"/>
      <c r="D4" s="154"/>
      <c r="E4" s="3">
        <v>3600</v>
      </c>
      <c r="F4" s="3">
        <v>1000</v>
      </c>
      <c r="G4" s="3">
        <v>1</v>
      </c>
      <c r="H4" s="6" t="s">
        <v>19</v>
      </c>
      <c r="I4" s="3" t="s">
        <v>10</v>
      </c>
      <c r="J4" s="6" t="str">
        <f>CONCATENATE($G$2,"-",$D$10,"-","3318","-","1")</f>
        <v>--3318-1</v>
      </c>
      <c r="K4" s="3">
        <f>E4</f>
        <v>3600</v>
      </c>
      <c r="L4" s="3">
        <f>G4*2</f>
        <v>2</v>
      </c>
      <c r="N4" s="17">
        <f>N3+1</f>
        <v>2</v>
      </c>
      <c r="O4" s="114" t="s">
        <v>54</v>
      </c>
      <c r="P4" s="115"/>
      <c r="Q4" s="115"/>
      <c r="R4" s="36">
        <f>K6*L6+K7*L7</f>
        <v>14656</v>
      </c>
      <c r="S4" s="31">
        <v>1.0640000000000001</v>
      </c>
      <c r="T4" s="34">
        <f t="shared" ref="T4:T6" si="0">S4*R4</f>
        <v>15593.984</v>
      </c>
      <c r="U4" s="36">
        <v>80000</v>
      </c>
      <c r="V4" s="33">
        <f>U4*T4/1000</f>
        <v>1247518.72</v>
      </c>
      <c r="W4" s="137"/>
    </row>
    <row r="5" spans="2:23" ht="39" customHeight="1" x14ac:dyDescent="0.35">
      <c r="B5" s="125"/>
      <c r="C5" s="126"/>
      <c r="D5" s="154"/>
      <c r="E5" s="84"/>
      <c r="F5" s="43" t="s">
        <v>46</v>
      </c>
      <c r="G5" s="43" t="s">
        <v>119</v>
      </c>
      <c r="H5" s="6" t="s">
        <v>20</v>
      </c>
      <c r="I5" s="3" t="s">
        <v>11</v>
      </c>
      <c r="J5" s="6" t="str">
        <f>CONCATENATE($G$2,"-",$D$10,"-","3318","-","2")</f>
        <v>--3318-2</v>
      </c>
      <c r="K5" s="3">
        <f>F4</f>
        <v>1000</v>
      </c>
      <c r="L5" s="3">
        <f>G4*2</f>
        <v>2</v>
      </c>
      <c r="N5" s="17">
        <f t="shared" ref="N5:N11" si="1">N4+1</f>
        <v>3</v>
      </c>
      <c r="O5" s="114" t="s">
        <v>55</v>
      </c>
      <c r="P5" s="115"/>
      <c r="Q5" s="115"/>
      <c r="R5" s="36">
        <f>R4</f>
        <v>14656</v>
      </c>
      <c r="S5" s="31">
        <v>0.27100000000000002</v>
      </c>
      <c r="T5" s="34">
        <f t="shared" si="0"/>
        <v>3971.7760000000003</v>
      </c>
      <c r="U5" s="36">
        <v>80000</v>
      </c>
      <c r="V5" s="33">
        <f t="shared" ref="V5:V6" si="2">U5*T5/1000</f>
        <v>317742.08000000002</v>
      </c>
      <c r="W5" s="137"/>
    </row>
    <row r="6" spans="2:23" ht="39" customHeight="1" x14ac:dyDescent="0.35">
      <c r="B6" s="125"/>
      <c r="C6" s="126"/>
      <c r="D6" s="154"/>
      <c r="E6" s="54"/>
      <c r="F6" s="19">
        <f>F4*E4/1000</f>
        <v>3600</v>
      </c>
      <c r="G6" s="83">
        <f>SUM(T3:T6)</f>
        <v>29990.565000000002</v>
      </c>
      <c r="H6" s="6" t="s">
        <v>21</v>
      </c>
      <c r="I6" s="3" t="s">
        <v>17</v>
      </c>
      <c r="J6" s="6" t="str">
        <f>CONCATENATE($G$2,"-",$D$10,"-","3202","-","1")</f>
        <v>--3202-1</v>
      </c>
      <c r="K6" s="3">
        <f>IF(ROUNDDOWN((E4-40-30)/4,0)&lt;0,"0",ROUNDDOWN((E4-40-30)/4,0))</f>
        <v>882</v>
      </c>
      <c r="L6" s="3">
        <f>G4*8</f>
        <v>8</v>
      </c>
      <c r="N6" s="17">
        <f t="shared" si="1"/>
        <v>4</v>
      </c>
      <c r="O6" s="114" t="s">
        <v>71</v>
      </c>
      <c r="P6" s="115"/>
      <c r="Q6" s="115"/>
      <c r="R6" s="36">
        <f>K8*L8</f>
        <v>2655</v>
      </c>
      <c r="S6" s="31">
        <v>0.89100000000000001</v>
      </c>
      <c r="T6" s="34">
        <f t="shared" si="0"/>
        <v>2365.605</v>
      </c>
      <c r="U6" s="36">
        <v>80000</v>
      </c>
      <c r="V6" s="33">
        <f t="shared" si="2"/>
        <v>189248.4</v>
      </c>
      <c r="W6" s="138"/>
    </row>
    <row r="7" spans="2:23" ht="39" customHeight="1" x14ac:dyDescent="0.35">
      <c r="B7" s="125"/>
      <c r="C7" s="126"/>
      <c r="D7" s="154"/>
      <c r="E7" s="2"/>
      <c r="F7" s="2"/>
      <c r="G7" s="2"/>
      <c r="H7" s="6" t="s">
        <v>22</v>
      </c>
      <c r="I7" s="3" t="s">
        <v>18</v>
      </c>
      <c r="J7" s="6" t="str">
        <f>CONCATENATE($G$2,"-",$D$10,"-","3202","-","2")</f>
        <v>--3202-2</v>
      </c>
      <c r="K7" s="3">
        <f>IF(F4-40-10&lt;0,"0",F4-40-10)</f>
        <v>950</v>
      </c>
      <c r="L7" s="3">
        <f>G4*8</f>
        <v>8</v>
      </c>
      <c r="N7" s="17">
        <f t="shared" si="1"/>
        <v>5</v>
      </c>
      <c r="O7" s="114" t="s">
        <v>78</v>
      </c>
      <c r="P7" s="115"/>
      <c r="Q7" s="119"/>
      <c r="R7" s="36"/>
      <c r="S7" s="31"/>
      <c r="T7" s="72"/>
      <c r="U7" s="52">
        <v>0.05</v>
      </c>
      <c r="V7" s="36">
        <f>SUM(V3:V6)*U7</f>
        <v>119962.26</v>
      </c>
      <c r="W7" s="44"/>
    </row>
    <row r="8" spans="2:23" ht="39" customHeight="1" x14ac:dyDescent="0.35">
      <c r="B8" s="125"/>
      <c r="C8" s="126"/>
      <c r="D8" s="154"/>
      <c r="E8" s="2"/>
      <c r="F8" s="2"/>
      <c r="G8" s="2"/>
      <c r="H8" s="6" t="s">
        <v>24</v>
      </c>
      <c r="I8" s="3" t="s">
        <v>16</v>
      </c>
      <c r="J8" s="6" t="str">
        <f>CONCATENATE($G$2,"-",$D$10,"-","3033","-","1")</f>
        <v>--3033-1</v>
      </c>
      <c r="K8" s="6">
        <f>ROUNDDOWN(K7-28.2*2-8,0)</f>
        <v>885</v>
      </c>
      <c r="L8" s="3">
        <f>G4*3</f>
        <v>3</v>
      </c>
      <c r="N8" s="17">
        <f t="shared" si="1"/>
        <v>6</v>
      </c>
      <c r="O8" s="114" t="s">
        <v>90</v>
      </c>
      <c r="P8" s="115"/>
      <c r="Q8" s="115"/>
      <c r="R8" s="31"/>
      <c r="S8" s="31"/>
      <c r="T8" s="35">
        <v>4</v>
      </c>
      <c r="U8" s="36">
        <v>4400</v>
      </c>
      <c r="V8" s="33">
        <f t="shared" ref="V8:V10" si="3">U8*T8</f>
        <v>17600</v>
      </c>
      <c r="W8" s="17"/>
    </row>
    <row r="9" spans="2:23" ht="39" customHeight="1" x14ac:dyDescent="0.35">
      <c r="B9" s="125"/>
      <c r="C9" s="126"/>
      <c r="D9" s="154"/>
      <c r="E9" s="3"/>
      <c r="F9" s="3"/>
      <c r="G9" s="3"/>
      <c r="H9" s="3">
        <v>6</v>
      </c>
      <c r="I9" s="156" t="s">
        <v>79</v>
      </c>
      <c r="J9" s="3" t="s">
        <v>6</v>
      </c>
      <c r="K9" s="3" t="s">
        <v>7</v>
      </c>
      <c r="L9" s="5" t="s">
        <v>2</v>
      </c>
      <c r="N9" s="17">
        <f t="shared" si="1"/>
        <v>7</v>
      </c>
      <c r="O9" s="114" t="s">
        <v>91</v>
      </c>
      <c r="P9" s="115"/>
      <c r="Q9" s="115"/>
      <c r="R9" s="31"/>
      <c r="S9" s="31"/>
      <c r="T9" s="35">
        <f>4*4</f>
        <v>16</v>
      </c>
      <c r="U9" s="36">
        <v>5100</v>
      </c>
      <c r="V9" s="33">
        <f t="shared" si="3"/>
        <v>81600</v>
      </c>
      <c r="W9" s="28" t="s">
        <v>73</v>
      </c>
    </row>
    <row r="10" spans="2:23" ht="39" customHeight="1" x14ac:dyDescent="0.35">
      <c r="B10" s="127"/>
      <c r="C10" s="128"/>
      <c r="D10" s="155"/>
      <c r="E10" s="3"/>
      <c r="F10" s="3"/>
      <c r="G10" s="3"/>
      <c r="H10" s="3">
        <v>7</v>
      </c>
      <c r="I10" s="157"/>
      <c r="J10" s="3">
        <f>IF(K6-120&gt;0,K6-120,"0")</f>
        <v>762</v>
      </c>
      <c r="K10" s="3">
        <f>IF(K7-120&gt;0,K7-120,"0")</f>
        <v>830</v>
      </c>
      <c r="L10" s="3">
        <f>G4*4</f>
        <v>4</v>
      </c>
      <c r="N10" s="17">
        <f t="shared" si="1"/>
        <v>8</v>
      </c>
      <c r="O10" s="114" t="s">
        <v>61</v>
      </c>
      <c r="P10" s="115"/>
      <c r="Q10" s="115"/>
      <c r="R10" s="31"/>
      <c r="S10" s="31"/>
      <c r="T10" s="35">
        <f>T9*2+T8</f>
        <v>36</v>
      </c>
      <c r="U10" s="36">
        <v>100</v>
      </c>
      <c r="V10" s="33">
        <f t="shared" si="3"/>
        <v>3600</v>
      </c>
      <c r="W10" s="28" t="s">
        <v>74</v>
      </c>
    </row>
    <row r="11" spans="2:23" ht="39" customHeight="1" x14ac:dyDescent="0.35">
      <c r="N11" s="17">
        <f t="shared" si="1"/>
        <v>9</v>
      </c>
      <c r="O11" s="116" t="s">
        <v>65</v>
      </c>
      <c r="P11" s="117"/>
      <c r="Q11" s="117"/>
      <c r="R11" s="117"/>
      <c r="S11" s="118"/>
      <c r="T11" s="37"/>
      <c r="U11" s="38"/>
      <c r="V11" s="39">
        <f>SUM(V3:V10)</f>
        <v>2622007.4599999995</v>
      </c>
      <c r="W11" s="17"/>
    </row>
    <row r="12" spans="2:23" ht="39" customHeight="1" x14ac:dyDescent="0.35"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N12" s="26" t="s">
        <v>14</v>
      </c>
      <c r="O12" s="121" t="s">
        <v>51</v>
      </c>
      <c r="P12" s="121"/>
      <c r="Q12" s="121"/>
      <c r="R12" s="26" t="s">
        <v>52</v>
      </c>
      <c r="S12" s="32" t="s">
        <v>58</v>
      </c>
      <c r="T12" s="32"/>
      <c r="U12" s="26" t="s">
        <v>44</v>
      </c>
      <c r="V12" s="26" t="s">
        <v>45</v>
      </c>
      <c r="W12" s="2"/>
    </row>
    <row r="13" spans="2:23" ht="39" customHeight="1" x14ac:dyDescent="0.35">
      <c r="B13" s="122"/>
      <c r="C13" s="122"/>
      <c r="D13" s="130"/>
      <c r="E13" s="130"/>
      <c r="F13" s="130"/>
      <c r="G13" s="130"/>
      <c r="H13" s="130"/>
      <c r="I13" s="130"/>
      <c r="J13" s="122"/>
      <c r="K13" s="122"/>
      <c r="N13" s="17">
        <v>1</v>
      </c>
      <c r="O13" s="114" t="s">
        <v>66</v>
      </c>
      <c r="P13" s="115"/>
      <c r="Q13" s="115"/>
      <c r="R13" s="40">
        <f>R3+R4+R6</f>
        <v>26511</v>
      </c>
      <c r="S13" s="2">
        <v>1</v>
      </c>
      <c r="T13" s="27"/>
      <c r="U13" s="40">
        <v>1000</v>
      </c>
      <c r="V13" s="40">
        <f>U13*R13*S13/1000</f>
        <v>26511</v>
      </c>
      <c r="W13" s="2"/>
    </row>
    <row r="14" spans="2:23" ht="39" customHeight="1" x14ac:dyDescent="0.35">
      <c r="B14" s="122"/>
      <c r="C14" s="122"/>
      <c r="D14" s="130"/>
      <c r="E14" s="130"/>
      <c r="F14" s="130"/>
      <c r="G14" s="130"/>
      <c r="H14" s="130"/>
      <c r="I14" s="130"/>
      <c r="J14" s="122"/>
      <c r="K14" s="122"/>
      <c r="N14" s="17">
        <f>N13+1</f>
        <v>2</v>
      </c>
      <c r="O14" s="114" t="s">
        <v>47</v>
      </c>
      <c r="P14" s="115"/>
      <c r="Q14" s="115"/>
      <c r="R14" s="40">
        <f>R4*2</f>
        <v>29312</v>
      </c>
      <c r="S14" s="2">
        <v>1</v>
      </c>
      <c r="T14" s="27"/>
      <c r="U14" s="40">
        <v>1000</v>
      </c>
      <c r="V14" s="40">
        <f>U14*R14*S14/1000</f>
        <v>29312</v>
      </c>
      <c r="W14" s="2"/>
    </row>
    <row r="15" spans="2:23" ht="39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  <c r="N15" s="17">
        <f t="shared" ref="N15:N18" si="4">N14+1</f>
        <v>3</v>
      </c>
      <c r="O15" s="114" t="s">
        <v>72</v>
      </c>
      <c r="P15" s="115"/>
      <c r="Q15" s="115"/>
      <c r="R15" s="40"/>
      <c r="S15" s="2">
        <v>3</v>
      </c>
      <c r="T15" s="27"/>
      <c r="U15" s="40">
        <v>2500</v>
      </c>
      <c r="V15" s="40">
        <f>U15*S15</f>
        <v>7500</v>
      </c>
      <c r="W15" s="28" t="s">
        <v>75</v>
      </c>
    </row>
    <row r="16" spans="2:23" ht="39" customHeight="1" x14ac:dyDescent="0.35">
      <c r="B16" s="122"/>
      <c r="C16" s="122"/>
      <c r="D16" s="122"/>
      <c r="E16" s="122"/>
      <c r="F16" s="122"/>
      <c r="G16" s="122"/>
      <c r="H16" s="130"/>
      <c r="I16" s="130"/>
      <c r="J16" s="122"/>
      <c r="K16" s="122"/>
      <c r="N16" s="17">
        <f t="shared" si="4"/>
        <v>4</v>
      </c>
      <c r="O16" s="114" t="s">
        <v>68</v>
      </c>
      <c r="P16" s="115"/>
      <c r="Q16" s="119"/>
      <c r="R16" s="40"/>
      <c r="S16" s="54">
        <v>1</v>
      </c>
      <c r="T16" s="27"/>
      <c r="U16" s="40">
        <v>1000</v>
      </c>
      <c r="V16" s="40">
        <f t="shared" ref="V16:V17" si="5">U16*S16</f>
        <v>1000</v>
      </c>
      <c r="W16" s="28"/>
    </row>
    <row r="17" spans="1:23" ht="39" customHeight="1" x14ac:dyDescent="0.35">
      <c r="A17" s="87"/>
      <c r="B17" s="122"/>
      <c r="C17" s="122"/>
      <c r="D17" s="130"/>
      <c r="E17" s="130"/>
      <c r="F17" s="130"/>
      <c r="G17" s="130"/>
      <c r="H17" s="130"/>
      <c r="I17" s="130"/>
      <c r="J17" s="122"/>
      <c r="K17" s="122"/>
      <c r="N17" s="17">
        <f t="shared" si="4"/>
        <v>5</v>
      </c>
      <c r="O17" s="114" t="s">
        <v>70</v>
      </c>
      <c r="P17" s="115"/>
      <c r="Q17" s="119"/>
      <c r="R17" s="40"/>
      <c r="S17" s="2">
        <v>1</v>
      </c>
      <c r="T17" s="27"/>
      <c r="U17" s="40">
        <v>2000</v>
      </c>
      <c r="V17" s="40">
        <f t="shared" si="5"/>
        <v>2000</v>
      </c>
      <c r="W17" s="2"/>
    </row>
    <row r="18" spans="1:23" ht="39" customHeight="1" x14ac:dyDescent="0.35">
      <c r="A18" s="87"/>
      <c r="B18" s="122"/>
      <c r="C18" s="122"/>
      <c r="D18" s="122"/>
      <c r="E18" s="122"/>
      <c r="F18" s="122"/>
      <c r="G18" s="122"/>
      <c r="H18" s="130"/>
      <c r="I18" s="130"/>
      <c r="J18" s="122"/>
      <c r="K18" s="122"/>
      <c r="N18" s="17">
        <f t="shared" si="4"/>
        <v>6</v>
      </c>
      <c r="O18" s="131" t="s">
        <v>69</v>
      </c>
      <c r="P18" s="131"/>
      <c r="Q18" s="131"/>
      <c r="R18" s="131"/>
      <c r="S18" s="131"/>
      <c r="T18" s="37"/>
      <c r="U18" s="38"/>
      <c r="V18" s="39">
        <f>SUM(V13:V17)</f>
        <v>66323</v>
      </c>
      <c r="W18" s="2"/>
    </row>
    <row r="19" spans="1:23" ht="39" customHeight="1" x14ac:dyDescent="0.35">
      <c r="A19" s="87"/>
      <c r="B19" s="122"/>
      <c r="C19" s="122"/>
      <c r="D19" s="122"/>
      <c r="E19" s="122"/>
      <c r="F19" s="122"/>
      <c r="G19" s="122"/>
      <c r="H19" s="139"/>
      <c r="I19" s="139"/>
      <c r="J19" s="122"/>
      <c r="K19" s="122"/>
      <c r="N19" s="96"/>
      <c r="O19" s="111" t="s">
        <v>145</v>
      </c>
      <c r="P19" s="112"/>
      <c r="Q19" s="112"/>
      <c r="R19" s="112"/>
      <c r="S19" s="113"/>
      <c r="T19" s="98"/>
      <c r="U19" s="99"/>
      <c r="V19" s="100">
        <f>V11+V18</f>
        <v>2688330.4599999995</v>
      </c>
      <c r="W19" s="97"/>
    </row>
    <row r="20" spans="1:23" ht="39" customHeight="1" x14ac:dyDescent="0.35">
      <c r="A20" s="87"/>
      <c r="B20" s="122"/>
      <c r="C20" s="122"/>
      <c r="D20" s="122"/>
      <c r="E20" s="122"/>
      <c r="F20" s="122"/>
      <c r="G20" s="122"/>
      <c r="H20" s="130"/>
      <c r="I20" s="130"/>
      <c r="J20" s="122"/>
      <c r="K20" s="122"/>
    </row>
    <row r="21" spans="1:23" ht="39" customHeight="1" x14ac:dyDescent="0.35">
      <c r="A21" s="69"/>
      <c r="B21" s="88"/>
      <c r="C21" s="88"/>
      <c r="D21" s="88"/>
      <c r="E21" s="88"/>
      <c r="F21" s="89"/>
      <c r="G21" s="181"/>
      <c r="H21" s="182"/>
      <c r="I21" s="183"/>
      <c r="J21" s="184"/>
    </row>
    <row r="22" spans="1:23" ht="39" customHeight="1" x14ac:dyDescent="0.35">
      <c r="A22" s="173"/>
      <c r="B22" s="173"/>
      <c r="C22" s="174"/>
      <c r="D22" s="174"/>
      <c r="E22" s="171"/>
      <c r="F22" s="172"/>
      <c r="G22" s="171"/>
      <c r="H22" s="172"/>
      <c r="I22" s="168"/>
      <c r="J22" s="170"/>
    </row>
    <row r="23" spans="1:23" ht="39" customHeight="1" x14ac:dyDescent="0.35">
      <c r="A23" s="168"/>
      <c r="B23" s="169"/>
      <c r="C23" s="169"/>
      <c r="D23" s="169"/>
      <c r="E23" s="169"/>
      <c r="F23" s="170"/>
      <c r="G23" s="171"/>
      <c r="H23" s="172"/>
      <c r="I23" s="168"/>
      <c r="J23" s="170"/>
    </row>
    <row r="24" spans="1:23" ht="39" customHeight="1" x14ac:dyDescent="0.35">
      <c r="A24" s="168"/>
      <c r="B24" s="169"/>
      <c r="C24" s="169"/>
      <c r="D24" s="169"/>
      <c r="E24" s="169"/>
      <c r="F24" s="170"/>
      <c r="G24" s="176"/>
      <c r="H24" s="177"/>
      <c r="I24" s="168"/>
      <c r="J24" s="170"/>
    </row>
    <row r="25" spans="1:23" ht="39" customHeight="1" x14ac:dyDescent="0.35">
      <c r="A25" s="175"/>
      <c r="B25" s="175"/>
      <c r="C25" s="175"/>
      <c r="D25" s="175"/>
      <c r="E25" s="168"/>
      <c r="F25" s="170"/>
      <c r="G25" s="171"/>
      <c r="H25" s="172"/>
      <c r="I25" s="168"/>
      <c r="J25" s="170"/>
    </row>
    <row r="26" spans="1:23" ht="39" customHeight="1" x14ac:dyDescent="0.35"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23" ht="39" customHeight="1" x14ac:dyDescent="0.35">
      <c r="C27" s="178"/>
      <c r="D27" s="178"/>
      <c r="E27" s="178"/>
      <c r="F27" s="178"/>
      <c r="G27" s="179"/>
      <c r="H27" s="180"/>
      <c r="I27" s="179"/>
      <c r="J27" s="180"/>
      <c r="K27" s="179"/>
      <c r="L27" s="180"/>
    </row>
    <row r="28" spans="1:23" ht="39" customHeight="1" x14ac:dyDescent="0.35">
      <c r="C28" s="173"/>
      <c r="D28" s="173"/>
      <c r="E28" s="174"/>
      <c r="F28" s="174"/>
      <c r="G28" s="171"/>
      <c r="H28" s="172"/>
      <c r="I28" s="171"/>
      <c r="J28" s="172"/>
      <c r="K28" s="168"/>
      <c r="L28" s="170"/>
    </row>
    <row r="29" spans="1:23" ht="39" customHeight="1" x14ac:dyDescent="0.35">
      <c r="C29" s="168"/>
      <c r="D29" s="170"/>
      <c r="E29" s="171"/>
      <c r="F29" s="172"/>
      <c r="G29" s="171"/>
      <c r="H29" s="172"/>
      <c r="I29" s="171"/>
      <c r="J29" s="172"/>
      <c r="K29" s="168"/>
      <c r="L29" s="170"/>
    </row>
    <row r="30" spans="1:23" ht="39" customHeight="1" x14ac:dyDescent="0.35">
      <c r="C30" s="168"/>
      <c r="D30" s="170"/>
      <c r="E30" s="171"/>
      <c r="F30" s="172"/>
      <c r="G30" s="171"/>
      <c r="H30" s="172"/>
      <c r="I30" s="171"/>
      <c r="J30" s="172"/>
      <c r="K30" s="168"/>
      <c r="L30" s="170"/>
    </row>
    <row r="31" spans="1:23" ht="39" customHeight="1" x14ac:dyDescent="0.35">
      <c r="C31" s="168"/>
      <c r="D31" s="169"/>
      <c r="E31" s="169"/>
      <c r="F31" s="169"/>
      <c r="G31" s="169"/>
      <c r="H31" s="170"/>
      <c r="I31" s="171"/>
      <c r="J31" s="172"/>
      <c r="K31" s="168"/>
      <c r="L31" s="170"/>
    </row>
    <row r="32" spans="1:23" ht="39" customHeight="1" x14ac:dyDescent="0.35">
      <c r="C32" s="173"/>
      <c r="D32" s="173"/>
      <c r="E32" s="174"/>
      <c r="F32" s="174"/>
      <c r="G32" s="171"/>
      <c r="H32" s="172"/>
      <c r="I32" s="171"/>
      <c r="J32" s="172"/>
      <c r="K32" s="168"/>
      <c r="L32" s="170"/>
    </row>
    <row r="33" spans="3:12" ht="39" customHeight="1" x14ac:dyDescent="0.35">
      <c r="C33" s="168"/>
      <c r="D33" s="169"/>
      <c r="E33" s="169"/>
      <c r="F33" s="169"/>
      <c r="G33" s="169"/>
      <c r="H33" s="170"/>
      <c r="I33" s="171"/>
      <c r="J33" s="172"/>
      <c r="K33" s="168"/>
      <c r="L33" s="170"/>
    </row>
    <row r="34" spans="3:12" ht="39" customHeight="1" x14ac:dyDescent="0.35">
      <c r="C34" s="168"/>
      <c r="D34" s="169"/>
      <c r="E34" s="169"/>
      <c r="F34" s="169"/>
      <c r="G34" s="169"/>
      <c r="H34" s="170"/>
      <c r="I34" s="176"/>
      <c r="J34" s="177"/>
      <c r="K34" s="168"/>
      <c r="L34" s="170"/>
    </row>
    <row r="35" spans="3:12" ht="39" customHeight="1" x14ac:dyDescent="0.35">
      <c r="C35" s="175"/>
      <c r="D35" s="175"/>
      <c r="E35" s="175"/>
      <c r="F35" s="175"/>
      <c r="G35" s="168"/>
      <c r="H35" s="170"/>
      <c r="I35" s="171"/>
      <c r="J35" s="172"/>
      <c r="K35" s="168"/>
      <c r="L35" s="170"/>
    </row>
    <row r="36" spans="3:12" ht="39" customHeight="1" x14ac:dyDescent="0.35"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spans="3:12" ht="39" customHeight="1" x14ac:dyDescent="0.35">
      <c r="C37" s="51"/>
      <c r="D37" s="51"/>
      <c r="E37" s="51"/>
      <c r="F37" s="51"/>
      <c r="G37" s="51"/>
      <c r="H37" s="51"/>
      <c r="I37" s="51"/>
      <c r="J37" s="51"/>
      <c r="K37" s="51"/>
      <c r="L37" s="51"/>
    </row>
  </sheetData>
  <mergeCells count="121">
    <mergeCell ref="A24:F24"/>
    <mergeCell ref="G24:H24"/>
    <mergeCell ref="I24:J24"/>
    <mergeCell ref="A25:B25"/>
    <mergeCell ref="C25:D25"/>
    <mergeCell ref="E25:F25"/>
    <mergeCell ref="G25:H25"/>
    <mergeCell ref="I25:J25"/>
    <mergeCell ref="A22:B22"/>
    <mergeCell ref="C22:D22"/>
    <mergeCell ref="E22:F22"/>
    <mergeCell ref="G22:H22"/>
    <mergeCell ref="I22:J22"/>
    <mergeCell ref="A23:F23"/>
    <mergeCell ref="G23:H23"/>
    <mergeCell ref="I23:J23"/>
    <mergeCell ref="N1:W1"/>
    <mergeCell ref="O2:Q2"/>
    <mergeCell ref="O3:Q3"/>
    <mergeCell ref="W3:W6"/>
    <mergeCell ref="O4:Q4"/>
    <mergeCell ref="O5:Q5"/>
    <mergeCell ref="O6:Q6"/>
    <mergeCell ref="O7:Q7"/>
    <mergeCell ref="O8:Q8"/>
    <mergeCell ref="O9:Q9"/>
    <mergeCell ref="O10:Q10"/>
    <mergeCell ref="O11:S11"/>
    <mergeCell ref="O17:Q17"/>
    <mergeCell ref="O18:S18"/>
    <mergeCell ref="O12:Q12"/>
    <mergeCell ref="O13:Q13"/>
    <mergeCell ref="G21:H21"/>
    <mergeCell ref="I21:J21"/>
    <mergeCell ref="H13:I13"/>
    <mergeCell ref="J13:K13"/>
    <mergeCell ref="O14:Q14"/>
    <mergeCell ref="O15:Q15"/>
    <mergeCell ref="O16:Q16"/>
    <mergeCell ref="O19:S19"/>
    <mergeCell ref="C27:D27"/>
    <mergeCell ref="E27:F27"/>
    <mergeCell ref="G27:H27"/>
    <mergeCell ref="I27:J27"/>
    <mergeCell ref="K27:L27"/>
    <mergeCell ref="B2:F2"/>
    <mergeCell ref="B3:D10"/>
    <mergeCell ref="I9:I10"/>
    <mergeCell ref="B12:C12"/>
    <mergeCell ref="D12:E12"/>
    <mergeCell ref="F12:G12"/>
    <mergeCell ref="H12:I12"/>
    <mergeCell ref="J12:K12"/>
    <mergeCell ref="B18:G18"/>
    <mergeCell ref="H18:I18"/>
    <mergeCell ref="J18:K18"/>
    <mergeCell ref="B19:G19"/>
    <mergeCell ref="H19:I19"/>
    <mergeCell ref="J19:K19"/>
    <mergeCell ref="B20:C20"/>
    <mergeCell ref="D20:E20"/>
    <mergeCell ref="F20:G20"/>
    <mergeCell ref="H20:I20"/>
    <mergeCell ref="J20:K20"/>
    <mergeCell ref="C29:D29"/>
    <mergeCell ref="E29:F29"/>
    <mergeCell ref="G29:H29"/>
    <mergeCell ref="I29:J29"/>
    <mergeCell ref="K29:L29"/>
    <mergeCell ref="C28:D28"/>
    <mergeCell ref="E28:F28"/>
    <mergeCell ref="G28:H28"/>
    <mergeCell ref="I28:J28"/>
    <mergeCell ref="K28:L28"/>
    <mergeCell ref="C35:D35"/>
    <mergeCell ref="E35:F35"/>
    <mergeCell ref="G35:H35"/>
    <mergeCell ref="I35:J35"/>
    <mergeCell ref="K35:L35"/>
    <mergeCell ref="C33:H33"/>
    <mergeCell ref="I33:J33"/>
    <mergeCell ref="K33:L33"/>
    <mergeCell ref="C34:H34"/>
    <mergeCell ref="I34:J34"/>
    <mergeCell ref="K34:L34"/>
    <mergeCell ref="C31:H31"/>
    <mergeCell ref="I31:J31"/>
    <mergeCell ref="K31:L31"/>
    <mergeCell ref="C32:D32"/>
    <mergeCell ref="E32:F32"/>
    <mergeCell ref="G32:H32"/>
    <mergeCell ref="I32:J32"/>
    <mergeCell ref="K32:L32"/>
    <mergeCell ref="C30:D30"/>
    <mergeCell ref="E30:F30"/>
    <mergeCell ref="G30:H30"/>
    <mergeCell ref="I30:J30"/>
    <mergeCell ref="K30:L30"/>
    <mergeCell ref="I2:L2"/>
    <mergeCell ref="B1:L1"/>
    <mergeCell ref="B16:G16"/>
    <mergeCell ref="H16:I16"/>
    <mergeCell ref="J16:K16"/>
    <mergeCell ref="B17:C17"/>
    <mergeCell ref="D17:E17"/>
    <mergeCell ref="F17:G17"/>
    <mergeCell ref="H17:I17"/>
    <mergeCell ref="J17:K17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3:C13"/>
    <mergeCell ref="D13:E13"/>
    <mergeCell ref="F13:G1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30"/>
  <sheetViews>
    <sheetView topLeftCell="A11" zoomScale="45" zoomScaleNormal="45" workbookViewId="0">
      <selection activeCell="W31" sqref="W31"/>
    </sheetView>
  </sheetViews>
  <sheetFormatPr defaultColWidth="17.6640625" defaultRowHeight="44.4" customHeight="1" x14ac:dyDescent="0.35"/>
  <cols>
    <col min="1" max="22" width="17.6640625" style="1"/>
    <col min="23" max="23" width="35" style="1" customWidth="1"/>
    <col min="24" max="16384" width="17.6640625" style="1"/>
  </cols>
  <sheetData>
    <row r="1" spans="2:23" ht="44.4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44.4" customHeight="1" x14ac:dyDescent="0.35">
      <c r="B2" s="158"/>
      <c r="C2" s="159"/>
      <c r="D2" s="159"/>
      <c r="E2" s="159"/>
      <c r="F2" s="159"/>
      <c r="G2" s="8"/>
      <c r="H2" s="7"/>
      <c r="I2" s="158" t="s">
        <v>9</v>
      </c>
      <c r="J2" s="159"/>
      <c r="K2" s="159"/>
      <c r="L2" s="159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44.4" customHeight="1" x14ac:dyDescent="0.35">
      <c r="B3" s="160"/>
      <c r="C3" s="161"/>
      <c r="D3" s="185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53</v>
      </c>
      <c r="P3" s="115"/>
      <c r="Q3" s="115"/>
      <c r="R3" s="36">
        <f>K4*L4+K5*L5</f>
        <v>8000</v>
      </c>
      <c r="S3" s="31">
        <v>0.876</v>
      </c>
      <c r="T3" s="34">
        <f>S3*R3</f>
        <v>7008</v>
      </c>
      <c r="U3" s="36">
        <v>96000</v>
      </c>
      <c r="V3" s="33">
        <f>U3*T3/1000</f>
        <v>672768</v>
      </c>
      <c r="W3" s="136"/>
    </row>
    <row r="4" spans="2:23" ht="44.4" customHeight="1" x14ac:dyDescent="0.35">
      <c r="B4" s="162"/>
      <c r="C4" s="163"/>
      <c r="D4" s="186"/>
      <c r="E4" s="3">
        <v>3400</v>
      </c>
      <c r="F4" s="3">
        <v>600</v>
      </c>
      <c r="G4" s="3">
        <v>1</v>
      </c>
      <c r="H4" s="6" t="s">
        <v>19</v>
      </c>
      <c r="I4" s="3" t="s">
        <v>10</v>
      </c>
      <c r="J4" s="6" t="str">
        <f>CONCATENATE($G$2,"-",$D$11,"-","3318","-","1")</f>
        <v>--3318-1</v>
      </c>
      <c r="K4" s="3">
        <f>E4</f>
        <v>3400</v>
      </c>
      <c r="L4" s="3">
        <f>G4*2</f>
        <v>2</v>
      </c>
      <c r="N4" s="17">
        <f>N3+1</f>
        <v>2</v>
      </c>
      <c r="O4" s="114" t="s">
        <v>54</v>
      </c>
      <c r="P4" s="115"/>
      <c r="Q4" s="115"/>
      <c r="R4" s="36">
        <f>K7*L7+K8*L8</f>
        <v>10984</v>
      </c>
      <c r="S4" s="31">
        <v>1.0640000000000001</v>
      </c>
      <c r="T4" s="34">
        <f t="shared" ref="T4:T6" si="0">S4*R4</f>
        <v>11686.976000000001</v>
      </c>
      <c r="U4" s="36">
        <v>96000</v>
      </c>
      <c r="V4" s="33">
        <f t="shared" ref="V4:V7" si="1">U4*T4/1000</f>
        <v>1121949.696</v>
      </c>
      <c r="W4" s="137"/>
    </row>
    <row r="5" spans="2:23" ht="44.4" customHeight="1" x14ac:dyDescent="0.35">
      <c r="B5" s="162"/>
      <c r="C5" s="163"/>
      <c r="D5" s="186"/>
      <c r="E5" s="84"/>
      <c r="F5" s="43" t="s">
        <v>46</v>
      </c>
      <c r="G5" s="43" t="s">
        <v>119</v>
      </c>
      <c r="H5" s="6" t="s">
        <v>20</v>
      </c>
      <c r="I5" s="3" t="s">
        <v>11</v>
      </c>
      <c r="J5" s="6" t="str">
        <f>CONCATENATE($G$2,"-",$D$11,"-","3318","-","2")</f>
        <v>--3318-2</v>
      </c>
      <c r="K5" s="3">
        <f>F4</f>
        <v>600</v>
      </c>
      <c r="L5" s="3">
        <f>G4*2</f>
        <v>2</v>
      </c>
      <c r="N5" s="17">
        <f t="shared" ref="N5:N12" si="2">N4+1</f>
        <v>3</v>
      </c>
      <c r="O5" s="114" t="s">
        <v>55</v>
      </c>
      <c r="P5" s="115"/>
      <c r="Q5" s="115"/>
      <c r="R5" s="36">
        <f>R4</f>
        <v>10984</v>
      </c>
      <c r="S5" s="31">
        <v>0.27100000000000002</v>
      </c>
      <c r="T5" s="34">
        <f t="shared" si="0"/>
        <v>2976.6640000000002</v>
      </c>
      <c r="U5" s="36">
        <v>96000</v>
      </c>
      <c r="V5" s="33">
        <f t="shared" si="1"/>
        <v>285759.74400000001</v>
      </c>
      <c r="W5" s="137"/>
    </row>
    <row r="6" spans="2:23" ht="44.4" customHeight="1" x14ac:dyDescent="0.35">
      <c r="B6" s="162"/>
      <c r="C6" s="163"/>
      <c r="D6" s="186"/>
      <c r="E6" s="54"/>
      <c r="F6" s="19">
        <f>F4*E4/1000</f>
        <v>2040</v>
      </c>
      <c r="G6" s="83">
        <f>SUM(T3:T7)</f>
        <v>23234.975000000002</v>
      </c>
      <c r="H6" s="6" t="s">
        <v>21</v>
      </c>
      <c r="I6" s="3" t="s">
        <v>27</v>
      </c>
      <c r="J6" s="6" t="str">
        <f>CONCATENATE($G$2,"-",$D$11,"-","3313","-","1")</f>
        <v>--3313-1</v>
      </c>
      <c r="K6" s="3">
        <f>F4-40</f>
        <v>560</v>
      </c>
      <c r="L6" s="3">
        <f>G4*2</f>
        <v>2</v>
      </c>
      <c r="N6" s="17">
        <f t="shared" si="2"/>
        <v>4</v>
      </c>
      <c r="O6" s="114" t="s">
        <v>89</v>
      </c>
      <c r="P6" s="115"/>
      <c r="Q6" s="115"/>
      <c r="R6" s="36">
        <f>K9*L9</f>
        <v>485</v>
      </c>
      <c r="S6" s="31">
        <v>0.89100000000000001</v>
      </c>
      <c r="T6" s="34">
        <f t="shared" si="0"/>
        <v>432.13499999999999</v>
      </c>
      <c r="U6" s="36">
        <v>96000</v>
      </c>
      <c r="V6" s="33">
        <f t="shared" si="1"/>
        <v>41484.959999999999</v>
      </c>
      <c r="W6" s="138"/>
    </row>
    <row r="7" spans="2:23" ht="44.4" customHeight="1" x14ac:dyDescent="0.35">
      <c r="B7" s="162"/>
      <c r="C7" s="163"/>
      <c r="D7" s="186"/>
      <c r="E7" s="2"/>
      <c r="F7" s="2"/>
      <c r="G7" s="2"/>
      <c r="H7" s="6" t="s">
        <v>22</v>
      </c>
      <c r="I7" s="3" t="s">
        <v>17</v>
      </c>
      <c r="J7" s="6" t="str">
        <f>CONCATENATE($G$2,"-",$D$11,"-","3202","-","1")</f>
        <v>--3202-1</v>
      </c>
      <c r="K7" s="3">
        <f>ROUNDDOWN(IF((E4-105)/4&lt;0,"0",(E4-105)/4),0)</f>
        <v>823</v>
      </c>
      <c r="L7" s="3">
        <f>G4*8</f>
        <v>8</v>
      </c>
      <c r="N7" s="17">
        <f t="shared" si="2"/>
        <v>5</v>
      </c>
      <c r="O7" s="114" t="s">
        <v>87</v>
      </c>
      <c r="P7" s="115"/>
      <c r="Q7" s="115"/>
      <c r="R7" s="36">
        <f>K6*L6</f>
        <v>1120</v>
      </c>
      <c r="S7" s="31">
        <v>1.01</v>
      </c>
      <c r="T7" s="34">
        <f t="shared" ref="T7" si="3">S7*R7</f>
        <v>1131.2</v>
      </c>
      <c r="U7" s="36">
        <v>96000</v>
      </c>
      <c r="V7" s="33">
        <f t="shared" si="1"/>
        <v>108595.2</v>
      </c>
      <c r="W7" s="44"/>
    </row>
    <row r="8" spans="2:23" ht="44.4" customHeight="1" x14ac:dyDescent="0.35">
      <c r="B8" s="162"/>
      <c r="C8" s="163"/>
      <c r="D8" s="186"/>
      <c r="E8" s="2"/>
      <c r="F8" s="2"/>
      <c r="G8" s="2"/>
      <c r="H8" s="6" t="s">
        <v>24</v>
      </c>
      <c r="I8" s="3" t="s">
        <v>18</v>
      </c>
      <c r="J8" s="6" t="str">
        <f>CONCATENATE($G$2,"-",$D$11,"-","3202","-","2")</f>
        <v>--3202-2</v>
      </c>
      <c r="K8" s="3">
        <f>IF(F4-40-10&lt;0,"0",F4-40-10)</f>
        <v>550</v>
      </c>
      <c r="L8" s="3">
        <f>G4*8</f>
        <v>8</v>
      </c>
      <c r="N8" s="17">
        <f t="shared" si="2"/>
        <v>6</v>
      </c>
      <c r="O8" s="114" t="s">
        <v>78</v>
      </c>
      <c r="P8" s="115"/>
      <c r="Q8" s="119"/>
      <c r="R8" s="36"/>
      <c r="S8" s="31"/>
      <c r="T8" s="72"/>
      <c r="U8" s="52">
        <v>0.05</v>
      </c>
      <c r="V8" s="36">
        <f>SUM(V3:V7)*U8</f>
        <v>111527.88</v>
      </c>
      <c r="W8" s="44"/>
    </row>
    <row r="9" spans="2:23" ht="44.4" customHeight="1" x14ac:dyDescent="0.35">
      <c r="B9" s="162"/>
      <c r="C9" s="163"/>
      <c r="D9" s="186"/>
      <c r="E9" s="2"/>
      <c r="F9" s="2"/>
      <c r="G9" s="2"/>
      <c r="H9" s="6" t="s">
        <v>25</v>
      </c>
      <c r="I9" s="3" t="s">
        <v>16</v>
      </c>
      <c r="J9" s="6" t="str">
        <f>CONCATENATE($G$2,"-",$D$11,"-","3323A","-","1")</f>
        <v>--3323A-1</v>
      </c>
      <c r="K9" s="6">
        <f>ROUNDDOWN(K8-28.2*2-8,0)</f>
        <v>485</v>
      </c>
      <c r="L9" s="3">
        <f>G4*1</f>
        <v>1</v>
      </c>
      <c r="N9" s="17">
        <f t="shared" si="2"/>
        <v>7</v>
      </c>
      <c r="O9" s="114" t="s">
        <v>83</v>
      </c>
      <c r="P9" s="115"/>
      <c r="Q9" s="115"/>
      <c r="R9" s="31"/>
      <c r="S9" s="31"/>
      <c r="T9" s="35">
        <v>4</v>
      </c>
      <c r="U9" s="36">
        <v>4400</v>
      </c>
      <c r="V9" s="33">
        <f t="shared" ref="V9:V11" si="4">U9*T9</f>
        <v>17600</v>
      </c>
      <c r="W9" s="17"/>
    </row>
    <row r="10" spans="2:23" ht="44.4" customHeight="1" x14ac:dyDescent="0.35">
      <c r="B10" s="162"/>
      <c r="C10" s="163"/>
      <c r="D10" s="186"/>
      <c r="E10" s="3"/>
      <c r="F10" s="3"/>
      <c r="G10" s="3"/>
      <c r="H10" s="3"/>
      <c r="I10" s="156" t="s">
        <v>79</v>
      </c>
      <c r="J10" s="3" t="s">
        <v>6</v>
      </c>
      <c r="K10" s="3" t="s">
        <v>7</v>
      </c>
      <c r="L10" s="5" t="s">
        <v>2</v>
      </c>
      <c r="N10" s="17">
        <f t="shared" si="2"/>
        <v>8</v>
      </c>
      <c r="O10" s="114" t="s">
        <v>82</v>
      </c>
      <c r="P10" s="115"/>
      <c r="Q10" s="115"/>
      <c r="R10" s="31"/>
      <c r="S10" s="31"/>
      <c r="T10" s="35">
        <f>4*4</f>
        <v>16</v>
      </c>
      <c r="U10" s="36">
        <v>5100</v>
      </c>
      <c r="V10" s="33">
        <f t="shared" si="4"/>
        <v>81600</v>
      </c>
      <c r="W10" s="28" t="s">
        <v>73</v>
      </c>
    </row>
    <row r="11" spans="2:23" ht="44.4" customHeight="1" x14ac:dyDescent="0.35">
      <c r="B11" s="164"/>
      <c r="C11" s="165"/>
      <c r="D11" s="187"/>
      <c r="E11" s="3"/>
      <c r="F11" s="3"/>
      <c r="G11" s="3"/>
      <c r="H11" s="3"/>
      <c r="I11" s="157"/>
      <c r="J11" s="3">
        <f>IF(K7-120&gt;0,K7-120,"0")</f>
        <v>703</v>
      </c>
      <c r="K11" s="3">
        <f>IF(K8-120&gt;0,K8-120,"0")</f>
        <v>430</v>
      </c>
      <c r="L11" s="3">
        <f>G4*4</f>
        <v>4</v>
      </c>
      <c r="N11" s="17">
        <f t="shared" si="2"/>
        <v>9</v>
      </c>
      <c r="O11" s="114" t="s">
        <v>61</v>
      </c>
      <c r="P11" s="115"/>
      <c r="Q11" s="115"/>
      <c r="R11" s="31"/>
      <c r="S11" s="31"/>
      <c r="T11" s="35">
        <f>T10*2+T9</f>
        <v>36</v>
      </c>
      <c r="U11" s="36">
        <v>100</v>
      </c>
      <c r="V11" s="33">
        <f t="shared" si="4"/>
        <v>3600</v>
      </c>
      <c r="W11" s="28" t="s">
        <v>74</v>
      </c>
    </row>
    <row r="12" spans="2:23" ht="44.4" customHeight="1" x14ac:dyDescent="0.35">
      <c r="N12" s="17">
        <f t="shared" si="2"/>
        <v>10</v>
      </c>
      <c r="O12" s="116" t="s">
        <v>65</v>
      </c>
      <c r="P12" s="117"/>
      <c r="Q12" s="117"/>
      <c r="R12" s="117"/>
      <c r="S12" s="118"/>
      <c r="T12" s="37"/>
      <c r="U12" s="38"/>
      <c r="V12" s="39">
        <f>SUM(V3:V11)</f>
        <v>2444885.48</v>
      </c>
      <c r="W12" s="17"/>
    </row>
    <row r="13" spans="2:23" ht="44.4" customHeight="1" x14ac:dyDescent="0.35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N13" s="26" t="s">
        <v>14</v>
      </c>
      <c r="O13" s="121" t="s">
        <v>51</v>
      </c>
      <c r="P13" s="121"/>
      <c r="Q13" s="121"/>
      <c r="R13" s="26" t="s">
        <v>52</v>
      </c>
      <c r="S13" s="32" t="s">
        <v>58</v>
      </c>
      <c r="T13" s="32"/>
      <c r="U13" s="26" t="s">
        <v>44</v>
      </c>
      <c r="V13" s="26" t="s">
        <v>45</v>
      </c>
      <c r="W13" s="2"/>
    </row>
    <row r="14" spans="2:23" ht="44.4" customHeight="1" x14ac:dyDescent="0.35">
      <c r="B14" s="122"/>
      <c r="C14" s="122"/>
      <c r="D14" s="130"/>
      <c r="E14" s="130"/>
      <c r="F14" s="130"/>
      <c r="G14" s="130"/>
      <c r="H14" s="130"/>
      <c r="I14" s="130"/>
      <c r="J14" s="122"/>
      <c r="K14" s="122"/>
      <c r="N14" s="17">
        <v>1</v>
      </c>
      <c r="O14" s="114" t="s">
        <v>66</v>
      </c>
      <c r="P14" s="115"/>
      <c r="Q14" s="115"/>
      <c r="R14" s="40">
        <f>R3+R4+R6+R7*2</f>
        <v>21709</v>
      </c>
      <c r="S14" s="2">
        <v>1</v>
      </c>
      <c r="T14" s="27"/>
      <c r="U14" s="40">
        <v>1000</v>
      </c>
      <c r="V14" s="40">
        <f>U14*R14*S14/1000</f>
        <v>21709</v>
      </c>
      <c r="W14" s="2"/>
    </row>
    <row r="15" spans="2:23" ht="44.4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  <c r="N15" s="17">
        <f>N14+1</f>
        <v>2</v>
      </c>
      <c r="O15" s="114" t="s">
        <v>47</v>
      </c>
      <c r="P15" s="115"/>
      <c r="Q15" s="115"/>
      <c r="R15" s="40">
        <f>R4*2</f>
        <v>21968</v>
      </c>
      <c r="S15" s="2">
        <v>1</v>
      </c>
      <c r="T15" s="27"/>
      <c r="U15" s="40">
        <v>1000</v>
      </c>
      <c r="V15" s="40">
        <f>U15*R15*S15/1000</f>
        <v>21968</v>
      </c>
      <c r="W15" s="2"/>
    </row>
    <row r="16" spans="2:23" ht="44.4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22"/>
      <c r="K16" s="122"/>
      <c r="N16" s="17">
        <f t="shared" ref="N16:N19" si="5">N15+1</f>
        <v>3</v>
      </c>
      <c r="O16" s="114" t="s">
        <v>72</v>
      </c>
      <c r="P16" s="115"/>
      <c r="Q16" s="115"/>
      <c r="R16" s="40"/>
      <c r="S16" s="2">
        <v>1</v>
      </c>
      <c r="T16" s="27"/>
      <c r="U16" s="40">
        <v>2500</v>
      </c>
      <c r="V16" s="40">
        <f>U16*S16</f>
        <v>2500</v>
      </c>
      <c r="W16" s="28" t="s">
        <v>75</v>
      </c>
    </row>
    <row r="17" spans="2:23" ht="44.4" customHeight="1" x14ac:dyDescent="0.35">
      <c r="B17" s="122"/>
      <c r="C17" s="122"/>
      <c r="D17" s="122"/>
      <c r="E17" s="122"/>
      <c r="F17" s="122"/>
      <c r="G17" s="122"/>
      <c r="H17" s="130"/>
      <c r="I17" s="130"/>
      <c r="J17" s="122"/>
      <c r="K17" s="122"/>
      <c r="N17" s="17">
        <f t="shared" si="5"/>
        <v>4</v>
      </c>
      <c r="O17" s="114" t="s">
        <v>68</v>
      </c>
      <c r="P17" s="115"/>
      <c r="Q17" s="119"/>
      <c r="R17" s="40"/>
      <c r="S17" s="54">
        <v>1</v>
      </c>
      <c r="T17" s="27"/>
      <c r="U17" s="40">
        <v>1000</v>
      </c>
      <c r="V17" s="40">
        <f t="shared" ref="V17:V18" si="6">U17*S17</f>
        <v>1000</v>
      </c>
      <c r="W17" s="28"/>
    </row>
    <row r="18" spans="2:23" ht="44.4" customHeight="1" x14ac:dyDescent="0.35">
      <c r="B18" s="122"/>
      <c r="C18" s="122"/>
      <c r="D18" s="130"/>
      <c r="E18" s="130"/>
      <c r="F18" s="130"/>
      <c r="G18" s="130"/>
      <c r="H18" s="130"/>
      <c r="I18" s="130"/>
      <c r="J18" s="122"/>
      <c r="K18" s="122"/>
      <c r="N18" s="17">
        <f t="shared" si="5"/>
        <v>5</v>
      </c>
      <c r="O18" s="114" t="s">
        <v>70</v>
      </c>
      <c r="P18" s="115"/>
      <c r="Q18" s="119"/>
      <c r="R18" s="40"/>
      <c r="S18" s="2">
        <v>1</v>
      </c>
      <c r="T18" s="27"/>
      <c r="U18" s="40">
        <v>2000</v>
      </c>
      <c r="V18" s="40">
        <f t="shared" si="6"/>
        <v>2000</v>
      </c>
      <c r="W18" s="2"/>
    </row>
    <row r="19" spans="2:23" ht="44.4" customHeight="1" x14ac:dyDescent="0.35">
      <c r="B19" s="122"/>
      <c r="C19" s="122"/>
      <c r="D19" s="122"/>
      <c r="E19" s="122"/>
      <c r="F19" s="122"/>
      <c r="G19" s="122"/>
      <c r="H19" s="130"/>
      <c r="I19" s="130"/>
      <c r="J19" s="122"/>
      <c r="K19" s="122"/>
      <c r="N19" s="17">
        <f t="shared" si="5"/>
        <v>6</v>
      </c>
      <c r="O19" s="131" t="s">
        <v>69</v>
      </c>
      <c r="P19" s="131"/>
      <c r="Q19" s="131"/>
      <c r="R19" s="131"/>
      <c r="S19" s="131"/>
      <c r="T19" s="37"/>
      <c r="U19" s="38"/>
      <c r="V19" s="39">
        <f>SUM(V14:V18)</f>
        <v>49177</v>
      </c>
      <c r="W19" s="2"/>
    </row>
    <row r="20" spans="2:23" ht="44.4" customHeight="1" x14ac:dyDescent="0.35">
      <c r="B20" s="122"/>
      <c r="C20" s="122"/>
      <c r="D20" s="122"/>
      <c r="E20" s="122"/>
      <c r="F20" s="122"/>
      <c r="G20" s="122"/>
      <c r="H20" s="139"/>
      <c r="I20" s="139"/>
      <c r="J20" s="122"/>
      <c r="K20" s="122"/>
      <c r="N20" s="96"/>
      <c r="O20" s="111" t="s">
        <v>145</v>
      </c>
      <c r="P20" s="112"/>
      <c r="Q20" s="112"/>
      <c r="R20" s="112"/>
      <c r="S20" s="113"/>
      <c r="T20" s="98"/>
      <c r="U20" s="99"/>
      <c r="V20" s="100">
        <f>V12+V19</f>
        <v>2494062.48</v>
      </c>
      <c r="W20" s="97"/>
    </row>
    <row r="21" spans="2:23" ht="44.4" customHeight="1" x14ac:dyDescent="0.35">
      <c r="B21" s="122"/>
      <c r="C21" s="122"/>
      <c r="D21" s="122"/>
      <c r="E21" s="122"/>
      <c r="F21" s="122"/>
      <c r="G21" s="122"/>
      <c r="H21" s="130"/>
      <c r="I21" s="130"/>
      <c r="J21" s="122"/>
      <c r="K21" s="122"/>
      <c r="U21" s="1">
        <f>F6*250</f>
        <v>510000</v>
      </c>
      <c r="V21" s="1">
        <f>(J11*K11*L11)/1000</f>
        <v>1209.1600000000001</v>
      </c>
    </row>
    <row r="22" spans="2:23" ht="44.4" customHeight="1" x14ac:dyDescent="0.35">
      <c r="S22" s="1">
        <v>2200</v>
      </c>
      <c r="U22" s="1">
        <v>620000</v>
      </c>
      <c r="V22" s="100">
        <f>V21*220</f>
        <v>266015.2</v>
      </c>
      <c r="W22" s="100">
        <f>F6*2200</f>
        <v>4488000</v>
      </c>
    </row>
    <row r="23" spans="2:23" ht="44.4" customHeight="1" x14ac:dyDescent="0.35">
      <c r="S23" s="100">
        <f>S22*F6</f>
        <v>4488000</v>
      </c>
      <c r="U23" s="1">
        <f>F6*200</f>
        <v>408000</v>
      </c>
      <c r="V23" s="1">
        <f>F6*350</f>
        <v>714000</v>
      </c>
      <c r="W23" s="102">
        <f>V24/W22</f>
        <v>0.91222764705882342</v>
      </c>
    </row>
    <row r="24" spans="2:23" ht="44.4" customHeight="1" x14ac:dyDescent="0.35">
      <c r="S24" s="1">
        <v>620000</v>
      </c>
      <c r="V24" s="22">
        <f>V23+V22+V20+U22</f>
        <v>4094077.6799999997</v>
      </c>
    </row>
    <row r="25" spans="2:23" ht="44.4" customHeight="1" x14ac:dyDescent="0.35">
      <c r="S25" s="22">
        <f>V24+S24</f>
        <v>4714077.68</v>
      </c>
      <c r="V25" s="1">
        <v>1033000</v>
      </c>
      <c r="W25" s="100" t="s">
        <v>155</v>
      </c>
    </row>
    <row r="26" spans="2:23" ht="44.4" customHeight="1" x14ac:dyDescent="0.35">
      <c r="V26" s="1">
        <v>0</v>
      </c>
      <c r="W26" s="1">
        <v>4</v>
      </c>
    </row>
    <row r="27" spans="2:23" ht="44.4" customHeight="1" x14ac:dyDescent="0.35">
      <c r="W27" s="1">
        <f>3760*1850</f>
        <v>6956000</v>
      </c>
    </row>
    <row r="28" spans="2:23" ht="44.4" customHeight="1" x14ac:dyDescent="0.35">
      <c r="W28" s="102" t="e">
        <f>W25/W27</f>
        <v>#VALUE!</v>
      </c>
    </row>
    <row r="29" spans="2:23" ht="44.4" customHeight="1" x14ac:dyDescent="0.35">
      <c r="W29" s="22">
        <f>V20+U21</f>
        <v>3004062.48</v>
      </c>
    </row>
    <row r="30" spans="2:23" ht="44.4" customHeight="1" x14ac:dyDescent="0.35">
      <c r="W30" s="106">
        <f>W29/F6</f>
        <v>1472.5796470588234</v>
      </c>
    </row>
  </sheetData>
  <mergeCells count="65">
    <mergeCell ref="O11:Q11"/>
    <mergeCell ref="O12:S12"/>
    <mergeCell ref="O18:Q18"/>
    <mergeCell ref="O19:S19"/>
    <mergeCell ref="O13:Q13"/>
    <mergeCell ref="O14:Q14"/>
    <mergeCell ref="O15:Q15"/>
    <mergeCell ref="O16:Q16"/>
    <mergeCell ref="O17:Q17"/>
    <mergeCell ref="B1:L1"/>
    <mergeCell ref="N1:W1"/>
    <mergeCell ref="O2:Q2"/>
    <mergeCell ref="O3:Q3"/>
    <mergeCell ref="W3:W6"/>
    <mergeCell ref="O4:Q4"/>
    <mergeCell ref="O5:Q5"/>
    <mergeCell ref="O6:Q6"/>
    <mergeCell ref="B2:F2"/>
    <mergeCell ref="B3:D11"/>
    <mergeCell ref="I10:I11"/>
    <mergeCell ref="I2:L2"/>
    <mergeCell ref="O7:Q7"/>
    <mergeCell ref="O8:Q8"/>
    <mergeCell ref="O9:Q9"/>
    <mergeCell ref="O10:Q10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B21:C21"/>
    <mergeCell ref="D21:E21"/>
    <mergeCell ref="F21:G21"/>
    <mergeCell ref="H21:I21"/>
    <mergeCell ref="J21:K21"/>
    <mergeCell ref="O20:S20"/>
    <mergeCell ref="B19:G19"/>
    <mergeCell ref="H19:I19"/>
    <mergeCell ref="J19:K19"/>
    <mergeCell ref="B20:G20"/>
    <mergeCell ref="H20:I20"/>
    <mergeCell ref="J20:K2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Y28"/>
  <sheetViews>
    <sheetView zoomScale="45" zoomScaleNormal="45" workbookViewId="0">
      <selection activeCell="T9" sqref="T9"/>
    </sheetView>
  </sheetViews>
  <sheetFormatPr defaultColWidth="17.44140625" defaultRowHeight="36" customHeight="1" x14ac:dyDescent="0.35"/>
  <cols>
    <col min="1" max="2" width="17.44140625" style="1"/>
    <col min="3" max="3" width="17.44140625" style="21"/>
    <col min="4" max="13" width="17.44140625" style="1"/>
    <col min="14" max="14" width="11.21875" style="1" customWidth="1"/>
    <col min="15" max="22" width="17.44140625" style="1"/>
    <col min="23" max="23" width="35" style="1" customWidth="1"/>
    <col min="24" max="16384" width="17.44140625" style="1"/>
  </cols>
  <sheetData>
    <row r="1" spans="2:25" ht="36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5" ht="36" customHeight="1" x14ac:dyDescent="0.35">
      <c r="B2" s="123" t="s">
        <v>8</v>
      </c>
      <c r="C2" s="123"/>
      <c r="D2" s="123"/>
      <c r="E2" s="123"/>
      <c r="F2" s="123"/>
      <c r="G2" s="8"/>
      <c r="H2" s="124" t="s">
        <v>14</v>
      </c>
      <c r="I2" s="123" t="s">
        <v>9</v>
      </c>
      <c r="J2" s="123"/>
      <c r="K2" s="123"/>
      <c r="L2" s="123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5" ht="36" customHeight="1" x14ac:dyDescent="0.35">
      <c r="B3" s="140"/>
      <c r="C3" s="140"/>
      <c r="D3" s="140"/>
      <c r="E3" s="3" t="s">
        <v>0</v>
      </c>
      <c r="F3" s="3" t="s">
        <v>1</v>
      </c>
      <c r="G3" s="3" t="s">
        <v>2</v>
      </c>
      <c r="H3" s="124"/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92</v>
      </c>
      <c r="P3" s="115"/>
      <c r="Q3" s="115"/>
      <c r="R3" s="36">
        <f>K4*L4+K5*L5</f>
        <v>8080</v>
      </c>
      <c r="S3" s="80">
        <v>0.94899999999999995</v>
      </c>
      <c r="T3" s="34">
        <f>S3*R3</f>
        <v>7667.92</v>
      </c>
      <c r="U3" s="36">
        <v>102000</v>
      </c>
      <c r="V3" s="33">
        <f>U3*T3/1000</f>
        <v>782127.84</v>
      </c>
      <c r="W3" s="73"/>
    </row>
    <row r="4" spans="2:25" ht="36" customHeight="1" x14ac:dyDescent="0.35">
      <c r="B4" s="140"/>
      <c r="C4" s="140"/>
      <c r="D4" s="140"/>
      <c r="E4" s="3">
        <v>2510</v>
      </c>
      <c r="F4" s="3">
        <v>1530</v>
      </c>
      <c r="G4" s="3">
        <v>1</v>
      </c>
      <c r="H4" s="6" t="s">
        <v>19</v>
      </c>
      <c r="I4" s="3" t="s">
        <v>10</v>
      </c>
      <c r="J4" s="6" t="str">
        <f>CONCATENATE($G$2,"-",$D$9,"-","20532","-","1")</f>
        <v>--20532-1</v>
      </c>
      <c r="K4" s="3">
        <f>E4</f>
        <v>2510</v>
      </c>
      <c r="L4" s="3">
        <f>G4*2</f>
        <v>2</v>
      </c>
      <c r="N4" s="17">
        <f>N3+1</f>
        <v>2</v>
      </c>
      <c r="O4" s="114" t="s">
        <v>93</v>
      </c>
      <c r="P4" s="115"/>
      <c r="Q4" s="115"/>
      <c r="R4" s="36">
        <f>K6*L6+K7*L7</f>
        <v>10792</v>
      </c>
      <c r="S4" s="80">
        <v>0.93600000000000005</v>
      </c>
      <c r="T4" s="34">
        <f t="shared" ref="T4:T5" si="0">S4*R4</f>
        <v>10101.312</v>
      </c>
      <c r="U4" s="36">
        <v>102000</v>
      </c>
      <c r="V4" s="33">
        <f t="shared" ref="V4:V5" si="1">U4*T4/1000</f>
        <v>1030333.824</v>
      </c>
      <c r="W4" s="74"/>
    </row>
    <row r="5" spans="2:25" ht="36" customHeight="1" x14ac:dyDescent="0.35">
      <c r="B5" s="140"/>
      <c r="C5" s="140"/>
      <c r="D5" s="140"/>
      <c r="E5" s="42"/>
      <c r="F5" s="43" t="s">
        <v>46</v>
      </c>
      <c r="G5" s="43" t="s">
        <v>119</v>
      </c>
      <c r="H5" s="6" t="s">
        <v>20</v>
      </c>
      <c r="I5" s="3" t="s">
        <v>11</v>
      </c>
      <c r="J5" s="6" t="str">
        <f>CONCATENATE($G$2,"-",$D$9,"-","20532","-","2")</f>
        <v>--20532-2</v>
      </c>
      <c r="K5" s="3">
        <f>F4</f>
        <v>1530</v>
      </c>
      <c r="L5" s="3">
        <f>G4*2</f>
        <v>2</v>
      </c>
      <c r="N5" s="17">
        <f t="shared" ref="N5:N9" si="2">N4+1</f>
        <v>3</v>
      </c>
      <c r="O5" s="114" t="s">
        <v>94</v>
      </c>
      <c r="P5" s="115"/>
      <c r="Q5" s="115"/>
      <c r="R5" s="36">
        <f>K7*2</f>
        <v>2904</v>
      </c>
      <c r="S5" s="80">
        <v>0.36499999999999999</v>
      </c>
      <c r="T5" s="34">
        <f t="shared" si="0"/>
        <v>1059.96</v>
      </c>
      <c r="U5" s="36">
        <v>102000</v>
      </c>
      <c r="V5" s="33">
        <f t="shared" si="1"/>
        <v>108115.92</v>
      </c>
      <c r="W5" s="74"/>
    </row>
    <row r="6" spans="2:25" ht="36" customHeight="1" x14ac:dyDescent="0.35">
      <c r="B6" s="140"/>
      <c r="C6" s="140"/>
      <c r="D6" s="140"/>
      <c r="E6" s="54"/>
      <c r="F6" s="19">
        <f>F4*E4/1000</f>
        <v>3840.3</v>
      </c>
      <c r="G6" s="83">
        <f>SUM(T3:T5)</f>
        <v>18829.191999999999</v>
      </c>
      <c r="H6" s="6" t="s">
        <v>21</v>
      </c>
      <c r="I6" s="3" t="s">
        <v>12</v>
      </c>
      <c r="J6" s="6" t="str">
        <f>CONCATENATE($G$2,"-",$D$9,"-","20526","-","1")</f>
        <v>--20526-1</v>
      </c>
      <c r="K6" s="3">
        <f>IF(ROUNDDOWN((E4-18)/2,0)&lt;0,"0",ROUNDDOWN((E4-18)/2,0))</f>
        <v>1246</v>
      </c>
      <c r="L6" s="3">
        <f>G4*4</f>
        <v>4</v>
      </c>
      <c r="N6" s="17">
        <f t="shared" si="2"/>
        <v>4</v>
      </c>
      <c r="O6" s="114" t="s">
        <v>78</v>
      </c>
      <c r="P6" s="115"/>
      <c r="Q6" s="119"/>
      <c r="R6" s="36"/>
      <c r="S6" s="31"/>
      <c r="T6" s="72"/>
      <c r="U6" s="52">
        <v>0.05</v>
      </c>
      <c r="V6" s="36">
        <f>SUM(V3:V5)*U6</f>
        <v>96028.879199999996</v>
      </c>
      <c r="W6" s="44"/>
    </row>
    <row r="7" spans="2:25" ht="36" customHeight="1" x14ac:dyDescent="0.35">
      <c r="B7" s="140"/>
      <c r="C7" s="140"/>
      <c r="D7" s="140"/>
      <c r="E7" s="2"/>
      <c r="F7" s="2"/>
      <c r="G7" s="2"/>
      <c r="H7" s="6" t="s">
        <v>22</v>
      </c>
      <c r="I7" s="3" t="s">
        <v>13</v>
      </c>
      <c r="J7" s="6" t="str">
        <f>CONCATENATE($G$2,"-",$D$9,"-","20526","-","2")</f>
        <v>--20526-2</v>
      </c>
      <c r="K7" s="3">
        <f>IF(F4-78&lt;0,"0",F4-78)</f>
        <v>1452</v>
      </c>
      <c r="L7" s="3">
        <f>G4*4</f>
        <v>4</v>
      </c>
      <c r="N7" s="17">
        <f t="shared" si="2"/>
        <v>5</v>
      </c>
      <c r="O7" s="189" t="s">
        <v>117</v>
      </c>
      <c r="P7" s="190"/>
      <c r="Q7" s="190"/>
      <c r="R7" s="31"/>
      <c r="S7" s="31"/>
      <c r="T7" s="35">
        <v>4</v>
      </c>
      <c r="U7" s="46">
        <v>4900</v>
      </c>
      <c r="V7" s="33">
        <f t="shared" ref="V7:V8" si="3">U7*T7</f>
        <v>19600</v>
      </c>
      <c r="W7" s="17"/>
    </row>
    <row r="8" spans="2:25" ht="36" customHeight="1" x14ac:dyDescent="0.35">
      <c r="B8" s="140"/>
      <c r="C8" s="140"/>
      <c r="D8" s="140"/>
      <c r="E8" s="3"/>
      <c r="F8" s="3"/>
      <c r="G8" s="3"/>
      <c r="H8" s="6" t="s">
        <v>24</v>
      </c>
      <c r="I8" s="188" t="s">
        <v>79</v>
      </c>
      <c r="J8" s="3" t="s">
        <v>6</v>
      </c>
      <c r="K8" s="3" t="s">
        <v>7</v>
      </c>
      <c r="L8" s="5" t="s">
        <v>2</v>
      </c>
      <c r="N8" s="17">
        <f t="shared" si="2"/>
        <v>6</v>
      </c>
      <c r="O8" s="189" t="s">
        <v>118</v>
      </c>
      <c r="P8" s="190"/>
      <c r="Q8" s="190"/>
      <c r="R8" s="31"/>
      <c r="S8" s="31"/>
      <c r="T8" s="35">
        <v>4</v>
      </c>
      <c r="U8" s="46">
        <v>2700</v>
      </c>
      <c r="V8" s="33">
        <f t="shared" si="3"/>
        <v>10800</v>
      </c>
      <c r="W8" s="28" t="s">
        <v>73</v>
      </c>
    </row>
    <row r="9" spans="2:25" ht="36" customHeight="1" x14ac:dyDescent="0.35">
      <c r="B9" s="140"/>
      <c r="C9" s="140"/>
      <c r="D9" s="140"/>
      <c r="E9" s="3"/>
      <c r="F9" s="3"/>
      <c r="G9" s="3"/>
      <c r="H9" s="6" t="s">
        <v>25</v>
      </c>
      <c r="I9" s="188"/>
      <c r="J9" s="3">
        <f>IF(K6-100&gt;0,K6-100,"0")</f>
        <v>1146</v>
      </c>
      <c r="K9" s="3">
        <f>IF(K7-100&gt;0,K7-100,"0")</f>
        <v>1352</v>
      </c>
      <c r="L9" s="3">
        <f>G4*2</f>
        <v>2</v>
      </c>
      <c r="M9" s="25"/>
      <c r="N9" s="17">
        <f t="shared" si="2"/>
        <v>7</v>
      </c>
      <c r="O9" s="116" t="s">
        <v>65</v>
      </c>
      <c r="P9" s="117"/>
      <c r="Q9" s="117"/>
      <c r="R9" s="117"/>
      <c r="S9" s="118"/>
      <c r="T9" s="37"/>
      <c r="U9" s="38"/>
      <c r="V9" s="39">
        <f>SUM(V3:V8)</f>
        <v>2047006.4631999999</v>
      </c>
      <c r="W9" s="17"/>
      <c r="X9" s="25"/>
    </row>
    <row r="10" spans="2:25" ht="36" customHeight="1" x14ac:dyDescent="0.35">
      <c r="B10" s="140"/>
      <c r="C10" s="140"/>
      <c r="D10" s="140"/>
      <c r="E10" s="3"/>
      <c r="F10" s="3"/>
      <c r="G10" s="3"/>
      <c r="H10" s="3"/>
      <c r="I10" s="3"/>
      <c r="J10" s="3"/>
      <c r="K10" s="3"/>
      <c r="L10" s="3">
        <f>J9*K9*L9/1000000</f>
        <v>3.0987840000000002</v>
      </c>
      <c r="N10" s="26" t="s">
        <v>14</v>
      </c>
      <c r="O10" s="121" t="s">
        <v>51</v>
      </c>
      <c r="P10" s="121"/>
      <c r="Q10" s="121"/>
      <c r="R10" s="26" t="s">
        <v>52</v>
      </c>
      <c r="S10" s="32" t="s">
        <v>58</v>
      </c>
      <c r="T10" s="32"/>
      <c r="U10" s="26" t="s">
        <v>44</v>
      </c>
      <c r="V10" s="26" t="s">
        <v>45</v>
      </c>
      <c r="W10" s="2"/>
      <c r="Y10" s="25"/>
    </row>
    <row r="11" spans="2:25" s="25" customFormat="1" ht="36" customHeight="1" x14ac:dyDescent="0.35"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">
        <v>220000</v>
      </c>
      <c r="M11" s="1"/>
      <c r="N11" s="17">
        <v>1</v>
      </c>
      <c r="O11" s="114" t="s">
        <v>95</v>
      </c>
      <c r="P11" s="115"/>
      <c r="Q11" s="115"/>
      <c r="R11" s="40">
        <f>R4*2</f>
        <v>21584</v>
      </c>
      <c r="S11" s="2">
        <v>1</v>
      </c>
      <c r="T11" s="27"/>
      <c r="U11" s="40">
        <v>1000</v>
      </c>
      <c r="V11" s="40">
        <f>U11*R11*S11/1000</f>
        <v>21584</v>
      </c>
      <c r="W11" s="2"/>
      <c r="X11" s="1"/>
      <c r="Y11" s="1"/>
    </row>
    <row r="12" spans="2:25" ht="36" customHeight="1" x14ac:dyDescent="0.35">
      <c r="B12" s="122"/>
      <c r="C12" s="122"/>
      <c r="D12" s="130"/>
      <c r="E12" s="130"/>
      <c r="F12" s="130"/>
      <c r="G12" s="130"/>
      <c r="H12" s="130"/>
      <c r="I12" s="130"/>
      <c r="J12" s="122"/>
      <c r="K12" s="122"/>
      <c r="L12" s="100">
        <f>L11*L10</f>
        <v>681732.4800000001</v>
      </c>
      <c r="N12" s="17">
        <f t="shared" ref="N12:N15" si="4">N11+1</f>
        <v>2</v>
      </c>
      <c r="O12" s="114" t="s">
        <v>96</v>
      </c>
      <c r="P12" s="115"/>
      <c r="Q12" s="115"/>
      <c r="R12" s="40"/>
      <c r="S12" s="2">
        <v>4</v>
      </c>
      <c r="T12" s="27"/>
      <c r="U12" s="40">
        <v>500</v>
      </c>
      <c r="V12" s="40">
        <f>U12*S12</f>
        <v>2000</v>
      </c>
      <c r="W12" s="28" t="s">
        <v>75</v>
      </c>
    </row>
    <row r="13" spans="2:25" ht="36" customHeight="1" x14ac:dyDescent="0.35">
      <c r="B13" s="122"/>
      <c r="C13" s="122"/>
      <c r="D13" s="130"/>
      <c r="E13" s="130"/>
      <c r="F13" s="130"/>
      <c r="G13" s="130"/>
      <c r="H13" s="130"/>
      <c r="I13" s="130"/>
      <c r="J13" s="122"/>
      <c r="K13" s="122"/>
      <c r="L13" s="1">
        <f>F6*200</f>
        <v>768060</v>
      </c>
      <c r="N13" s="17">
        <f t="shared" si="4"/>
        <v>3</v>
      </c>
      <c r="O13" s="114" t="s">
        <v>68</v>
      </c>
      <c r="P13" s="115"/>
      <c r="Q13" s="119"/>
      <c r="R13" s="40"/>
      <c r="S13" s="54">
        <v>1</v>
      </c>
      <c r="T13" s="27"/>
      <c r="U13" s="40">
        <v>1000</v>
      </c>
      <c r="V13" s="40">
        <f t="shared" ref="V13:V14" si="5">U13*S13</f>
        <v>1000</v>
      </c>
      <c r="W13" s="28"/>
    </row>
    <row r="14" spans="2:25" ht="36" customHeight="1" x14ac:dyDescent="0.35">
      <c r="B14" s="122"/>
      <c r="C14" s="122"/>
      <c r="D14" s="130"/>
      <c r="E14" s="130"/>
      <c r="F14" s="130"/>
      <c r="G14" s="130"/>
      <c r="H14" s="130"/>
      <c r="I14" s="130"/>
      <c r="J14" s="122"/>
      <c r="K14" s="122"/>
      <c r="L14" s="22">
        <f>F6*200</f>
        <v>768060</v>
      </c>
      <c r="N14" s="17">
        <f t="shared" si="4"/>
        <v>4</v>
      </c>
      <c r="O14" s="114" t="s">
        <v>70</v>
      </c>
      <c r="P14" s="115"/>
      <c r="Q14" s="119"/>
      <c r="R14" s="40"/>
      <c r="S14" s="2">
        <v>1</v>
      </c>
      <c r="T14" s="27"/>
      <c r="U14" s="40">
        <v>2000</v>
      </c>
      <c r="V14" s="40">
        <f t="shared" si="5"/>
        <v>2000</v>
      </c>
      <c r="W14" s="2"/>
    </row>
    <row r="15" spans="2:25" ht="36" customHeight="1" x14ac:dyDescent="0.35">
      <c r="B15" s="122"/>
      <c r="C15" s="122"/>
      <c r="D15" s="122"/>
      <c r="E15" s="122"/>
      <c r="F15" s="122"/>
      <c r="G15" s="122"/>
      <c r="H15" s="130"/>
      <c r="I15" s="130"/>
      <c r="J15" s="122"/>
      <c r="K15" s="122"/>
      <c r="L15" s="22">
        <f>L14+L13+L12+V16+V20</f>
        <v>4441442.9431999996</v>
      </c>
      <c r="N15" s="17">
        <f t="shared" si="4"/>
        <v>5</v>
      </c>
      <c r="O15" s="131" t="s">
        <v>69</v>
      </c>
      <c r="P15" s="131"/>
      <c r="Q15" s="131"/>
      <c r="R15" s="131"/>
      <c r="S15" s="131"/>
      <c r="T15" s="37"/>
      <c r="U15" s="38"/>
      <c r="V15" s="39">
        <f>SUM(V11:V14)</f>
        <v>26584</v>
      </c>
      <c r="W15" s="2"/>
    </row>
    <row r="16" spans="2:25" ht="36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22"/>
      <c r="K16" s="122"/>
      <c r="L16" s="106"/>
      <c r="N16" s="96"/>
      <c r="O16" s="111" t="s">
        <v>145</v>
      </c>
      <c r="P16" s="112"/>
      <c r="Q16" s="112"/>
      <c r="R16" s="112"/>
      <c r="S16" s="113"/>
      <c r="T16" s="98"/>
      <c r="U16" s="99"/>
      <c r="V16" s="100">
        <f>V9+V15</f>
        <v>2073590.4631999999</v>
      </c>
      <c r="W16" s="97"/>
    </row>
    <row r="17" spans="2:25" ht="36" customHeight="1" x14ac:dyDescent="0.35">
      <c r="B17" s="122"/>
      <c r="C17" s="122"/>
      <c r="D17" s="122"/>
      <c r="E17" s="122"/>
      <c r="F17" s="122"/>
      <c r="G17" s="122"/>
      <c r="H17" s="130"/>
      <c r="I17" s="130"/>
      <c r="J17" s="122">
        <f>F6*1700</f>
        <v>6528510</v>
      </c>
      <c r="K17" s="122"/>
      <c r="V17" s="1">
        <f>F6*350</f>
        <v>1344105</v>
      </c>
    </row>
    <row r="18" spans="2:25" ht="45.75" customHeight="1" x14ac:dyDescent="0.35">
      <c r="B18" s="122"/>
      <c r="C18" s="122"/>
      <c r="D18" s="122"/>
      <c r="E18" s="122"/>
      <c r="F18" s="122"/>
      <c r="G18" s="122"/>
      <c r="H18" s="139"/>
      <c r="I18" s="139"/>
      <c r="J18" s="134">
        <f>L15/J17</f>
        <v>0.68031494831132977</v>
      </c>
      <c r="K18" s="122"/>
      <c r="U18" s="22">
        <f>V16+L12</f>
        <v>2755322.9432000001</v>
      </c>
      <c r="V18" s="22">
        <f>V17+V16+L12</f>
        <v>4099427.9432000001</v>
      </c>
    </row>
    <row r="19" spans="2:25" ht="36" customHeight="1" x14ac:dyDescent="0.35">
      <c r="C19" s="1"/>
      <c r="N19" s="24"/>
      <c r="O19" s="24"/>
      <c r="P19" s="24"/>
      <c r="Q19" s="24"/>
      <c r="R19" s="24"/>
      <c r="S19" s="24"/>
      <c r="T19" s="24"/>
      <c r="U19" s="24">
        <f>F6*400</f>
        <v>1536120</v>
      </c>
      <c r="V19" s="109">
        <f>V18/F6</f>
        <v>1067.4759636486733</v>
      </c>
      <c r="W19" s="24"/>
    </row>
    <row r="20" spans="2:25" ht="36" customHeight="1" x14ac:dyDescent="0.35">
      <c r="C20" s="1"/>
      <c r="U20" s="22">
        <f>U18+U19</f>
        <v>4291442.9431999996</v>
      </c>
      <c r="V20" s="1">
        <v>150000</v>
      </c>
    </row>
    <row r="21" spans="2:25" ht="36" customHeight="1" x14ac:dyDescent="0.35">
      <c r="C21" s="1"/>
      <c r="M21" s="24"/>
      <c r="X21" s="24"/>
    </row>
    <row r="22" spans="2:25" ht="36" customHeight="1" x14ac:dyDescent="0.35">
      <c r="C22" s="1"/>
    </row>
    <row r="23" spans="2:25" ht="36" customHeight="1" x14ac:dyDescent="0.35">
      <c r="C23" s="1"/>
      <c r="Y23" s="24"/>
    </row>
    <row r="24" spans="2:25" s="24" customFormat="1" ht="36" customHeight="1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ht="36" customHeight="1" x14ac:dyDescent="0.3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25" ht="36" customHeight="1" x14ac:dyDescent="0.35">
      <c r="C26" s="1"/>
    </row>
    <row r="27" spans="2:25" ht="36" customHeight="1" x14ac:dyDescent="0.35">
      <c r="C27" s="1"/>
    </row>
    <row r="28" spans="2:25" ht="36" customHeight="1" x14ac:dyDescent="0.35">
      <c r="C28" s="1"/>
    </row>
  </sheetData>
  <mergeCells count="56">
    <mergeCell ref="N1:W1"/>
    <mergeCell ref="O2:Q2"/>
    <mergeCell ref="O3:Q3"/>
    <mergeCell ref="O4:Q4"/>
    <mergeCell ref="O5:Q5"/>
    <mergeCell ref="O6:Q6"/>
    <mergeCell ref="O7:Q7"/>
    <mergeCell ref="O8:Q8"/>
    <mergeCell ref="O9:S9"/>
    <mergeCell ref="O10:Q10"/>
    <mergeCell ref="O15:S15"/>
    <mergeCell ref="O11:Q11"/>
    <mergeCell ref="O12:Q12"/>
    <mergeCell ref="O13:Q13"/>
    <mergeCell ref="O14:Q14"/>
    <mergeCell ref="F12:G12"/>
    <mergeCell ref="H12:I12"/>
    <mergeCell ref="J12:K12"/>
    <mergeCell ref="J13:K13"/>
    <mergeCell ref="B14:C14"/>
    <mergeCell ref="D14:E14"/>
    <mergeCell ref="F14:G14"/>
    <mergeCell ref="H14:I14"/>
    <mergeCell ref="J14:K14"/>
    <mergeCell ref="I2:L2"/>
    <mergeCell ref="J17:K17"/>
    <mergeCell ref="B18:G18"/>
    <mergeCell ref="H18:I18"/>
    <mergeCell ref="J18:K18"/>
    <mergeCell ref="B15:G15"/>
    <mergeCell ref="H15:I15"/>
    <mergeCell ref="J15:K15"/>
    <mergeCell ref="B16:C16"/>
    <mergeCell ref="D16:E16"/>
    <mergeCell ref="F16:G16"/>
    <mergeCell ref="H16:I16"/>
    <mergeCell ref="J16:K16"/>
    <mergeCell ref="J11:K11"/>
    <mergeCell ref="B12:C12"/>
    <mergeCell ref="D12:E12"/>
    <mergeCell ref="O16:S16"/>
    <mergeCell ref="B1:L1"/>
    <mergeCell ref="H2:H3"/>
    <mergeCell ref="B2:F2"/>
    <mergeCell ref="B17:G17"/>
    <mergeCell ref="H17:I17"/>
    <mergeCell ref="B11:C11"/>
    <mergeCell ref="D11:E11"/>
    <mergeCell ref="F11:G11"/>
    <mergeCell ref="H11:I11"/>
    <mergeCell ref="B13:C13"/>
    <mergeCell ref="D13:E13"/>
    <mergeCell ref="F13:G13"/>
    <mergeCell ref="H13:I13"/>
    <mergeCell ref="I8:I9"/>
    <mergeCell ref="B3:D10"/>
  </mergeCells>
  <pageMargins left="0.25" right="0.25" top="0.75" bottom="0.75" header="0.3" footer="0.3"/>
  <pageSetup scale="6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23"/>
  <sheetViews>
    <sheetView topLeftCell="D1" zoomScale="57" zoomScaleNormal="57" workbookViewId="0">
      <selection activeCell="V21" sqref="V21"/>
    </sheetView>
  </sheetViews>
  <sheetFormatPr defaultColWidth="17.5546875" defaultRowHeight="31.95" customHeight="1" x14ac:dyDescent="0.35"/>
  <cols>
    <col min="1" max="13" width="17.5546875" style="1"/>
    <col min="14" max="14" width="11.21875" style="1" customWidth="1"/>
    <col min="15" max="22" width="17.44140625" style="1"/>
    <col min="23" max="23" width="35" style="1" customWidth="1"/>
    <col min="24" max="16384" width="17.5546875" style="1"/>
  </cols>
  <sheetData>
    <row r="1" spans="2:23" ht="31.95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31.95" customHeight="1" x14ac:dyDescent="0.35">
      <c r="B2" s="158"/>
      <c r="C2" s="159"/>
      <c r="D2" s="159"/>
      <c r="E2" s="159"/>
      <c r="F2" s="191"/>
      <c r="G2" s="8"/>
      <c r="H2" s="7"/>
      <c r="I2" s="158" t="s">
        <v>9</v>
      </c>
      <c r="J2" s="159"/>
      <c r="K2" s="159"/>
      <c r="L2" s="159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1.95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92</v>
      </c>
      <c r="P3" s="115"/>
      <c r="Q3" s="115"/>
      <c r="R3" s="36">
        <f>K4*L4+K5*L5</f>
        <v>8250</v>
      </c>
      <c r="S3" s="80">
        <v>0.94899999999999995</v>
      </c>
      <c r="T3" s="34">
        <f>S3*R3</f>
        <v>7829.25</v>
      </c>
      <c r="U3" s="36">
        <v>95000</v>
      </c>
      <c r="V3" s="33">
        <f>U3*T3/1000</f>
        <v>743778.75</v>
      </c>
      <c r="W3" s="73"/>
    </row>
    <row r="4" spans="2:23" ht="31.95" customHeight="1" x14ac:dyDescent="0.35">
      <c r="B4" s="125"/>
      <c r="C4" s="126"/>
      <c r="D4" s="154"/>
      <c r="E4" s="3">
        <v>2625</v>
      </c>
      <c r="F4" s="3">
        <v>1500</v>
      </c>
      <c r="G4" s="3">
        <v>1</v>
      </c>
      <c r="H4" s="6" t="s">
        <v>19</v>
      </c>
      <c r="I4" s="3" t="s">
        <v>10</v>
      </c>
      <c r="J4" s="6" t="str">
        <f>CONCATENATE($G$2,"-",$D$10,"-","20532","-","1")</f>
        <v>--20532-1</v>
      </c>
      <c r="K4" s="3">
        <f>E4</f>
        <v>2625</v>
      </c>
      <c r="L4" s="3">
        <f>G4*2</f>
        <v>2</v>
      </c>
      <c r="N4" s="17">
        <f>N3+1</f>
        <v>2</v>
      </c>
      <c r="O4" s="114" t="s">
        <v>93</v>
      </c>
      <c r="P4" s="115"/>
      <c r="Q4" s="115"/>
      <c r="R4" s="36">
        <f>K6*L6+K7*L7</f>
        <v>16704</v>
      </c>
      <c r="S4" s="80">
        <v>0.93600000000000005</v>
      </c>
      <c r="T4" s="34">
        <f t="shared" ref="T4:T5" si="0">S4*R4</f>
        <v>15634.944000000001</v>
      </c>
      <c r="U4" s="36">
        <v>95000</v>
      </c>
      <c r="V4" s="33">
        <f t="shared" ref="V4:V5" si="1">U4*T4/1000</f>
        <v>1485319.6800000002</v>
      </c>
      <c r="W4" s="74"/>
    </row>
    <row r="5" spans="2:23" ht="31.95" customHeight="1" x14ac:dyDescent="0.35">
      <c r="B5" s="125"/>
      <c r="C5" s="126"/>
      <c r="D5" s="154"/>
      <c r="E5" s="84"/>
      <c r="F5" s="43" t="s">
        <v>46</v>
      </c>
      <c r="G5" s="43" t="s">
        <v>119</v>
      </c>
      <c r="H5" s="6" t="s">
        <v>20</v>
      </c>
      <c r="I5" s="3" t="s">
        <v>11</v>
      </c>
      <c r="J5" s="6" t="str">
        <f>CONCATENATE($G$2,"-",$D$10,"-","20532","-","2")</f>
        <v>--20532-2</v>
      </c>
      <c r="K5" s="3">
        <f>F4</f>
        <v>1500</v>
      </c>
      <c r="L5" s="3">
        <f>G4*2</f>
        <v>2</v>
      </c>
      <c r="N5" s="17">
        <f t="shared" ref="N5:N10" si="2">N4+1</f>
        <v>3</v>
      </c>
      <c r="O5" s="114" t="s">
        <v>94</v>
      </c>
      <c r="P5" s="115"/>
      <c r="Q5" s="115"/>
      <c r="R5" s="36">
        <f>K7*4</f>
        <v>5688</v>
      </c>
      <c r="S5" s="80">
        <v>0.36499999999999999</v>
      </c>
      <c r="T5" s="34">
        <f t="shared" si="0"/>
        <v>2076.12</v>
      </c>
      <c r="U5" s="36">
        <v>95000</v>
      </c>
      <c r="V5" s="33">
        <f t="shared" si="1"/>
        <v>197231.4</v>
      </c>
      <c r="W5" s="74"/>
    </row>
    <row r="6" spans="2:23" ht="31.95" customHeight="1" x14ac:dyDescent="0.35">
      <c r="B6" s="125"/>
      <c r="C6" s="126"/>
      <c r="D6" s="154"/>
      <c r="E6" s="54"/>
      <c r="F6" s="19">
        <f>F4*E4/1000*G4</f>
        <v>3937.5</v>
      </c>
      <c r="G6" s="83">
        <f>SUM(T3:T6)</f>
        <v>25865.952000000001</v>
      </c>
      <c r="H6" s="6" t="s">
        <v>21</v>
      </c>
      <c r="I6" s="3" t="s">
        <v>12</v>
      </c>
      <c r="J6" s="6" t="str">
        <f>CONCATENATE($G$2,"-",$D$10,"-","20526","-","1")</f>
        <v>--20526-1</v>
      </c>
      <c r="K6" s="3">
        <f>IF(ROUNDDOWN((E4+39)/4,0)&lt;9,"0",ROUNDDOWN((E4+39)/4,0))</f>
        <v>666</v>
      </c>
      <c r="L6" s="3">
        <f>G4*8</f>
        <v>8</v>
      </c>
      <c r="N6" s="17">
        <f t="shared" si="2"/>
        <v>4</v>
      </c>
      <c r="O6" s="114" t="s">
        <v>97</v>
      </c>
      <c r="P6" s="115"/>
      <c r="Q6" s="115"/>
      <c r="R6" s="36">
        <f>K8*L8</f>
        <v>1422</v>
      </c>
      <c r="S6" s="80">
        <v>0.22900000000000001</v>
      </c>
      <c r="T6" s="34">
        <f t="shared" ref="T6" si="3">S6*R6</f>
        <v>325.63800000000003</v>
      </c>
      <c r="U6" s="36">
        <v>95000</v>
      </c>
      <c r="V6" s="33">
        <f t="shared" ref="V6" si="4">U6*T6/1000</f>
        <v>30935.610000000004</v>
      </c>
      <c r="W6" s="74"/>
    </row>
    <row r="7" spans="2:23" ht="31.95" customHeight="1" x14ac:dyDescent="0.35">
      <c r="B7" s="125"/>
      <c r="C7" s="126"/>
      <c r="D7" s="154"/>
      <c r="E7" s="2"/>
      <c r="F7" s="2"/>
      <c r="G7" s="2"/>
      <c r="H7" s="6" t="s">
        <v>22</v>
      </c>
      <c r="I7" s="3" t="s">
        <v>13</v>
      </c>
      <c r="J7" s="6" t="str">
        <f>CONCATENATE($G$2,"-",$D$10,"-","20526","-","2")</f>
        <v>--20526-2</v>
      </c>
      <c r="K7" s="3">
        <f>IF(F4-78&lt;0,"0",F4-78)</f>
        <v>1422</v>
      </c>
      <c r="L7" s="3">
        <f>G4*8</f>
        <v>8</v>
      </c>
      <c r="N7" s="17">
        <f t="shared" si="2"/>
        <v>5</v>
      </c>
      <c r="O7" s="114" t="s">
        <v>78</v>
      </c>
      <c r="P7" s="115"/>
      <c r="Q7" s="119"/>
      <c r="R7" s="36"/>
      <c r="S7" s="31"/>
      <c r="T7" s="72"/>
      <c r="U7" s="52">
        <v>0.05</v>
      </c>
      <c r="V7" s="36">
        <f>SUM(V3:V6)*U7</f>
        <v>122863.272</v>
      </c>
      <c r="W7" s="44"/>
    </row>
    <row r="8" spans="2:23" ht="31.95" customHeight="1" x14ac:dyDescent="0.35">
      <c r="B8" s="125"/>
      <c r="C8" s="126"/>
      <c r="D8" s="154"/>
      <c r="E8" s="2"/>
      <c r="F8" s="2"/>
      <c r="G8" s="2"/>
      <c r="H8" s="6" t="s">
        <v>24</v>
      </c>
      <c r="I8" s="3" t="s">
        <v>26</v>
      </c>
      <c r="J8" s="6" t="str">
        <f>CONCATENATE($G$2,"-",$D$10,"-","20528","-","1")</f>
        <v>--20528-1</v>
      </c>
      <c r="K8" s="6">
        <f>K7</f>
        <v>1422</v>
      </c>
      <c r="L8" s="3">
        <f>G4</f>
        <v>1</v>
      </c>
      <c r="N8" s="17">
        <f t="shared" si="2"/>
        <v>6</v>
      </c>
      <c r="O8" s="189" t="s">
        <v>117</v>
      </c>
      <c r="P8" s="190"/>
      <c r="Q8" s="190"/>
      <c r="R8" s="31"/>
      <c r="S8" s="31"/>
      <c r="T8" s="35">
        <v>4</v>
      </c>
      <c r="U8" s="46">
        <v>4900</v>
      </c>
      <c r="V8" s="33">
        <f t="shared" ref="V8:V9" si="5">U8*T8</f>
        <v>19600</v>
      </c>
      <c r="W8" s="17"/>
    </row>
    <row r="9" spans="2:23" ht="31.95" customHeight="1" x14ac:dyDescent="0.35">
      <c r="B9" s="125"/>
      <c r="C9" s="126"/>
      <c r="D9" s="154"/>
      <c r="E9" s="3"/>
      <c r="F9" s="3"/>
      <c r="G9" s="3"/>
      <c r="H9" s="3"/>
      <c r="I9" s="156" t="s">
        <v>79</v>
      </c>
      <c r="J9" s="3" t="s">
        <v>6</v>
      </c>
      <c r="K9" s="3" t="s">
        <v>7</v>
      </c>
      <c r="L9" s="5" t="s">
        <v>2</v>
      </c>
      <c r="N9" s="17">
        <f t="shared" si="2"/>
        <v>7</v>
      </c>
      <c r="O9" s="189" t="s">
        <v>118</v>
      </c>
      <c r="P9" s="190"/>
      <c r="Q9" s="190"/>
      <c r="R9" s="31"/>
      <c r="S9" s="31"/>
      <c r="T9" s="35">
        <v>4</v>
      </c>
      <c r="U9" s="46">
        <v>2700</v>
      </c>
      <c r="V9" s="33">
        <f t="shared" si="5"/>
        <v>10800</v>
      </c>
      <c r="W9" s="28" t="s">
        <v>73</v>
      </c>
    </row>
    <row r="10" spans="2:23" ht="31.95" customHeight="1" x14ac:dyDescent="0.35">
      <c r="B10" s="127"/>
      <c r="C10" s="128"/>
      <c r="D10" s="155"/>
      <c r="E10" s="3"/>
      <c r="F10" s="3"/>
      <c r="G10" s="3"/>
      <c r="H10" s="3"/>
      <c r="I10" s="157"/>
      <c r="J10" s="3">
        <f>IF(K6-95&gt;0,K6-95,"0")</f>
        <v>571</v>
      </c>
      <c r="K10" s="3">
        <f>IF(K7-95&gt;0,K7-95,"0")</f>
        <v>1327</v>
      </c>
      <c r="L10" s="3">
        <f>G4*4</f>
        <v>4</v>
      </c>
      <c r="N10" s="17">
        <f t="shared" si="2"/>
        <v>8</v>
      </c>
      <c r="O10" s="116" t="s">
        <v>65</v>
      </c>
      <c r="P10" s="117"/>
      <c r="Q10" s="117"/>
      <c r="R10" s="117"/>
      <c r="S10" s="118"/>
      <c r="T10" s="37"/>
      <c r="U10" s="38"/>
      <c r="V10" s="39">
        <f>SUM(V3:V9)</f>
        <v>2610528.7119999998</v>
      </c>
      <c r="W10" s="17"/>
    </row>
    <row r="11" spans="2:23" ht="31.95" customHeight="1" x14ac:dyDescent="0.35">
      <c r="L11" s="1">
        <f>J10*K10*L10/1000000</f>
        <v>3.0308679999999999</v>
      </c>
      <c r="N11" s="26" t="s">
        <v>14</v>
      </c>
      <c r="O11" s="121" t="s">
        <v>51</v>
      </c>
      <c r="P11" s="121"/>
      <c r="Q11" s="121"/>
      <c r="R11" s="26" t="s">
        <v>52</v>
      </c>
      <c r="S11" s="32" t="s">
        <v>58</v>
      </c>
      <c r="T11" s="32"/>
      <c r="U11" s="26" t="s">
        <v>44</v>
      </c>
      <c r="V11" s="26" t="s">
        <v>45</v>
      </c>
      <c r="W11" s="2"/>
    </row>
    <row r="12" spans="2:23" ht="31.95" customHeight="1" x14ac:dyDescent="0.35"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39">
        <f>L11*210000</f>
        <v>636482.28</v>
      </c>
      <c r="N12" s="17">
        <v>1</v>
      </c>
      <c r="O12" s="114" t="s">
        <v>95</v>
      </c>
      <c r="P12" s="115"/>
      <c r="Q12" s="115"/>
      <c r="R12" s="40">
        <f>R4*2</f>
        <v>33408</v>
      </c>
      <c r="S12" s="2">
        <v>1</v>
      </c>
      <c r="T12" s="27"/>
      <c r="U12" s="40">
        <v>1000</v>
      </c>
      <c r="V12" s="40">
        <f>U12*R12*S12/1000</f>
        <v>33408</v>
      </c>
      <c r="W12" s="2"/>
    </row>
    <row r="13" spans="2:23" ht="31.95" customHeight="1" x14ac:dyDescent="0.35">
      <c r="B13" s="122"/>
      <c r="C13" s="122"/>
      <c r="D13" s="130"/>
      <c r="E13" s="130"/>
      <c r="F13" s="130"/>
      <c r="G13" s="130"/>
      <c r="H13" s="130"/>
      <c r="I13" s="130"/>
      <c r="J13" s="122">
        <v>267000</v>
      </c>
      <c r="K13" s="122"/>
      <c r="L13" s="1">
        <f>F6*350</f>
        <v>1378125</v>
      </c>
      <c r="N13" s="17">
        <f t="shared" ref="N13:N16" si="6">N12+1</f>
        <v>2</v>
      </c>
      <c r="O13" s="114" t="s">
        <v>96</v>
      </c>
      <c r="P13" s="115"/>
      <c r="Q13" s="115"/>
      <c r="R13" s="40"/>
      <c r="S13" s="2">
        <v>6</v>
      </c>
      <c r="T13" s="27"/>
      <c r="U13" s="40">
        <v>500</v>
      </c>
      <c r="V13" s="40">
        <f>U13*S13</f>
        <v>3000</v>
      </c>
      <c r="W13" s="28" t="s">
        <v>75</v>
      </c>
    </row>
    <row r="14" spans="2:23" ht="31.95" customHeight="1" x14ac:dyDescent="0.35">
      <c r="B14" s="122"/>
      <c r="C14" s="122"/>
      <c r="D14" s="130"/>
      <c r="E14" s="130"/>
      <c r="F14" s="130"/>
      <c r="G14" s="130"/>
      <c r="H14" s="130">
        <v>500000</v>
      </c>
      <c r="I14" s="130"/>
      <c r="J14" s="122">
        <f>F6*2400</f>
        <v>9450000</v>
      </c>
      <c r="K14" s="122"/>
      <c r="L14" s="22">
        <f>L13+L12+V17+J13+H14</f>
        <v>5431543.9919999996</v>
      </c>
      <c r="N14" s="17">
        <f t="shared" si="6"/>
        <v>3</v>
      </c>
      <c r="O14" s="114" t="s">
        <v>68</v>
      </c>
      <c r="P14" s="115"/>
      <c r="Q14" s="119"/>
      <c r="R14" s="40"/>
      <c r="S14" s="54">
        <v>1</v>
      </c>
      <c r="T14" s="27"/>
      <c r="U14" s="40">
        <v>1000</v>
      </c>
      <c r="V14" s="40">
        <f t="shared" ref="V14:V15" si="7">U14*S14</f>
        <v>1000</v>
      </c>
      <c r="W14" s="28"/>
    </row>
    <row r="15" spans="2:23" ht="31.95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33">
        <f>L14/J14</f>
        <v>0.57476655999999993</v>
      </c>
      <c r="K15" s="133"/>
      <c r="L15" s="22">
        <f>V17+L13</f>
        <v>4028061.7119999998</v>
      </c>
      <c r="N15" s="17">
        <f t="shared" si="6"/>
        <v>4</v>
      </c>
      <c r="O15" s="114" t="s">
        <v>70</v>
      </c>
      <c r="P15" s="115"/>
      <c r="Q15" s="119"/>
      <c r="R15" s="40"/>
      <c r="S15" s="2">
        <v>1</v>
      </c>
      <c r="T15" s="27"/>
      <c r="U15" s="40">
        <v>2000</v>
      </c>
      <c r="V15" s="40">
        <f t="shared" si="7"/>
        <v>2000</v>
      </c>
      <c r="W15" s="2"/>
    </row>
    <row r="16" spans="2:23" ht="31.95" customHeight="1" x14ac:dyDescent="0.35">
      <c r="B16" s="122"/>
      <c r="C16" s="122"/>
      <c r="D16" s="122"/>
      <c r="E16" s="122"/>
      <c r="F16" s="122"/>
      <c r="G16" s="122"/>
      <c r="H16" s="130"/>
      <c r="I16" s="130"/>
      <c r="J16" s="122"/>
      <c r="K16" s="122"/>
      <c r="L16" s="22">
        <f>L15+L12</f>
        <v>4664543.9919999996</v>
      </c>
      <c r="N16" s="17">
        <f t="shared" si="6"/>
        <v>5</v>
      </c>
      <c r="O16" s="131" t="s">
        <v>69</v>
      </c>
      <c r="P16" s="131"/>
      <c r="Q16" s="131"/>
      <c r="R16" s="131"/>
      <c r="S16" s="131"/>
      <c r="T16" s="37"/>
      <c r="U16" s="38"/>
      <c r="V16" s="39">
        <f>SUM(V12:V15)</f>
        <v>39408</v>
      </c>
      <c r="W16" s="2"/>
    </row>
    <row r="17" spans="2:23" ht="31.95" customHeight="1" x14ac:dyDescent="0.35">
      <c r="B17" s="122"/>
      <c r="C17" s="122"/>
      <c r="D17" s="130"/>
      <c r="E17" s="130"/>
      <c r="F17" s="130"/>
      <c r="G17" s="130"/>
      <c r="H17" s="130"/>
      <c r="I17" s="130"/>
      <c r="J17" s="122"/>
      <c r="K17" s="122"/>
      <c r="L17" s="1">
        <f>J10*K10*L10/1000</f>
        <v>3030.8679999999999</v>
      </c>
      <c r="N17" s="96"/>
      <c r="O17" s="111" t="s">
        <v>145</v>
      </c>
      <c r="P17" s="112"/>
      <c r="Q17" s="112"/>
      <c r="R17" s="112"/>
      <c r="S17" s="113"/>
      <c r="T17" s="98"/>
      <c r="U17" s="99"/>
      <c r="V17" s="100">
        <f>V10+V16</f>
        <v>2649936.7119999998</v>
      </c>
      <c r="W17" s="97"/>
    </row>
    <row r="18" spans="2:23" ht="31.95" customHeight="1" x14ac:dyDescent="0.35">
      <c r="B18" s="122"/>
      <c r="C18" s="122"/>
      <c r="D18" s="122"/>
      <c r="E18" s="122"/>
      <c r="F18" s="122"/>
      <c r="G18" s="122"/>
      <c r="H18" s="130"/>
      <c r="I18" s="130"/>
      <c r="J18" s="122"/>
      <c r="K18" s="122"/>
      <c r="L18" s="1">
        <f>L17*210</f>
        <v>636482.28</v>
      </c>
      <c r="V18" s="1">
        <f>F6*250</f>
        <v>984375</v>
      </c>
    </row>
    <row r="19" spans="2:23" ht="31.95" customHeight="1" x14ac:dyDescent="0.35">
      <c r="B19" s="122"/>
      <c r="C19" s="122"/>
      <c r="D19" s="122"/>
      <c r="E19" s="122"/>
      <c r="F19" s="122"/>
      <c r="G19" s="122"/>
      <c r="H19" s="139"/>
      <c r="I19" s="139"/>
      <c r="J19" s="122"/>
      <c r="K19" s="122"/>
      <c r="L19" s="100">
        <f>L18+V17</f>
        <v>3286418.9919999996</v>
      </c>
      <c r="V19" s="22">
        <f>V18+V17</f>
        <v>3634311.7119999998</v>
      </c>
    </row>
    <row r="20" spans="2:23" ht="31.95" customHeight="1" x14ac:dyDescent="0.35">
      <c r="B20" s="122"/>
      <c r="C20" s="122"/>
      <c r="D20" s="122"/>
      <c r="E20" s="122"/>
      <c r="F20" s="122"/>
      <c r="G20" s="122"/>
      <c r="H20" s="130"/>
      <c r="I20" s="130"/>
      <c r="J20" s="122"/>
      <c r="K20" s="122"/>
      <c r="L20" s="1">
        <f>F6*370</f>
        <v>1456875</v>
      </c>
      <c r="V20" s="106">
        <f>V19/F6</f>
        <v>922.99979987301583</v>
      </c>
    </row>
    <row r="21" spans="2:23" ht="31.95" customHeight="1" x14ac:dyDescent="0.35">
      <c r="L21" s="1">
        <v>280000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2:23" ht="31.95" customHeight="1" x14ac:dyDescent="0.35">
      <c r="L22" s="22">
        <f>L21+L20+L19</f>
        <v>5023293.9919999996</v>
      </c>
      <c r="M22" s="1">
        <f>F6*2700</f>
        <v>10631250</v>
      </c>
    </row>
    <row r="23" spans="2:23" ht="31.95" customHeight="1" x14ac:dyDescent="0.35">
      <c r="M23" s="102">
        <f>L22/M22</f>
        <v>0.47250266826572601</v>
      </c>
    </row>
  </sheetData>
  <mergeCells count="61">
    <mergeCell ref="O15:Q15"/>
    <mergeCell ref="B20:C20"/>
    <mergeCell ref="D20:E20"/>
    <mergeCell ref="F20:G20"/>
    <mergeCell ref="H20:I20"/>
    <mergeCell ref="J20:K20"/>
    <mergeCell ref="B18:G18"/>
    <mergeCell ref="H18:I18"/>
    <mergeCell ref="J18:K18"/>
    <mergeCell ref="B19:G19"/>
    <mergeCell ref="H19:I19"/>
    <mergeCell ref="J19:K19"/>
    <mergeCell ref="B16:G16"/>
    <mergeCell ref="H16:I16"/>
    <mergeCell ref="J16:K16"/>
    <mergeCell ref="B17:C17"/>
    <mergeCell ref="D17:E17"/>
    <mergeCell ref="F17:G17"/>
    <mergeCell ref="H17:I17"/>
    <mergeCell ref="J17:K17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B2:F2"/>
    <mergeCell ref="B1:L1"/>
    <mergeCell ref="I9:I10"/>
    <mergeCell ref="I2:L2"/>
    <mergeCell ref="B3:D10"/>
    <mergeCell ref="O17:S17"/>
    <mergeCell ref="N1:W1"/>
    <mergeCell ref="O2:Q2"/>
    <mergeCell ref="O3:Q3"/>
    <mergeCell ref="O10:S10"/>
    <mergeCell ref="O6:Q6"/>
    <mergeCell ref="O4:Q4"/>
    <mergeCell ref="O5:Q5"/>
    <mergeCell ref="O7:Q7"/>
    <mergeCell ref="O8:Q8"/>
    <mergeCell ref="O9:Q9"/>
    <mergeCell ref="O16:S16"/>
    <mergeCell ref="O11:Q11"/>
    <mergeCell ref="O12:Q12"/>
    <mergeCell ref="O13:Q13"/>
    <mergeCell ref="O14:Q14"/>
  </mergeCells>
  <pageMargins left="0.7" right="0.7" top="0.75" bottom="0.75" header="0.3" footer="0.3"/>
  <pageSetup scale="66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40"/>
  <sheetViews>
    <sheetView zoomScale="43" zoomScaleNormal="43" workbookViewId="0">
      <selection activeCell="V5" sqref="V5"/>
    </sheetView>
  </sheetViews>
  <sheetFormatPr defaultColWidth="17.21875" defaultRowHeight="39.6" customHeight="1" x14ac:dyDescent="0.35"/>
  <cols>
    <col min="1" max="1" width="10.5546875" style="1" customWidth="1"/>
    <col min="2" max="9" width="17.21875" style="1"/>
    <col min="10" max="10" width="20.44140625" style="1" customWidth="1"/>
    <col min="11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87" customHeight="1" x14ac:dyDescent="0.45">
      <c r="B1" s="120" t="s">
        <v>50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N1" s="120" t="s">
        <v>146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4" ht="39.6" customHeight="1" x14ac:dyDescent="0.35">
      <c r="B2" s="158" t="s">
        <v>8</v>
      </c>
      <c r="C2" s="159"/>
      <c r="D2" s="159"/>
      <c r="E2" s="159"/>
      <c r="F2" s="191"/>
      <c r="G2" s="8" t="s">
        <v>36</v>
      </c>
      <c r="H2" s="7"/>
      <c r="I2" s="158" t="s">
        <v>9</v>
      </c>
      <c r="J2" s="159"/>
      <c r="K2" s="159"/>
      <c r="L2" s="159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4" ht="39.6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98</v>
      </c>
      <c r="P3" s="115"/>
      <c r="Q3" s="115"/>
      <c r="R3" s="36">
        <f>K6*L6</f>
        <v>5200</v>
      </c>
      <c r="S3" s="31">
        <v>1.1339999999999999</v>
      </c>
      <c r="T3" s="81">
        <f>S3*R3</f>
        <v>5896.7999999999993</v>
      </c>
      <c r="U3" s="36">
        <v>125000</v>
      </c>
      <c r="V3" s="33">
        <f>U3*T3/1000</f>
        <v>737099.99999999988</v>
      </c>
      <c r="W3" s="73"/>
    </row>
    <row r="4" spans="2:24" ht="39.6" customHeight="1" x14ac:dyDescent="0.35">
      <c r="B4" s="125"/>
      <c r="C4" s="126"/>
      <c r="D4" s="154"/>
      <c r="E4" s="3">
        <v>3000</v>
      </c>
      <c r="F4" s="3">
        <v>2600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AH--D1541A-1</v>
      </c>
      <c r="K4" s="3">
        <f>E4-36</f>
        <v>2964</v>
      </c>
      <c r="L4" s="3">
        <f>G4*1</f>
        <v>1</v>
      </c>
      <c r="N4" s="17">
        <f>N3+1</f>
        <v>2</v>
      </c>
      <c r="O4" s="114" t="s">
        <v>99</v>
      </c>
      <c r="P4" s="115"/>
      <c r="Q4" s="115"/>
      <c r="R4" s="36">
        <f>K4*L4</f>
        <v>2964</v>
      </c>
      <c r="S4" s="31">
        <v>1.4590000000000001</v>
      </c>
      <c r="T4" s="81">
        <f t="shared" ref="T4:T6" si="0">S4*R4</f>
        <v>4324.4760000000006</v>
      </c>
      <c r="U4" s="36">
        <v>125000</v>
      </c>
      <c r="V4" s="33">
        <f t="shared" ref="V4:V9" si="1">U4*T4/1000</f>
        <v>540559.50000000012</v>
      </c>
      <c r="W4" s="74"/>
    </row>
    <row r="5" spans="2:24" ht="39.6" customHeight="1" x14ac:dyDescent="0.35">
      <c r="B5" s="125"/>
      <c r="C5" s="126"/>
      <c r="D5" s="154"/>
      <c r="E5" s="84"/>
      <c r="F5" s="43" t="s">
        <v>46</v>
      </c>
      <c r="G5" s="43" t="s">
        <v>119</v>
      </c>
      <c r="H5" s="6" t="s">
        <v>20</v>
      </c>
      <c r="I5" s="3" t="s">
        <v>30</v>
      </c>
      <c r="J5" s="6" t="str">
        <f>CONCATENATE($G$2,"-",$D$12,"-","D17182","-","1")</f>
        <v>AH--D17182-1</v>
      </c>
      <c r="K5" s="3">
        <f>E4-36</f>
        <v>2964</v>
      </c>
      <c r="L5" s="3">
        <f>G4*1</f>
        <v>1</v>
      </c>
      <c r="N5" s="17">
        <f t="shared" ref="N5:N12" si="2">N4+1</f>
        <v>3</v>
      </c>
      <c r="O5" s="114" t="s">
        <v>100</v>
      </c>
      <c r="P5" s="115"/>
      <c r="Q5" s="115"/>
      <c r="R5" s="36">
        <f>R4</f>
        <v>2964</v>
      </c>
      <c r="S5" s="31">
        <v>1.3069999999999999</v>
      </c>
      <c r="T5" s="81">
        <f t="shared" si="0"/>
        <v>3873.9479999999999</v>
      </c>
      <c r="U5" s="36">
        <v>125000</v>
      </c>
      <c r="V5" s="33">
        <f t="shared" si="1"/>
        <v>484243.5</v>
      </c>
      <c r="W5" s="74"/>
    </row>
    <row r="6" spans="2:24" ht="39.6" customHeight="1" x14ac:dyDescent="0.35">
      <c r="B6" s="125"/>
      <c r="C6" s="126"/>
      <c r="D6" s="154"/>
      <c r="E6" s="54"/>
      <c r="F6" s="19">
        <f>F4*E4/1000</f>
        <v>7800</v>
      </c>
      <c r="G6" s="83">
        <f>SUM(T3:T9)</f>
        <v>32556.668000000001</v>
      </c>
      <c r="H6" s="6" t="s">
        <v>21</v>
      </c>
      <c r="I6" s="3" t="s">
        <v>11</v>
      </c>
      <c r="J6" s="6" t="str">
        <f>CONCATENATE($G$2,"-",$D$12,"-","D1543A","-","2")</f>
        <v>AH--D1543A-2</v>
      </c>
      <c r="K6" s="3">
        <f>F4</f>
        <v>2600</v>
      </c>
      <c r="L6" s="3">
        <f>G4*2</f>
        <v>2</v>
      </c>
      <c r="N6" s="17">
        <f t="shared" si="2"/>
        <v>4</v>
      </c>
      <c r="O6" s="114" t="s">
        <v>101</v>
      </c>
      <c r="P6" s="115"/>
      <c r="Q6" s="115"/>
      <c r="R6" s="36">
        <f>K10*L10</f>
        <v>5106</v>
      </c>
      <c r="S6" s="31">
        <v>1.0980000000000001</v>
      </c>
      <c r="T6" s="81">
        <f t="shared" si="0"/>
        <v>5606.3880000000008</v>
      </c>
      <c r="U6" s="36">
        <v>125000</v>
      </c>
      <c r="V6" s="33">
        <f t="shared" si="1"/>
        <v>700798.50000000012</v>
      </c>
      <c r="W6" s="74"/>
    </row>
    <row r="7" spans="2:24" ht="39.6" customHeight="1" x14ac:dyDescent="0.35">
      <c r="B7" s="125"/>
      <c r="C7" s="126"/>
      <c r="D7" s="154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AH--D1544A-1</v>
      </c>
      <c r="K7" s="3">
        <f>ROUNDDOWN(E4/2-77,0)</f>
        <v>1423</v>
      </c>
      <c r="L7" s="3">
        <f>G4*2</f>
        <v>2</v>
      </c>
      <c r="N7" s="17">
        <f t="shared" si="2"/>
        <v>5</v>
      </c>
      <c r="O7" s="114" t="s">
        <v>102</v>
      </c>
      <c r="P7" s="115"/>
      <c r="Q7" s="115"/>
      <c r="R7" s="36">
        <f>K9*L9</f>
        <v>5106</v>
      </c>
      <c r="S7" s="31">
        <v>1.2729999999999999</v>
      </c>
      <c r="T7" s="81">
        <f t="shared" ref="T7:T9" si="3">S7*R7</f>
        <v>6499.9379999999992</v>
      </c>
      <c r="U7" s="36">
        <v>125000</v>
      </c>
      <c r="V7" s="33">
        <f t="shared" si="1"/>
        <v>812492.24999999988</v>
      </c>
      <c r="W7" s="74"/>
    </row>
    <row r="8" spans="2:24" ht="39.6" customHeight="1" x14ac:dyDescent="0.35">
      <c r="B8" s="125"/>
      <c r="C8" s="126"/>
      <c r="D8" s="154"/>
      <c r="E8" s="2"/>
      <c r="F8" s="2"/>
      <c r="G8" s="2"/>
      <c r="H8" s="6" t="s">
        <v>24</v>
      </c>
      <c r="I8" s="3" t="s">
        <v>31</v>
      </c>
      <c r="J8" s="6" t="str">
        <f>CONCATENATE($G$2,"-",$D$12,"-","D1545A","-","1")</f>
        <v>AH--D1545A-1</v>
      </c>
      <c r="K8" s="3">
        <f>ROUNDDOWN(E4/2-77,0)</f>
        <v>1423</v>
      </c>
      <c r="L8" s="3">
        <f>G4*2</f>
        <v>2</v>
      </c>
      <c r="N8" s="17">
        <f t="shared" si="2"/>
        <v>6</v>
      </c>
      <c r="O8" s="114" t="s">
        <v>103</v>
      </c>
      <c r="P8" s="115"/>
      <c r="Q8" s="115"/>
      <c r="R8" s="36">
        <f>K7*L7</f>
        <v>2846</v>
      </c>
      <c r="S8" s="31">
        <v>0.99</v>
      </c>
      <c r="T8" s="81">
        <f t="shared" si="3"/>
        <v>2817.54</v>
      </c>
      <c r="U8" s="36">
        <v>125000</v>
      </c>
      <c r="V8" s="33">
        <f t="shared" si="1"/>
        <v>352192.5</v>
      </c>
      <c r="W8" s="74"/>
    </row>
    <row r="9" spans="2:24" ht="39.6" customHeight="1" x14ac:dyDescent="0.35">
      <c r="B9" s="125"/>
      <c r="C9" s="126"/>
      <c r="D9" s="154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AH--D1546A-2</v>
      </c>
      <c r="K9" s="3">
        <f>F4-47</f>
        <v>2553</v>
      </c>
      <c r="L9" s="3">
        <f>G4*2</f>
        <v>2</v>
      </c>
      <c r="N9" s="17">
        <f t="shared" si="2"/>
        <v>7</v>
      </c>
      <c r="O9" s="114" t="s">
        <v>104</v>
      </c>
      <c r="P9" s="115"/>
      <c r="Q9" s="115"/>
      <c r="R9" s="36">
        <f>K8*L8</f>
        <v>2846</v>
      </c>
      <c r="S9" s="31">
        <v>1.2430000000000001</v>
      </c>
      <c r="T9" s="81">
        <f t="shared" si="3"/>
        <v>3537.5780000000004</v>
      </c>
      <c r="U9" s="36">
        <v>125000</v>
      </c>
      <c r="V9" s="33">
        <f t="shared" si="1"/>
        <v>442197.25000000006</v>
      </c>
      <c r="W9" s="75"/>
    </row>
    <row r="10" spans="2:24" ht="39.6" customHeight="1" x14ac:dyDescent="0.35">
      <c r="B10" s="125"/>
      <c r="C10" s="126"/>
      <c r="D10" s="154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AH--D1547A-2</v>
      </c>
      <c r="K10" s="3">
        <f>F4-47</f>
        <v>2553</v>
      </c>
      <c r="L10" s="3">
        <f>G4*2</f>
        <v>2</v>
      </c>
      <c r="N10" s="17">
        <f>N6+1</f>
        <v>5</v>
      </c>
      <c r="O10" s="114" t="s">
        <v>78</v>
      </c>
      <c r="P10" s="115"/>
      <c r="Q10" s="119"/>
      <c r="R10" s="36"/>
      <c r="S10" s="31"/>
      <c r="T10" s="72"/>
      <c r="U10" s="52">
        <v>0.05</v>
      </c>
      <c r="V10" s="36">
        <f>SUM(V3:V9)*U10</f>
        <v>203479.17500000002</v>
      </c>
      <c r="W10" s="44"/>
    </row>
    <row r="11" spans="2:24" ht="39.6" customHeight="1" x14ac:dyDescent="0.35">
      <c r="B11" s="125"/>
      <c r="C11" s="126"/>
      <c r="D11" s="154"/>
      <c r="E11" s="3"/>
      <c r="F11" s="3"/>
      <c r="G11" s="3"/>
      <c r="H11" s="3"/>
      <c r="I11" s="156" t="s">
        <v>79</v>
      </c>
      <c r="J11" s="3" t="s">
        <v>6</v>
      </c>
      <c r="K11" s="3" t="s">
        <v>7</v>
      </c>
      <c r="L11" s="5" t="s">
        <v>2</v>
      </c>
      <c r="N11" s="17">
        <f t="shared" si="2"/>
        <v>6</v>
      </c>
      <c r="O11" s="114" t="s">
        <v>105</v>
      </c>
      <c r="P11" s="115"/>
      <c r="Q11" s="115"/>
      <c r="R11" s="31"/>
      <c r="S11" s="31"/>
      <c r="T11" s="35">
        <v>2</v>
      </c>
      <c r="U11" s="36">
        <v>15000</v>
      </c>
      <c r="V11" s="33">
        <f t="shared" ref="V11" si="4">U11*T11</f>
        <v>30000</v>
      </c>
      <c r="W11" s="17"/>
    </row>
    <row r="12" spans="2:24" ht="39.6" customHeight="1" x14ac:dyDescent="0.35">
      <c r="B12" s="127"/>
      <c r="C12" s="128"/>
      <c r="D12" s="155"/>
      <c r="E12" s="3"/>
      <c r="F12" s="3"/>
      <c r="G12" s="3"/>
      <c r="H12" s="3"/>
      <c r="I12" s="157"/>
      <c r="J12" s="14">
        <f>ROUNDDOWN(E4/2-90,0)</f>
        <v>1410</v>
      </c>
      <c r="K12" s="14">
        <f>K9-100</f>
        <v>2453</v>
      </c>
      <c r="L12" s="3">
        <f>G4*2</f>
        <v>2</v>
      </c>
      <c r="N12" s="17">
        <f t="shared" si="2"/>
        <v>7</v>
      </c>
      <c r="O12" s="116" t="s">
        <v>65</v>
      </c>
      <c r="P12" s="117"/>
      <c r="Q12" s="117"/>
      <c r="R12" s="117"/>
      <c r="S12" s="118"/>
      <c r="T12" s="37"/>
      <c r="U12" s="38"/>
      <c r="V12" s="39">
        <f>SUM(V3:V11)</f>
        <v>4303062.6749999998</v>
      </c>
      <c r="W12" s="17"/>
      <c r="X12" s="2"/>
    </row>
    <row r="13" spans="2:24" ht="39.6" customHeight="1" x14ac:dyDescent="0.35">
      <c r="K13" s="1">
        <f>J12*K12*L12/1000000</f>
        <v>6.9174600000000002</v>
      </c>
      <c r="N13" s="26" t="s">
        <v>14</v>
      </c>
      <c r="O13" s="121" t="s">
        <v>51</v>
      </c>
      <c r="P13" s="121"/>
      <c r="Q13" s="121"/>
      <c r="R13" s="26" t="s">
        <v>52</v>
      </c>
      <c r="S13" s="32" t="s">
        <v>58</v>
      </c>
      <c r="T13" s="32"/>
      <c r="U13" s="26" t="s">
        <v>44</v>
      </c>
      <c r="V13" s="26" t="s">
        <v>45</v>
      </c>
      <c r="W13" s="28" t="s">
        <v>75</v>
      </c>
    </row>
    <row r="14" spans="2:24" ht="39.6" customHeight="1" x14ac:dyDescent="0.35">
      <c r="K14" s="1">
        <v>220000</v>
      </c>
      <c r="L14" s="100">
        <f>K13*K14</f>
        <v>1521841.2</v>
      </c>
      <c r="N14" s="17">
        <v>1</v>
      </c>
      <c r="O14" s="114" t="s">
        <v>95</v>
      </c>
      <c r="P14" s="115"/>
      <c r="Q14" s="115"/>
      <c r="R14" s="40">
        <f>R6+R7+R8+R9*2</f>
        <v>18750</v>
      </c>
      <c r="S14" s="2">
        <v>1</v>
      </c>
      <c r="T14" s="27"/>
      <c r="U14" s="40">
        <v>1000</v>
      </c>
      <c r="V14" s="40">
        <f>U14*R14*S14/1000</f>
        <v>18750</v>
      </c>
      <c r="W14" s="28"/>
    </row>
    <row r="15" spans="2:24" ht="39.6" customHeight="1" x14ac:dyDescent="0.35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N15" s="17">
        <v>2</v>
      </c>
      <c r="O15" s="114" t="s">
        <v>68</v>
      </c>
      <c r="P15" s="115"/>
      <c r="Q15" s="119"/>
      <c r="R15" s="40"/>
      <c r="S15" s="54">
        <v>1</v>
      </c>
      <c r="T15" s="27"/>
      <c r="U15" s="40">
        <v>1000</v>
      </c>
      <c r="V15" s="40">
        <f t="shared" ref="V15:V16" si="5">U15*S15</f>
        <v>1000</v>
      </c>
      <c r="W15" s="2"/>
    </row>
    <row r="16" spans="2:24" ht="39.6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34">
        <f>V18*10%</f>
        <v>432481.26750000002</v>
      </c>
      <c r="K16" s="122"/>
      <c r="N16" s="17">
        <f t="shared" ref="N16:N17" si="6">N15+1</f>
        <v>3</v>
      </c>
      <c r="O16" s="114" t="s">
        <v>70</v>
      </c>
      <c r="P16" s="115"/>
      <c r="Q16" s="119"/>
      <c r="R16" s="40"/>
      <c r="S16" s="2">
        <v>1</v>
      </c>
      <c r="T16" s="27"/>
      <c r="U16" s="40">
        <v>2000</v>
      </c>
      <c r="V16" s="40">
        <f t="shared" si="5"/>
        <v>2000</v>
      </c>
      <c r="W16" s="2"/>
    </row>
    <row r="17" spans="2:23" ht="39.6" customHeight="1" x14ac:dyDescent="0.35">
      <c r="B17" s="122"/>
      <c r="C17" s="122"/>
      <c r="D17" s="130"/>
      <c r="E17" s="130"/>
      <c r="F17" s="130"/>
      <c r="G17" s="130"/>
      <c r="H17" s="130"/>
      <c r="I17" s="130"/>
      <c r="J17" s="134">
        <f>V18+J16</f>
        <v>4757293.9424999999</v>
      </c>
      <c r="K17" s="122"/>
      <c r="L17" s="1">
        <f>F6*200</f>
        <v>1560000</v>
      </c>
      <c r="N17" s="17">
        <f t="shared" si="6"/>
        <v>4</v>
      </c>
      <c r="O17" s="131" t="s">
        <v>69</v>
      </c>
      <c r="P17" s="131"/>
      <c r="Q17" s="131"/>
      <c r="R17" s="131"/>
      <c r="S17" s="131"/>
      <c r="T17" s="37"/>
      <c r="U17" s="38"/>
      <c r="V17" s="39">
        <f>SUM(V14:V16)</f>
        <v>21750</v>
      </c>
      <c r="W17" s="2"/>
    </row>
    <row r="18" spans="2:23" ht="39.6" customHeight="1" x14ac:dyDescent="0.35">
      <c r="B18" s="122"/>
      <c r="C18" s="122"/>
      <c r="D18" s="130"/>
      <c r="E18" s="130"/>
      <c r="F18" s="130"/>
      <c r="G18" s="130"/>
      <c r="H18" s="130"/>
      <c r="I18" s="130"/>
      <c r="J18" s="122"/>
      <c r="K18" s="122"/>
      <c r="L18" s="22">
        <f>V18+L17</f>
        <v>5884812.6749999998</v>
      </c>
      <c r="N18" s="96"/>
      <c r="O18" s="111" t="s">
        <v>145</v>
      </c>
      <c r="P18" s="112"/>
      <c r="Q18" s="112"/>
      <c r="R18" s="112"/>
      <c r="S18" s="113"/>
      <c r="T18" s="98"/>
      <c r="U18" s="99"/>
      <c r="V18" s="100">
        <f>V12+V17</f>
        <v>4324812.6749999998</v>
      </c>
      <c r="W18" s="97"/>
    </row>
    <row r="19" spans="2:23" ht="39.6" customHeight="1" x14ac:dyDescent="0.45">
      <c r="B19" s="122"/>
      <c r="C19" s="122"/>
      <c r="D19" s="122"/>
      <c r="E19" s="122"/>
      <c r="F19" s="122"/>
      <c r="G19" s="122"/>
      <c r="H19" s="130"/>
      <c r="I19" s="130"/>
      <c r="J19" s="122"/>
      <c r="K19" s="122"/>
      <c r="L19" s="106">
        <f>L18/F6</f>
        <v>754.46316346153844</v>
      </c>
      <c r="N19" s="120" t="s">
        <v>147</v>
      </c>
      <c r="O19" s="120"/>
      <c r="P19" s="120"/>
      <c r="Q19" s="120"/>
      <c r="R19" s="120"/>
      <c r="S19" s="120"/>
      <c r="T19" s="120"/>
      <c r="U19" s="120"/>
      <c r="V19" s="120"/>
      <c r="W19" s="120"/>
    </row>
    <row r="20" spans="2:23" ht="39.6" customHeight="1" x14ac:dyDescent="0.35">
      <c r="B20" s="122"/>
      <c r="C20" s="122"/>
      <c r="D20" s="130"/>
      <c r="E20" s="130"/>
      <c r="F20" s="130"/>
      <c r="G20" s="130"/>
      <c r="H20" s="130"/>
      <c r="I20" s="130"/>
      <c r="J20" s="122"/>
      <c r="K20" s="122"/>
      <c r="N20" s="26" t="s">
        <v>14</v>
      </c>
      <c r="O20" s="121" t="s">
        <v>51</v>
      </c>
      <c r="P20" s="121"/>
      <c r="Q20" s="121"/>
      <c r="R20" s="26" t="s">
        <v>52</v>
      </c>
      <c r="S20" s="32" t="s">
        <v>62</v>
      </c>
      <c r="T20" s="32" t="s">
        <v>63</v>
      </c>
      <c r="U20" s="26" t="s">
        <v>44</v>
      </c>
      <c r="V20" s="26" t="s">
        <v>45</v>
      </c>
      <c r="W20" s="26" t="s">
        <v>39</v>
      </c>
    </row>
    <row r="21" spans="2:23" ht="39.6" customHeight="1" x14ac:dyDescent="0.35">
      <c r="B21" s="122"/>
      <c r="C21" s="122"/>
      <c r="D21" s="122"/>
      <c r="E21" s="122"/>
      <c r="F21" s="122"/>
      <c r="G21" s="122"/>
      <c r="H21" s="130"/>
      <c r="I21" s="130"/>
      <c r="J21" s="122"/>
      <c r="K21" s="122"/>
      <c r="N21" s="17">
        <v>1</v>
      </c>
      <c r="O21" s="114" t="s">
        <v>98</v>
      </c>
      <c r="P21" s="115"/>
      <c r="Q21" s="115"/>
      <c r="R21" s="36">
        <f>K6*L6</f>
        <v>5200</v>
      </c>
      <c r="S21" s="31">
        <v>0.81299999999999994</v>
      </c>
      <c r="T21" s="81">
        <f>S21*R21</f>
        <v>4227.5999999999995</v>
      </c>
      <c r="U21" s="36">
        <v>86000</v>
      </c>
      <c r="V21" s="33">
        <f>U21*T21/1000</f>
        <v>363573.59999999992</v>
      </c>
      <c r="W21" s="73"/>
    </row>
    <row r="22" spans="2:23" ht="39.6" customHeight="1" x14ac:dyDescent="0.35">
      <c r="B22" s="122"/>
      <c r="C22" s="122"/>
      <c r="D22" s="122"/>
      <c r="E22" s="122"/>
      <c r="F22" s="122"/>
      <c r="G22" s="122"/>
      <c r="H22" s="139"/>
      <c r="I22" s="139"/>
      <c r="J22" s="122"/>
      <c r="K22" s="122"/>
      <c r="N22" s="17">
        <f>N21+1</f>
        <v>2</v>
      </c>
      <c r="O22" s="114" t="s">
        <v>99</v>
      </c>
      <c r="P22" s="115"/>
      <c r="Q22" s="115"/>
      <c r="R22" s="36">
        <f>K4*L4</f>
        <v>2964</v>
      </c>
      <c r="S22" s="31">
        <v>1.028</v>
      </c>
      <c r="T22" s="81">
        <f t="shared" ref="T22:T27" si="7">S22*R22</f>
        <v>3046.9920000000002</v>
      </c>
      <c r="U22" s="36">
        <v>86000</v>
      </c>
      <c r="V22" s="33">
        <f t="shared" ref="V22:V27" si="8">U22*T22/1000</f>
        <v>262041.31200000003</v>
      </c>
      <c r="W22" s="74"/>
    </row>
    <row r="23" spans="2:23" ht="39.6" customHeight="1" x14ac:dyDescent="0.35">
      <c r="B23" s="122"/>
      <c r="C23" s="122"/>
      <c r="D23" s="122"/>
      <c r="E23" s="122"/>
      <c r="F23" s="122"/>
      <c r="G23" s="122"/>
      <c r="H23" s="130"/>
      <c r="I23" s="130"/>
      <c r="J23" s="122"/>
      <c r="K23" s="122"/>
      <c r="N23" s="17">
        <f t="shared" ref="N23:N30" si="9">N22+1</f>
        <v>3</v>
      </c>
      <c r="O23" s="114" t="s">
        <v>100</v>
      </c>
      <c r="P23" s="115"/>
      <c r="Q23" s="115"/>
      <c r="R23" s="36">
        <f>R22</f>
        <v>2964</v>
      </c>
      <c r="S23" s="31">
        <v>0.94599999999999995</v>
      </c>
      <c r="T23" s="81">
        <f t="shared" si="7"/>
        <v>2803.944</v>
      </c>
      <c r="U23" s="36">
        <v>86000</v>
      </c>
      <c r="V23" s="33">
        <f t="shared" si="8"/>
        <v>241139.18400000001</v>
      </c>
      <c r="W23" s="74"/>
    </row>
    <row r="24" spans="2:23" ht="39.6" customHeight="1" x14ac:dyDescent="0.35">
      <c r="N24" s="17">
        <f t="shared" si="9"/>
        <v>4</v>
      </c>
      <c r="O24" s="114" t="s">
        <v>101</v>
      </c>
      <c r="P24" s="115"/>
      <c r="Q24" s="115"/>
      <c r="R24" s="36">
        <f>K10*L10</f>
        <v>5106</v>
      </c>
      <c r="S24" s="31">
        <v>0.71599999999999997</v>
      </c>
      <c r="T24" s="81">
        <f t="shared" si="7"/>
        <v>3655.8959999999997</v>
      </c>
      <c r="U24" s="36">
        <v>86000</v>
      </c>
      <c r="V24" s="33">
        <f t="shared" si="8"/>
        <v>314407.05599999998</v>
      </c>
      <c r="W24" s="74"/>
    </row>
    <row r="25" spans="2:23" ht="39.6" customHeight="1" x14ac:dyDescent="0.35">
      <c r="N25" s="17">
        <f t="shared" si="9"/>
        <v>5</v>
      </c>
      <c r="O25" s="114" t="s">
        <v>102</v>
      </c>
      <c r="P25" s="115"/>
      <c r="Q25" s="115"/>
      <c r="R25" s="36">
        <f>K9*L9</f>
        <v>5106</v>
      </c>
      <c r="S25" s="31">
        <v>0.85299999999999998</v>
      </c>
      <c r="T25" s="81">
        <f t="shared" si="7"/>
        <v>4355.4179999999997</v>
      </c>
      <c r="U25" s="36">
        <v>86000</v>
      </c>
      <c r="V25" s="33">
        <f t="shared" si="8"/>
        <v>374565.94799999997</v>
      </c>
      <c r="W25" s="74"/>
    </row>
    <row r="26" spans="2:23" ht="39.6" customHeight="1" x14ac:dyDescent="0.35">
      <c r="N26" s="17">
        <f t="shared" si="9"/>
        <v>6</v>
      </c>
      <c r="O26" s="114" t="s">
        <v>103</v>
      </c>
      <c r="P26" s="115"/>
      <c r="Q26" s="115"/>
      <c r="R26" s="36">
        <f>K7*L7</f>
        <v>2846</v>
      </c>
      <c r="S26" s="101">
        <v>0.65</v>
      </c>
      <c r="T26" s="81">
        <f t="shared" si="7"/>
        <v>1849.9</v>
      </c>
      <c r="U26" s="36">
        <v>86000</v>
      </c>
      <c r="V26" s="33">
        <f t="shared" si="8"/>
        <v>159091.4</v>
      </c>
      <c r="W26" s="74"/>
    </row>
    <row r="27" spans="2:23" ht="39.6" customHeight="1" x14ac:dyDescent="0.35">
      <c r="N27" s="17">
        <f t="shared" si="9"/>
        <v>7</v>
      </c>
      <c r="O27" s="114" t="s">
        <v>104</v>
      </c>
      <c r="P27" s="115"/>
      <c r="Q27" s="115"/>
      <c r="R27" s="36">
        <f>K8*L8</f>
        <v>2846</v>
      </c>
      <c r="S27" s="31">
        <v>0.83399999999999996</v>
      </c>
      <c r="T27" s="81">
        <f t="shared" si="7"/>
        <v>2373.5639999999999</v>
      </c>
      <c r="U27" s="36">
        <v>86000</v>
      </c>
      <c r="V27" s="33">
        <f t="shared" si="8"/>
        <v>204126.50399999999</v>
      </c>
      <c r="W27" s="75"/>
    </row>
    <row r="28" spans="2:23" ht="39.6" customHeight="1" x14ac:dyDescent="0.35">
      <c r="N28" s="17">
        <f>N24+1</f>
        <v>5</v>
      </c>
      <c r="O28" s="114" t="s">
        <v>78</v>
      </c>
      <c r="P28" s="115"/>
      <c r="Q28" s="119"/>
      <c r="R28" s="36"/>
      <c r="S28" s="31"/>
      <c r="T28" s="72"/>
      <c r="U28" s="52">
        <v>0.05</v>
      </c>
      <c r="V28" s="36">
        <f>SUM(V21:V27)*U28</f>
        <v>95947.250200000009</v>
      </c>
      <c r="W28" s="44"/>
    </row>
    <row r="29" spans="2:23" ht="39.6" customHeight="1" x14ac:dyDescent="0.35">
      <c r="N29" s="17">
        <f t="shared" si="9"/>
        <v>6</v>
      </c>
      <c r="O29" s="114" t="s">
        <v>105</v>
      </c>
      <c r="P29" s="115"/>
      <c r="Q29" s="115"/>
      <c r="R29" s="31"/>
      <c r="S29" s="31"/>
      <c r="T29" s="35">
        <v>2</v>
      </c>
      <c r="U29" s="36">
        <v>15000</v>
      </c>
      <c r="V29" s="33">
        <f t="shared" ref="V29" si="10">U29*T29</f>
        <v>30000</v>
      </c>
      <c r="W29" s="17"/>
    </row>
    <row r="30" spans="2:23" ht="39.6" customHeight="1" x14ac:dyDescent="0.35">
      <c r="N30" s="17">
        <f t="shared" si="9"/>
        <v>7</v>
      </c>
      <c r="O30" s="116" t="s">
        <v>65</v>
      </c>
      <c r="P30" s="117"/>
      <c r="Q30" s="117"/>
      <c r="R30" s="117"/>
      <c r="S30" s="118"/>
      <c r="T30" s="37"/>
      <c r="U30" s="38"/>
      <c r="V30" s="39">
        <f>SUM(V21:V29)</f>
        <v>2044892.2541999999</v>
      </c>
      <c r="W30" s="17"/>
    </row>
    <row r="31" spans="2:23" ht="39.6" customHeight="1" x14ac:dyDescent="0.35">
      <c r="N31" s="26" t="s">
        <v>14</v>
      </c>
      <c r="O31" s="121" t="s">
        <v>51</v>
      </c>
      <c r="P31" s="121"/>
      <c r="Q31" s="121"/>
      <c r="R31" s="26" t="s">
        <v>52</v>
      </c>
      <c r="S31" s="32" t="s">
        <v>58</v>
      </c>
      <c r="T31" s="32"/>
      <c r="U31" s="26" t="s">
        <v>44</v>
      </c>
      <c r="V31" s="26" t="s">
        <v>45</v>
      </c>
      <c r="W31" s="28" t="s">
        <v>75</v>
      </c>
    </row>
    <row r="32" spans="2:23" ht="39.6" customHeight="1" x14ac:dyDescent="0.35">
      <c r="N32" s="17">
        <v>1</v>
      </c>
      <c r="O32" s="114" t="s">
        <v>95</v>
      </c>
      <c r="P32" s="115"/>
      <c r="Q32" s="115"/>
      <c r="R32" s="40">
        <f>R24+R25+R26+R27*2</f>
        <v>18750</v>
      </c>
      <c r="S32" s="2">
        <v>1</v>
      </c>
      <c r="T32" s="27"/>
      <c r="U32" s="40">
        <v>1000</v>
      </c>
      <c r="V32" s="40">
        <f>U32*R32*S32/1000</f>
        <v>18750</v>
      </c>
      <c r="W32" s="28"/>
    </row>
    <row r="33" spans="14:23" ht="39.6" customHeight="1" x14ac:dyDescent="0.35">
      <c r="N33" s="17">
        <v>2</v>
      </c>
      <c r="O33" s="114" t="s">
        <v>68</v>
      </c>
      <c r="P33" s="115"/>
      <c r="Q33" s="119"/>
      <c r="R33" s="40"/>
      <c r="S33" s="54">
        <v>1</v>
      </c>
      <c r="T33" s="27"/>
      <c r="U33" s="40">
        <v>1000</v>
      </c>
      <c r="V33" s="40">
        <f t="shared" ref="V33:V34" si="11">U33*S33</f>
        <v>1000</v>
      </c>
      <c r="W33" s="2"/>
    </row>
    <row r="34" spans="14:23" ht="39.6" customHeight="1" x14ac:dyDescent="0.35">
      <c r="N34" s="17">
        <f t="shared" ref="N34:N35" si="12">N33+1</f>
        <v>3</v>
      </c>
      <c r="O34" s="114" t="s">
        <v>70</v>
      </c>
      <c r="P34" s="115"/>
      <c r="Q34" s="119"/>
      <c r="R34" s="40"/>
      <c r="S34" s="2">
        <v>1</v>
      </c>
      <c r="T34" s="27"/>
      <c r="U34" s="40">
        <v>2000</v>
      </c>
      <c r="V34" s="40">
        <f t="shared" si="11"/>
        <v>2000</v>
      </c>
      <c r="W34" s="2"/>
    </row>
    <row r="35" spans="14:23" ht="39.6" customHeight="1" x14ac:dyDescent="0.35">
      <c r="N35" s="17">
        <f t="shared" si="12"/>
        <v>4</v>
      </c>
      <c r="O35" s="131" t="s">
        <v>69</v>
      </c>
      <c r="P35" s="131"/>
      <c r="Q35" s="131"/>
      <c r="R35" s="131"/>
      <c r="S35" s="131"/>
      <c r="T35" s="37"/>
      <c r="U35" s="38"/>
      <c r="V35" s="39">
        <f>SUM(V32:V34)</f>
        <v>21750</v>
      </c>
      <c r="W35" s="2"/>
    </row>
    <row r="36" spans="14:23" ht="39.6" customHeight="1" x14ac:dyDescent="0.35">
      <c r="N36" s="96"/>
      <c r="O36" s="111" t="s">
        <v>145</v>
      </c>
      <c r="P36" s="112"/>
      <c r="Q36" s="112"/>
      <c r="R36" s="112"/>
      <c r="S36" s="113"/>
      <c r="T36" s="98"/>
      <c r="U36" s="99"/>
      <c r="V36" s="100">
        <f>V30+V35</f>
        <v>2066642.2541999999</v>
      </c>
      <c r="W36" s="97"/>
    </row>
    <row r="37" spans="14:23" ht="39.6" customHeight="1" x14ac:dyDescent="0.35">
      <c r="V37" s="22">
        <v>510000</v>
      </c>
      <c r="W37" s="22">
        <f>V36+V38+L14+L17</f>
        <v>7878483.4542000005</v>
      </c>
    </row>
    <row r="38" spans="14:23" ht="39.6" customHeight="1" x14ac:dyDescent="0.35">
      <c r="V38" s="1">
        <f>F6*350</f>
        <v>2730000</v>
      </c>
      <c r="W38" s="106">
        <f>W37/F6</f>
        <v>1010.0619813076923</v>
      </c>
    </row>
    <row r="39" spans="14:23" ht="39.6" customHeight="1" x14ac:dyDescent="0.35">
      <c r="V39" s="22">
        <f>V36+L14+V37+V38</f>
        <v>6828483.4541999996</v>
      </c>
      <c r="W39" s="1">
        <f>F6*1600</f>
        <v>12480000</v>
      </c>
    </row>
    <row r="40" spans="14:23" ht="39.6" customHeight="1" x14ac:dyDescent="0.35">
      <c r="V40" s="106">
        <f>V39/F6</f>
        <v>875.44659669230759</v>
      </c>
      <c r="W40" s="106">
        <f>V39/W39</f>
        <v>0.54715412293269228</v>
      </c>
    </row>
  </sheetData>
  <mergeCells count="80">
    <mergeCell ref="O16:Q16"/>
    <mergeCell ref="O17:S17"/>
    <mergeCell ref="O13:Q13"/>
    <mergeCell ref="O14:Q14"/>
    <mergeCell ref="O15:Q15"/>
    <mergeCell ref="B23:C23"/>
    <mergeCell ref="D23:E23"/>
    <mergeCell ref="F23:G23"/>
    <mergeCell ref="H23:I23"/>
    <mergeCell ref="J23:K23"/>
    <mergeCell ref="B21:G21"/>
    <mergeCell ref="H21:I21"/>
    <mergeCell ref="J21:K21"/>
    <mergeCell ref="B22:G22"/>
    <mergeCell ref="H22:I22"/>
    <mergeCell ref="J22:K22"/>
    <mergeCell ref="B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O6:Q6"/>
    <mergeCell ref="B15:C15"/>
    <mergeCell ref="D15:E15"/>
    <mergeCell ref="F15:G15"/>
    <mergeCell ref="H15:I15"/>
    <mergeCell ref="J15:K15"/>
    <mergeCell ref="O10:Q10"/>
    <mergeCell ref="O11:Q11"/>
    <mergeCell ref="O12:S12"/>
    <mergeCell ref="O21:Q21"/>
    <mergeCell ref="O22:Q22"/>
    <mergeCell ref="O23:Q23"/>
    <mergeCell ref="B1:L1"/>
    <mergeCell ref="I11:I12"/>
    <mergeCell ref="I2:L2"/>
    <mergeCell ref="O7:Q7"/>
    <mergeCell ref="O8:Q8"/>
    <mergeCell ref="O9:Q9"/>
    <mergeCell ref="B2:F2"/>
    <mergeCell ref="B3:D12"/>
    <mergeCell ref="N1:W1"/>
    <mergeCell ref="O2:Q2"/>
    <mergeCell ref="O3:Q3"/>
    <mergeCell ref="O4:Q4"/>
    <mergeCell ref="O5:Q5"/>
    <mergeCell ref="O34:Q34"/>
    <mergeCell ref="O35:S35"/>
    <mergeCell ref="O18:S18"/>
    <mergeCell ref="O36:S36"/>
    <mergeCell ref="O29:Q29"/>
    <mergeCell ref="O30:S30"/>
    <mergeCell ref="O31:Q31"/>
    <mergeCell ref="O32:Q32"/>
    <mergeCell ref="O33:Q33"/>
    <mergeCell ref="O24:Q24"/>
    <mergeCell ref="O25:Q25"/>
    <mergeCell ref="O26:Q26"/>
    <mergeCell ref="O27:Q27"/>
    <mergeCell ref="O28:Q28"/>
    <mergeCell ref="N19:W19"/>
    <mergeCell ref="O20:Q20"/>
  </mergeCells>
  <pageMargins left="0.25" right="0.25" top="0.75" bottom="0.75" header="0.3" footer="0.3"/>
  <pageSetup scale="7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W38"/>
  <sheetViews>
    <sheetView topLeftCell="A7" zoomScale="50" zoomScaleNormal="50" workbookViewId="0">
      <selection activeCell="L16" sqref="L16"/>
    </sheetView>
  </sheetViews>
  <sheetFormatPr defaultColWidth="17.44140625" defaultRowHeight="29.4" customHeight="1" x14ac:dyDescent="0.35"/>
  <cols>
    <col min="1" max="13" width="17.44140625" style="1"/>
    <col min="14" max="21" width="17.21875" style="1"/>
    <col min="22" max="22" width="21.44140625" style="1" bestFit="1" customWidth="1"/>
    <col min="23" max="23" width="35.21875" style="1" customWidth="1"/>
    <col min="24" max="16384" width="17.44140625" style="1"/>
  </cols>
  <sheetData>
    <row r="1" spans="2:23" ht="57" customHeight="1" x14ac:dyDescent="0.45"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70"/>
      <c r="N1" s="120" t="s">
        <v>146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29.4" customHeight="1" x14ac:dyDescent="0.35">
      <c r="B2" s="158"/>
      <c r="C2" s="159"/>
      <c r="D2" s="159"/>
      <c r="E2" s="159"/>
      <c r="F2" s="191"/>
      <c r="G2" s="13"/>
      <c r="H2" s="7"/>
      <c r="I2" s="158" t="s">
        <v>9</v>
      </c>
      <c r="J2" s="159"/>
      <c r="K2" s="159"/>
      <c r="L2" s="159"/>
      <c r="M2" s="71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29.4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98</v>
      </c>
      <c r="P3" s="115"/>
      <c r="Q3" s="115"/>
      <c r="R3" s="36">
        <f>K6*L6</f>
        <v>5160</v>
      </c>
      <c r="S3" s="31">
        <v>1.367</v>
      </c>
      <c r="T3" s="81">
        <f>S3*R3</f>
        <v>7053.72</v>
      </c>
      <c r="U3" s="36">
        <v>86000</v>
      </c>
      <c r="V3" s="33">
        <f>U3*T3/1000</f>
        <v>606619.92000000004</v>
      </c>
      <c r="W3" s="73"/>
    </row>
    <row r="4" spans="2:23" ht="29.4" customHeight="1" x14ac:dyDescent="0.35">
      <c r="B4" s="125"/>
      <c r="C4" s="126"/>
      <c r="D4" s="154"/>
      <c r="E4" s="3">
        <v>2600</v>
      </c>
      <c r="F4" s="3">
        <v>2580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--D1541A-1</v>
      </c>
      <c r="K4" s="3">
        <f>E4-36</f>
        <v>2564</v>
      </c>
      <c r="L4" s="3">
        <f>G4*1</f>
        <v>1</v>
      </c>
      <c r="N4" s="17">
        <f>N3+1</f>
        <v>2</v>
      </c>
      <c r="O4" s="114" t="s">
        <v>99</v>
      </c>
      <c r="P4" s="115"/>
      <c r="Q4" s="115"/>
      <c r="R4" s="36">
        <f>K4*L4</f>
        <v>2564</v>
      </c>
      <c r="S4" s="31">
        <v>1.9590000000000001</v>
      </c>
      <c r="T4" s="81">
        <f t="shared" ref="T4:T9" si="0">S4*R4</f>
        <v>5022.8760000000002</v>
      </c>
      <c r="U4" s="36">
        <v>86000</v>
      </c>
      <c r="V4" s="33">
        <f t="shared" ref="V4:V9" si="1">U4*T4/1000</f>
        <v>431967.33600000001</v>
      </c>
      <c r="W4" s="74"/>
    </row>
    <row r="5" spans="2:23" ht="29.4" customHeight="1" x14ac:dyDescent="0.35">
      <c r="B5" s="125"/>
      <c r="C5" s="126"/>
      <c r="D5" s="154"/>
      <c r="E5" s="84"/>
      <c r="F5" s="43" t="s">
        <v>46</v>
      </c>
      <c r="G5" s="43" t="s">
        <v>119</v>
      </c>
      <c r="H5" s="6" t="s">
        <v>20</v>
      </c>
      <c r="I5" s="3" t="s">
        <v>30</v>
      </c>
      <c r="J5" s="6" t="str">
        <f>CONCATENATE($G$2,"-",$D$12,"-","D17182","-","1")</f>
        <v>--D17182-1</v>
      </c>
      <c r="K5" s="3">
        <f>E4-36</f>
        <v>2564</v>
      </c>
      <c r="L5" s="3">
        <f>G4*1</f>
        <v>1</v>
      </c>
      <c r="N5" s="17">
        <f t="shared" ref="N5:N12" si="2">N4+1</f>
        <v>3</v>
      </c>
      <c r="O5" s="114" t="s">
        <v>100</v>
      </c>
      <c r="P5" s="115"/>
      <c r="Q5" s="115"/>
      <c r="R5" s="36">
        <f>R4</f>
        <v>2564</v>
      </c>
      <c r="S5" s="31">
        <v>2.2949999999999999</v>
      </c>
      <c r="T5" s="81">
        <f t="shared" si="0"/>
        <v>5884.38</v>
      </c>
      <c r="U5" s="36">
        <v>86000</v>
      </c>
      <c r="V5" s="33">
        <f t="shared" si="1"/>
        <v>506056.68</v>
      </c>
      <c r="W5" s="74"/>
    </row>
    <row r="6" spans="2:23" ht="29.4" customHeight="1" x14ac:dyDescent="0.35">
      <c r="B6" s="125"/>
      <c r="C6" s="126"/>
      <c r="D6" s="154"/>
      <c r="E6" s="54"/>
      <c r="F6" s="19">
        <f>F4*E4/1000</f>
        <v>6708</v>
      </c>
      <c r="G6" s="83">
        <f>SUM(T3:T9)</f>
        <v>40822.838000000003</v>
      </c>
      <c r="H6" s="6" t="s">
        <v>21</v>
      </c>
      <c r="I6" s="3" t="s">
        <v>11</v>
      </c>
      <c r="J6" s="6" t="str">
        <f>CONCATENATE($G$2,"-",$D$12,"-","D1543A","-","2")</f>
        <v>--D1543A-2</v>
      </c>
      <c r="K6" s="3">
        <f>F4</f>
        <v>2580</v>
      </c>
      <c r="L6" s="3">
        <f>G4*2</f>
        <v>2</v>
      </c>
      <c r="N6" s="17">
        <f t="shared" si="2"/>
        <v>4</v>
      </c>
      <c r="O6" s="114" t="s">
        <v>101</v>
      </c>
      <c r="P6" s="115"/>
      <c r="Q6" s="115"/>
      <c r="R6" s="36">
        <f>K10*L10</f>
        <v>10060</v>
      </c>
      <c r="S6" s="31">
        <v>1.0980000000000001</v>
      </c>
      <c r="T6" s="81">
        <f t="shared" si="0"/>
        <v>11045.880000000001</v>
      </c>
      <c r="U6" s="36">
        <v>86000</v>
      </c>
      <c r="V6" s="33">
        <f t="shared" si="1"/>
        <v>949945.68000000017</v>
      </c>
      <c r="W6" s="74"/>
    </row>
    <row r="7" spans="2:23" ht="29.4" customHeight="1" x14ac:dyDescent="0.35">
      <c r="B7" s="125"/>
      <c r="C7" s="126"/>
      <c r="D7" s="154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--D1544A-1</v>
      </c>
      <c r="K7" s="3">
        <f>ROUNDDOWN((E4-176)/3,0)</f>
        <v>808</v>
      </c>
      <c r="L7" s="3">
        <f>G4*3</f>
        <v>3</v>
      </c>
      <c r="N7" s="17">
        <f t="shared" si="2"/>
        <v>5</v>
      </c>
      <c r="O7" s="114" t="s">
        <v>102</v>
      </c>
      <c r="P7" s="115"/>
      <c r="Q7" s="115"/>
      <c r="R7" s="36">
        <f>K9*L9</f>
        <v>5030</v>
      </c>
      <c r="S7" s="31">
        <v>1.2729999999999999</v>
      </c>
      <c r="T7" s="81">
        <f t="shared" si="0"/>
        <v>6403.19</v>
      </c>
      <c r="U7" s="36">
        <v>86000</v>
      </c>
      <c r="V7" s="33">
        <f t="shared" si="1"/>
        <v>550674.34</v>
      </c>
      <c r="W7" s="74"/>
    </row>
    <row r="8" spans="2:23" ht="29.4" customHeight="1" x14ac:dyDescent="0.35">
      <c r="B8" s="125"/>
      <c r="C8" s="126"/>
      <c r="D8" s="154"/>
      <c r="E8" s="2"/>
      <c r="F8" s="2"/>
      <c r="G8" s="2"/>
      <c r="H8" s="6" t="s">
        <v>24</v>
      </c>
      <c r="I8" s="3" t="s">
        <v>31</v>
      </c>
      <c r="J8" s="6" t="str">
        <f>CONCATENATE($G$2,"-",$D$12,"-","D1555A","-","1")</f>
        <v>--D1555A-1</v>
      </c>
      <c r="K8" s="3">
        <f>K7</f>
        <v>808</v>
      </c>
      <c r="L8" s="3">
        <f>G4*3</f>
        <v>3</v>
      </c>
      <c r="N8" s="17">
        <f t="shared" si="2"/>
        <v>6</v>
      </c>
      <c r="O8" s="114" t="s">
        <v>103</v>
      </c>
      <c r="P8" s="115"/>
      <c r="Q8" s="115"/>
      <c r="R8" s="36">
        <f>K7*L7</f>
        <v>2424</v>
      </c>
      <c r="S8" s="31">
        <v>0.99</v>
      </c>
      <c r="T8" s="81">
        <f t="shared" si="0"/>
        <v>2399.7599999999998</v>
      </c>
      <c r="U8" s="36">
        <v>86000</v>
      </c>
      <c r="V8" s="33">
        <f t="shared" si="1"/>
        <v>206379.35999999996</v>
      </c>
      <c r="W8" s="74"/>
    </row>
    <row r="9" spans="2:23" ht="29.4" customHeight="1" x14ac:dyDescent="0.35">
      <c r="B9" s="125"/>
      <c r="C9" s="126"/>
      <c r="D9" s="154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--D1546A-2</v>
      </c>
      <c r="K9" s="3">
        <f>F4-65</f>
        <v>2515</v>
      </c>
      <c r="L9" s="3">
        <f>G4*2</f>
        <v>2</v>
      </c>
      <c r="N9" s="17">
        <f t="shared" si="2"/>
        <v>7</v>
      </c>
      <c r="O9" s="114" t="s">
        <v>104</v>
      </c>
      <c r="P9" s="115"/>
      <c r="Q9" s="115"/>
      <c r="R9" s="36">
        <f>K8*L8</f>
        <v>2424</v>
      </c>
      <c r="S9" s="31">
        <v>1.2430000000000001</v>
      </c>
      <c r="T9" s="81">
        <f t="shared" si="0"/>
        <v>3013.0320000000002</v>
      </c>
      <c r="U9" s="36">
        <v>86000</v>
      </c>
      <c r="V9" s="33">
        <f t="shared" si="1"/>
        <v>259120.75200000001</v>
      </c>
      <c r="W9" s="75"/>
    </row>
    <row r="10" spans="2:23" ht="29.4" customHeight="1" x14ac:dyDescent="0.35">
      <c r="B10" s="125"/>
      <c r="C10" s="126"/>
      <c r="D10" s="154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--D1547A-2</v>
      </c>
      <c r="K10" s="3">
        <f>F4-65</f>
        <v>2515</v>
      </c>
      <c r="L10" s="3">
        <f>G4*4</f>
        <v>4</v>
      </c>
      <c r="N10" s="17">
        <f>N6+1</f>
        <v>5</v>
      </c>
      <c r="O10" s="114" t="s">
        <v>78</v>
      </c>
      <c r="P10" s="115"/>
      <c r="Q10" s="119"/>
      <c r="R10" s="36"/>
      <c r="S10" s="31"/>
      <c r="T10" s="72"/>
      <c r="U10" s="52">
        <v>0.05</v>
      </c>
      <c r="V10" s="36">
        <f>SUM(V3:V9)*U10</f>
        <v>175538.2034</v>
      </c>
      <c r="W10" s="44"/>
    </row>
    <row r="11" spans="2:23" ht="29.4" customHeight="1" x14ac:dyDescent="0.35">
      <c r="B11" s="125"/>
      <c r="C11" s="126"/>
      <c r="D11" s="154"/>
      <c r="E11" s="3"/>
      <c r="F11" s="3"/>
      <c r="G11" s="3"/>
      <c r="H11" s="6" t="s">
        <v>106</v>
      </c>
      <c r="I11" s="156" t="s">
        <v>79</v>
      </c>
      <c r="J11" s="3" t="s">
        <v>6</v>
      </c>
      <c r="K11" s="3" t="s">
        <v>7</v>
      </c>
      <c r="L11" s="5" t="s">
        <v>2</v>
      </c>
      <c r="N11" s="17">
        <f t="shared" si="2"/>
        <v>6</v>
      </c>
      <c r="O11" s="114" t="s">
        <v>105</v>
      </c>
      <c r="P11" s="115"/>
      <c r="Q11" s="115"/>
      <c r="R11" s="31"/>
      <c r="S11" s="31"/>
      <c r="T11" s="35">
        <v>3</v>
      </c>
      <c r="U11" s="36">
        <v>15000</v>
      </c>
      <c r="V11" s="33">
        <f t="shared" ref="V11" si="3">U11*T11</f>
        <v>45000</v>
      </c>
      <c r="W11" s="17"/>
    </row>
    <row r="12" spans="2:23" ht="29.4" customHeight="1" x14ac:dyDescent="0.35">
      <c r="B12" s="127"/>
      <c r="C12" s="128"/>
      <c r="D12" s="155"/>
      <c r="E12" s="3"/>
      <c r="F12" s="3"/>
      <c r="G12" s="3"/>
      <c r="H12" s="6" t="s">
        <v>107</v>
      </c>
      <c r="I12" s="157"/>
      <c r="J12" s="14">
        <f>K8-10</f>
        <v>798</v>
      </c>
      <c r="K12" s="14">
        <f>K9-91</f>
        <v>2424</v>
      </c>
      <c r="L12" s="3">
        <f>G4*3</f>
        <v>3</v>
      </c>
      <c r="N12" s="17">
        <f t="shared" si="2"/>
        <v>7</v>
      </c>
      <c r="O12" s="116" t="s">
        <v>65</v>
      </c>
      <c r="P12" s="117"/>
      <c r="Q12" s="117"/>
      <c r="R12" s="117"/>
      <c r="S12" s="118"/>
      <c r="T12" s="37"/>
      <c r="U12" s="38"/>
      <c r="V12" s="39">
        <f>SUM(V3:V11)</f>
        <v>3731302.2714</v>
      </c>
      <c r="W12" s="17"/>
    </row>
    <row r="13" spans="2:23" ht="29.4" customHeight="1" x14ac:dyDescent="0.35">
      <c r="N13" s="26" t="s">
        <v>14</v>
      </c>
      <c r="O13" s="121" t="s">
        <v>51</v>
      </c>
      <c r="P13" s="121"/>
      <c r="Q13" s="121"/>
      <c r="R13" s="26" t="s">
        <v>52</v>
      </c>
      <c r="S13" s="32" t="s">
        <v>58</v>
      </c>
      <c r="T13" s="32"/>
      <c r="U13" s="26" t="s">
        <v>44</v>
      </c>
      <c r="V13" s="26" t="s">
        <v>45</v>
      </c>
      <c r="W13" s="28" t="s">
        <v>75</v>
      </c>
    </row>
    <row r="14" spans="2:23" ht="29.4" customHeight="1" x14ac:dyDescent="0.35">
      <c r="N14" s="17">
        <v>1</v>
      </c>
      <c r="O14" s="114" t="s">
        <v>95</v>
      </c>
      <c r="P14" s="115"/>
      <c r="Q14" s="115"/>
      <c r="R14" s="40">
        <f>R6+R7+R8+R9*2</f>
        <v>22362</v>
      </c>
      <c r="S14" s="2">
        <v>1</v>
      </c>
      <c r="T14" s="27"/>
      <c r="U14" s="40">
        <v>1000</v>
      </c>
      <c r="V14" s="40">
        <f>U14*R14*S14/1000</f>
        <v>22362</v>
      </c>
      <c r="W14" s="28"/>
    </row>
    <row r="15" spans="2:23" ht="29.4" customHeight="1" x14ac:dyDescent="0.35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00">
        <f>(J12*K12*L12)*220/1000</f>
        <v>1276672.32</v>
      </c>
      <c r="N15" s="17">
        <v>2</v>
      </c>
      <c r="O15" s="114" t="s">
        <v>68</v>
      </c>
      <c r="P15" s="115"/>
      <c r="Q15" s="119"/>
      <c r="R15" s="40"/>
      <c r="S15" s="54">
        <v>1</v>
      </c>
      <c r="T15" s="27"/>
      <c r="U15" s="40">
        <v>1000</v>
      </c>
      <c r="V15" s="40">
        <f t="shared" ref="V15:V16" si="4">U15*S15</f>
        <v>1000</v>
      </c>
      <c r="W15" s="2"/>
    </row>
    <row r="16" spans="2:23" ht="29.4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22"/>
      <c r="K16" s="122"/>
      <c r="N16" s="17">
        <f t="shared" ref="N16:N17" si="5">N15+1</f>
        <v>3</v>
      </c>
      <c r="O16" s="114" t="s">
        <v>70</v>
      </c>
      <c r="P16" s="115"/>
      <c r="Q16" s="119"/>
      <c r="R16" s="40"/>
      <c r="S16" s="2">
        <v>1</v>
      </c>
      <c r="T16" s="27"/>
      <c r="U16" s="40">
        <v>2000</v>
      </c>
      <c r="V16" s="40">
        <f t="shared" si="4"/>
        <v>2000</v>
      </c>
      <c r="W16" s="2"/>
    </row>
    <row r="17" spans="2:23" ht="29.4" customHeight="1" x14ac:dyDescent="0.35">
      <c r="B17" s="122"/>
      <c r="C17" s="122"/>
      <c r="D17" s="130"/>
      <c r="E17" s="130"/>
      <c r="F17" s="130"/>
      <c r="G17" s="130"/>
      <c r="H17" s="130"/>
      <c r="I17" s="130"/>
      <c r="J17" s="122"/>
      <c r="K17" s="122"/>
      <c r="N17" s="17">
        <f t="shared" si="5"/>
        <v>4</v>
      </c>
      <c r="O17" s="131" t="s">
        <v>69</v>
      </c>
      <c r="P17" s="131"/>
      <c r="Q17" s="131"/>
      <c r="R17" s="131"/>
      <c r="S17" s="131"/>
      <c r="T17" s="37"/>
      <c r="U17" s="38"/>
      <c r="V17" s="39">
        <f>SUM(V14:V16)</f>
        <v>25362</v>
      </c>
      <c r="W17" s="2"/>
    </row>
    <row r="18" spans="2:23" ht="29.4" customHeight="1" x14ac:dyDescent="0.35">
      <c r="B18" s="122"/>
      <c r="C18" s="122"/>
      <c r="D18" s="130"/>
      <c r="E18" s="130"/>
      <c r="F18" s="130"/>
      <c r="G18" s="130"/>
      <c r="H18" s="130"/>
      <c r="I18" s="130"/>
      <c r="J18" s="122"/>
      <c r="K18" s="122"/>
      <c r="N18" s="96"/>
      <c r="O18" s="111" t="s">
        <v>145</v>
      </c>
      <c r="P18" s="112"/>
      <c r="Q18" s="112"/>
      <c r="R18" s="112"/>
      <c r="S18" s="113"/>
      <c r="T18" s="98"/>
      <c r="U18" s="99"/>
      <c r="V18" s="100">
        <f>V12+V17</f>
        <v>3756664.2714</v>
      </c>
      <c r="W18" s="97"/>
    </row>
    <row r="19" spans="2:23" ht="29.4" customHeight="1" x14ac:dyDescent="0.45">
      <c r="B19" s="122"/>
      <c r="C19" s="122"/>
      <c r="D19" s="122"/>
      <c r="E19" s="122"/>
      <c r="F19" s="122"/>
      <c r="G19" s="122"/>
      <c r="H19" s="130"/>
      <c r="I19" s="130"/>
      <c r="J19" s="122"/>
      <c r="K19" s="122"/>
      <c r="N19" s="120" t="s">
        <v>147</v>
      </c>
      <c r="O19" s="120"/>
      <c r="P19" s="120"/>
      <c r="Q19" s="120"/>
      <c r="R19" s="120"/>
      <c r="S19" s="120"/>
      <c r="T19" s="120"/>
      <c r="U19" s="120"/>
      <c r="V19" s="120"/>
      <c r="W19" s="120"/>
    </row>
    <row r="20" spans="2:23" ht="29.4" customHeight="1" x14ac:dyDescent="0.35">
      <c r="B20" s="122"/>
      <c r="C20" s="122"/>
      <c r="D20" s="130"/>
      <c r="E20" s="130"/>
      <c r="F20" s="130"/>
      <c r="G20" s="130"/>
      <c r="H20" s="130"/>
      <c r="I20" s="130"/>
      <c r="J20" s="122"/>
      <c r="K20" s="122"/>
      <c r="N20" s="26" t="s">
        <v>14</v>
      </c>
      <c r="O20" s="121" t="s">
        <v>51</v>
      </c>
      <c r="P20" s="121"/>
      <c r="Q20" s="121"/>
      <c r="R20" s="26" t="s">
        <v>52</v>
      </c>
      <c r="S20" s="32" t="s">
        <v>62</v>
      </c>
      <c r="T20" s="32" t="s">
        <v>63</v>
      </c>
      <c r="U20" s="26" t="s">
        <v>44</v>
      </c>
      <c r="V20" s="26" t="s">
        <v>45</v>
      </c>
      <c r="W20" s="26" t="s">
        <v>39</v>
      </c>
    </row>
    <row r="21" spans="2:23" ht="29.4" customHeight="1" x14ac:dyDescent="0.35">
      <c r="B21" s="122"/>
      <c r="C21" s="122"/>
      <c r="D21" s="122"/>
      <c r="E21" s="122"/>
      <c r="F21" s="122"/>
      <c r="G21" s="122"/>
      <c r="H21" s="130"/>
      <c r="I21" s="130"/>
      <c r="J21" s="122"/>
      <c r="K21" s="122"/>
      <c r="N21" s="17">
        <v>1</v>
      </c>
      <c r="O21" s="114" t="s">
        <v>98</v>
      </c>
      <c r="P21" s="115"/>
      <c r="Q21" s="115"/>
      <c r="R21" s="36">
        <f>K6*L6</f>
        <v>5160</v>
      </c>
      <c r="S21" s="31">
        <v>1.367</v>
      </c>
      <c r="T21" s="81">
        <f>S21*R21</f>
        <v>7053.72</v>
      </c>
      <c r="U21" s="36">
        <v>80000</v>
      </c>
      <c r="V21" s="33">
        <f>U21*T21/1000</f>
        <v>564297.6</v>
      </c>
      <c r="W21" s="73"/>
    </row>
    <row r="22" spans="2:23" ht="29.4" customHeight="1" x14ac:dyDescent="0.35">
      <c r="B22" s="122"/>
      <c r="C22" s="122"/>
      <c r="D22" s="122"/>
      <c r="E22" s="122"/>
      <c r="F22" s="122"/>
      <c r="G22" s="122"/>
      <c r="H22" s="139"/>
      <c r="I22" s="139"/>
      <c r="J22" s="122"/>
      <c r="K22" s="122"/>
      <c r="N22" s="17">
        <f>N21+1</f>
        <v>2</v>
      </c>
      <c r="O22" s="114" t="s">
        <v>99</v>
      </c>
      <c r="P22" s="115"/>
      <c r="Q22" s="115"/>
      <c r="R22" s="36">
        <f>K4*L4</f>
        <v>2564</v>
      </c>
      <c r="S22" s="31">
        <v>1.9590000000000001</v>
      </c>
      <c r="T22" s="81">
        <f t="shared" ref="T22:T27" si="6">S22*R22</f>
        <v>5022.8760000000002</v>
      </c>
      <c r="U22" s="36">
        <v>80000</v>
      </c>
      <c r="V22" s="33">
        <f t="shared" ref="V22:V27" si="7">U22*T22/1000</f>
        <v>401830.08</v>
      </c>
      <c r="W22" s="74"/>
    </row>
    <row r="23" spans="2:23" ht="29.4" customHeight="1" x14ac:dyDescent="0.35">
      <c r="B23" s="122"/>
      <c r="C23" s="122"/>
      <c r="D23" s="122"/>
      <c r="E23" s="122"/>
      <c r="F23" s="122"/>
      <c r="G23" s="122"/>
      <c r="H23" s="130"/>
      <c r="I23" s="130"/>
      <c r="J23" s="122"/>
      <c r="K23" s="122"/>
      <c r="N23" s="17">
        <f t="shared" ref="N23:N30" si="8">N22+1</f>
        <v>3</v>
      </c>
      <c r="O23" s="114" t="s">
        <v>100</v>
      </c>
      <c r="P23" s="115"/>
      <c r="Q23" s="115"/>
      <c r="R23" s="36">
        <f>R22</f>
        <v>2564</v>
      </c>
      <c r="S23" s="31">
        <v>2.2949999999999999</v>
      </c>
      <c r="T23" s="81">
        <f t="shared" si="6"/>
        <v>5884.38</v>
      </c>
      <c r="U23" s="36">
        <v>80000</v>
      </c>
      <c r="V23" s="33">
        <f t="shared" si="7"/>
        <v>470750.4</v>
      </c>
      <c r="W23" s="74"/>
    </row>
    <row r="24" spans="2:23" ht="29.4" customHeight="1" x14ac:dyDescent="0.35">
      <c r="N24" s="17">
        <f t="shared" si="8"/>
        <v>4</v>
      </c>
      <c r="O24" s="114" t="s">
        <v>101</v>
      </c>
      <c r="P24" s="115"/>
      <c r="Q24" s="115"/>
      <c r="R24" s="36">
        <f>K10*L10</f>
        <v>10060</v>
      </c>
      <c r="S24" s="31">
        <v>0.71599999999999997</v>
      </c>
      <c r="T24" s="81">
        <f t="shared" si="6"/>
        <v>7202.96</v>
      </c>
      <c r="U24" s="36">
        <v>80000</v>
      </c>
      <c r="V24" s="33">
        <f t="shared" si="7"/>
        <v>576236.80000000005</v>
      </c>
      <c r="W24" s="74"/>
    </row>
    <row r="25" spans="2:23" ht="29.4" customHeight="1" x14ac:dyDescent="0.35">
      <c r="N25" s="17">
        <f t="shared" si="8"/>
        <v>5</v>
      </c>
      <c r="O25" s="114" t="s">
        <v>102</v>
      </c>
      <c r="P25" s="115"/>
      <c r="Q25" s="115"/>
      <c r="R25" s="36">
        <f>K9*L9</f>
        <v>5030</v>
      </c>
      <c r="S25" s="31">
        <v>0.85299999999999998</v>
      </c>
      <c r="T25" s="81">
        <f t="shared" si="6"/>
        <v>4290.59</v>
      </c>
      <c r="U25" s="36">
        <v>80000</v>
      </c>
      <c r="V25" s="33">
        <f t="shared" si="7"/>
        <v>343247.2</v>
      </c>
      <c r="W25" s="74"/>
    </row>
    <row r="26" spans="2:23" ht="29.4" customHeight="1" x14ac:dyDescent="0.35">
      <c r="N26" s="17">
        <f t="shared" si="8"/>
        <v>6</v>
      </c>
      <c r="O26" s="114" t="s">
        <v>103</v>
      </c>
      <c r="P26" s="115"/>
      <c r="Q26" s="115"/>
      <c r="R26" s="36">
        <f>K7*L7</f>
        <v>2424</v>
      </c>
      <c r="S26" s="101">
        <v>0.65</v>
      </c>
      <c r="T26" s="81">
        <f t="shared" si="6"/>
        <v>1575.6000000000001</v>
      </c>
      <c r="U26" s="36">
        <v>80000</v>
      </c>
      <c r="V26" s="33">
        <f t="shared" si="7"/>
        <v>126048.00000000001</v>
      </c>
      <c r="W26" s="74"/>
    </row>
    <row r="27" spans="2:23" ht="29.4" customHeight="1" x14ac:dyDescent="0.35">
      <c r="N27" s="17">
        <f t="shared" si="8"/>
        <v>7</v>
      </c>
      <c r="O27" s="114" t="s">
        <v>104</v>
      </c>
      <c r="P27" s="115"/>
      <c r="Q27" s="115"/>
      <c r="R27" s="36">
        <f>K8*L8</f>
        <v>2424</v>
      </c>
      <c r="S27" s="31">
        <v>0.83399999999999996</v>
      </c>
      <c r="T27" s="81">
        <f t="shared" si="6"/>
        <v>2021.616</v>
      </c>
      <c r="U27" s="36">
        <v>80000</v>
      </c>
      <c r="V27" s="33">
        <f t="shared" si="7"/>
        <v>161729.28</v>
      </c>
      <c r="W27" s="75"/>
    </row>
    <row r="28" spans="2:23" ht="29.4" customHeight="1" x14ac:dyDescent="0.35">
      <c r="N28" s="17">
        <f>N24+1</f>
        <v>5</v>
      </c>
      <c r="O28" s="114" t="s">
        <v>78</v>
      </c>
      <c r="P28" s="115"/>
      <c r="Q28" s="119"/>
      <c r="R28" s="36"/>
      <c r="S28" s="31"/>
      <c r="T28" s="72"/>
      <c r="U28" s="52">
        <v>0.05</v>
      </c>
      <c r="V28" s="36">
        <f>SUM(V21:V27)*U28</f>
        <v>132206.96799999999</v>
      </c>
      <c r="W28" s="44"/>
    </row>
    <row r="29" spans="2:23" ht="29.4" customHeight="1" x14ac:dyDescent="0.35">
      <c r="N29" s="17">
        <f t="shared" si="8"/>
        <v>6</v>
      </c>
      <c r="O29" s="114" t="s">
        <v>105</v>
      </c>
      <c r="P29" s="115"/>
      <c r="Q29" s="115"/>
      <c r="R29" s="31"/>
      <c r="S29" s="31"/>
      <c r="T29" s="35">
        <v>3</v>
      </c>
      <c r="U29" s="36">
        <v>15000</v>
      </c>
      <c r="V29" s="33">
        <f t="shared" ref="V29" si="9">U29*T29</f>
        <v>45000</v>
      </c>
      <c r="W29" s="17"/>
    </row>
    <row r="30" spans="2:23" ht="29.4" customHeight="1" x14ac:dyDescent="0.35">
      <c r="N30" s="17">
        <f t="shared" si="8"/>
        <v>7</v>
      </c>
      <c r="O30" s="116" t="s">
        <v>65</v>
      </c>
      <c r="P30" s="117"/>
      <c r="Q30" s="117"/>
      <c r="R30" s="117"/>
      <c r="S30" s="118"/>
      <c r="T30" s="37"/>
      <c r="U30" s="38"/>
      <c r="V30" s="39">
        <f>SUM(V21:V29)</f>
        <v>2821346.3279999997</v>
      </c>
      <c r="W30" s="17"/>
    </row>
    <row r="31" spans="2:23" ht="29.4" customHeight="1" x14ac:dyDescent="0.35">
      <c r="N31" s="26" t="s">
        <v>14</v>
      </c>
      <c r="O31" s="121" t="s">
        <v>51</v>
      </c>
      <c r="P31" s="121"/>
      <c r="Q31" s="121"/>
      <c r="R31" s="26" t="s">
        <v>52</v>
      </c>
      <c r="S31" s="32" t="s">
        <v>58</v>
      </c>
      <c r="T31" s="32"/>
      <c r="U31" s="26" t="s">
        <v>44</v>
      </c>
      <c r="V31" s="26" t="s">
        <v>45</v>
      </c>
      <c r="W31" s="28" t="s">
        <v>75</v>
      </c>
    </row>
    <row r="32" spans="2:23" ht="29.4" customHeight="1" x14ac:dyDescent="0.35">
      <c r="N32" s="17">
        <v>1</v>
      </c>
      <c r="O32" s="114" t="s">
        <v>95</v>
      </c>
      <c r="P32" s="115"/>
      <c r="Q32" s="115"/>
      <c r="R32" s="40">
        <f>R24+R25+R26+R27*2</f>
        <v>22362</v>
      </c>
      <c r="S32" s="2">
        <v>1</v>
      </c>
      <c r="T32" s="27"/>
      <c r="U32" s="40">
        <v>1000</v>
      </c>
      <c r="V32" s="40">
        <f>U32*R32*S32/1000</f>
        <v>22362</v>
      </c>
      <c r="W32" s="28"/>
    </row>
    <row r="33" spans="14:23" ht="29.4" customHeight="1" x14ac:dyDescent="0.35">
      <c r="N33" s="17">
        <v>2</v>
      </c>
      <c r="O33" s="114" t="s">
        <v>68</v>
      </c>
      <c r="P33" s="115"/>
      <c r="Q33" s="119"/>
      <c r="R33" s="40"/>
      <c r="S33" s="54">
        <v>1</v>
      </c>
      <c r="T33" s="27"/>
      <c r="U33" s="40">
        <v>1000</v>
      </c>
      <c r="V33" s="40">
        <f t="shared" ref="V33:V34" si="10">U33*S33</f>
        <v>1000</v>
      </c>
      <c r="W33" s="2"/>
    </row>
    <row r="34" spans="14:23" ht="29.4" customHeight="1" x14ac:dyDescent="0.35">
      <c r="N34" s="17">
        <f t="shared" ref="N34:N35" si="11">N33+1</f>
        <v>3</v>
      </c>
      <c r="O34" s="114" t="s">
        <v>70</v>
      </c>
      <c r="P34" s="115"/>
      <c r="Q34" s="119"/>
      <c r="R34" s="40"/>
      <c r="S34" s="2">
        <v>1</v>
      </c>
      <c r="T34" s="27"/>
      <c r="U34" s="40">
        <v>2000</v>
      </c>
      <c r="V34" s="40">
        <f t="shared" si="10"/>
        <v>2000</v>
      </c>
      <c r="W34" s="2"/>
    </row>
    <row r="35" spans="14:23" ht="29.4" customHeight="1" x14ac:dyDescent="0.35">
      <c r="N35" s="17">
        <f t="shared" si="11"/>
        <v>4</v>
      </c>
      <c r="O35" s="131" t="s">
        <v>69</v>
      </c>
      <c r="P35" s="131"/>
      <c r="Q35" s="131"/>
      <c r="R35" s="131"/>
      <c r="S35" s="131"/>
      <c r="T35" s="37"/>
      <c r="U35" s="38"/>
      <c r="V35" s="39">
        <f>SUM(V32:V34)</f>
        <v>25362</v>
      </c>
      <c r="W35" s="2"/>
    </row>
    <row r="36" spans="14:23" ht="29.4" customHeight="1" x14ac:dyDescent="0.35">
      <c r="N36" s="96"/>
      <c r="O36" s="111" t="s">
        <v>145</v>
      </c>
      <c r="P36" s="112"/>
      <c r="Q36" s="112"/>
      <c r="R36" s="112"/>
      <c r="S36" s="113"/>
      <c r="T36" s="98"/>
      <c r="U36" s="99"/>
      <c r="V36" s="100">
        <f>V30+V35</f>
        <v>2846708.3279999997</v>
      </c>
      <c r="W36" s="97"/>
    </row>
    <row r="37" spans="14:23" ht="29.4" customHeight="1" x14ac:dyDescent="0.35">
      <c r="V37" s="1">
        <f>F6*300</f>
        <v>2012400</v>
      </c>
    </row>
    <row r="38" spans="14:23" ht="29.4" customHeight="1" x14ac:dyDescent="0.35">
      <c r="V38" s="22">
        <f>V18+V37</f>
        <v>5769064.2714</v>
      </c>
    </row>
  </sheetData>
  <mergeCells count="80">
    <mergeCell ref="B19:G19"/>
    <mergeCell ref="H19:I19"/>
    <mergeCell ref="J19:K19"/>
    <mergeCell ref="B21:G21"/>
    <mergeCell ref="H21:I21"/>
    <mergeCell ref="J21:K21"/>
    <mergeCell ref="B20:C20"/>
    <mergeCell ref="D20:E20"/>
    <mergeCell ref="F20:G20"/>
    <mergeCell ref="H20:I20"/>
    <mergeCell ref="J20:K20"/>
    <mergeCell ref="B22:G22"/>
    <mergeCell ref="H22:I22"/>
    <mergeCell ref="J22:K22"/>
    <mergeCell ref="B23:C23"/>
    <mergeCell ref="D23:E23"/>
    <mergeCell ref="F23:G23"/>
    <mergeCell ref="H23:I23"/>
    <mergeCell ref="J23:K23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O11:Q11"/>
    <mergeCell ref="B1:L1"/>
    <mergeCell ref="B15:C15"/>
    <mergeCell ref="D15:E15"/>
    <mergeCell ref="F15:G15"/>
    <mergeCell ref="H15:I15"/>
    <mergeCell ref="J15:K15"/>
    <mergeCell ref="B2:F2"/>
    <mergeCell ref="I11:I12"/>
    <mergeCell ref="B3:D12"/>
    <mergeCell ref="I2:L2"/>
    <mergeCell ref="O12:S12"/>
    <mergeCell ref="O13:Q13"/>
    <mergeCell ref="O6:Q6"/>
    <mergeCell ref="O7:Q7"/>
    <mergeCell ref="O8:Q8"/>
    <mergeCell ref="O9:Q9"/>
    <mergeCell ref="O10:Q10"/>
    <mergeCell ref="N1:W1"/>
    <mergeCell ref="O2:Q2"/>
    <mergeCell ref="O3:Q3"/>
    <mergeCell ref="O4:Q4"/>
    <mergeCell ref="O5:Q5"/>
    <mergeCell ref="O26:Q26"/>
    <mergeCell ref="O27:Q27"/>
    <mergeCell ref="O18:S18"/>
    <mergeCell ref="O14:Q14"/>
    <mergeCell ref="O15:Q15"/>
    <mergeCell ref="O16:Q16"/>
    <mergeCell ref="O17:S17"/>
    <mergeCell ref="O33:Q33"/>
    <mergeCell ref="O34:Q34"/>
    <mergeCell ref="O35:S35"/>
    <mergeCell ref="O36:S36"/>
    <mergeCell ref="N19:W19"/>
    <mergeCell ref="O20:Q20"/>
    <mergeCell ref="O21:Q21"/>
    <mergeCell ref="O22:Q22"/>
    <mergeCell ref="O28:Q28"/>
    <mergeCell ref="O29:Q29"/>
    <mergeCell ref="O30:S30"/>
    <mergeCell ref="O31:Q31"/>
    <mergeCell ref="O32:Q32"/>
    <mergeCell ref="O23:Q23"/>
    <mergeCell ref="O24:Q24"/>
    <mergeCell ref="O25:Q25"/>
  </mergeCells>
  <pageMargins left="0.7" right="0.7" top="0.75" bottom="0.75" header="0.3" footer="0.3"/>
  <pageSetup scale="6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41"/>
  <sheetViews>
    <sheetView zoomScale="49" zoomScaleNormal="49" workbookViewId="0">
      <selection activeCell="H22" sqref="H22:I22"/>
    </sheetView>
  </sheetViews>
  <sheetFormatPr defaultColWidth="17" defaultRowHeight="31.2" customHeight="1" x14ac:dyDescent="0.35"/>
  <cols>
    <col min="1" max="13" width="17" style="1"/>
    <col min="14" max="22" width="17.21875" style="1"/>
    <col min="23" max="23" width="35.21875" style="1" customWidth="1"/>
    <col min="24" max="16384" width="17" style="1"/>
  </cols>
  <sheetData>
    <row r="1" spans="2:23" ht="47.4" customHeight="1" x14ac:dyDescent="0.45">
      <c r="B1" s="192"/>
      <c r="C1" s="192"/>
      <c r="D1" s="192"/>
      <c r="E1" s="192"/>
      <c r="F1" s="192"/>
      <c r="G1" s="192"/>
      <c r="H1" s="192"/>
      <c r="I1" s="193"/>
      <c r="J1" s="193"/>
      <c r="K1" s="193"/>
      <c r="L1" s="193"/>
      <c r="N1" s="120" t="s">
        <v>146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31.2" customHeight="1" x14ac:dyDescent="0.35">
      <c r="B2" s="158"/>
      <c r="C2" s="159"/>
      <c r="D2" s="159"/>
      <c r="E2" s="159"/>
      <c r="F2" s="191"/>
      <c r="G2" s="8"/>
      <c r="H2" s="7"/>
      <c r="I2" s="158" t="s">
        <v>9</v>
      </c>
      <c r="J2" s="159"/>
      <c r="K2" s="159"/>
      <c r="L2" s="159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1.2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98</v>
      </c>
      <c r="P3" s="115"/>
      <c r="Q3" s="115"/>
      <c r="R3" s="36">
        <f>K6*L6</f>
        <v>5680</v>
      </c>
      <c r="S3" s="31">
        <v>1.1339999999999999</v>
      </c>
      <c r="T3" s="81">
        <f>S3*R3</f>
        <v>6441.119999999999</v>
      </c>
      <c r="U3" s="36">
        <v>96000</v>
      </c>
      <c r="V3" s="33">
        <f>U3*T3/1000</f>
        <v>618347.5199999999</v>
      </c>
      <c r="W3" s="73"/>
    </row>
    <row r="4" spans="2:23" ht="31.2" customHeight="1" x14ac:dyDescent="0.35">
      <c r="B4" s="125"/>
      <c r="C4" s="126"/>
      <c r="D4" s="154"/>
      <c r="E4" s="3">
        <v>4765</v>
      </c>
      <c r="F4" s="3">
        <v>2840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--D1541A-1</v>
      </c>
      <c r="K4" s="3">
        <f>E4-36</f>
        <v>4729</v>
      </c>
      <c r="L4" s="3">
        <f>G4*1</f>
        <v>1</v>
      </c>
      <c r="N4" s="17">
        <f>N3+1</f>
        <v>2</v>
      </c>
      <c r="O4" s="114" t="s">
        <v>99</v>
      </c>
      <c r="P4" s="115"/>
      <c r="Q4" s="115"/>
      <c r="R4" s="36">
        <f>K4*L4</f>
        <v>4729</v>
      </c>
      <c r="S4" s="31">
        <v>1.4590000000000001</v>
      </c>
      <c r="T4" s="81">
        <f t="shared" ref="T4:T9" si="0">S4*R4</f>
        <v>6899.6110000000008</v>
      </c>
      <c r="U4" s="36">
        <v>96000</v>
      </c>
      <c r="V4" s="33">
        <f t="shared" ref="V4:V9" si="1">U4*T4/1000</f>
        <v>662362.65600000008</v>
      </c>
      <c r="W4" s="74"/>
    </row>
    <row r="5" spans="2:23" ht="31.2" customHeight="1" x14ac:dyDescent="0.35">
      <c r="B5" s="125"/>
      <c r="C5" s="126"/>
      <c r="D5" s="154"/>
      <c r="E5" s="84"/>
      <c r="F5" s="43" t="s">
        <v>46</v>
      </c>
      <c r="G5" s="43" t="s">
        <v>119</v>
      </c>
      <c r="H5" s="6" t="s">
        <v>20</v>
      </c>
      <c r="I5" s="3" t="s">
        <v>30</v>
      </c>
      <c r="J5" s="6" t="str">
        <f>CONCATENATE($G$2,"-",$D$12,"-","D1942A","-","1")</f>
        <v>--D1942A-1</v>
      </c>
      <c r="K5" s="3">
        <f>E4-36</f>
        <v>4729</v>
      </c>
      <c r="L5" s="3">
        <f>G4*1</f>
        <v>1</v>
      </c>
      <c r="N5" s="17">
        <f t="shared" ref="N5:N13" si="2">N4+1</f>
        <v>3</v>
      </c>
      <c r="O5" s="114" t="s">
        <v>100</v>
      </c>
      <c r="P5" s="115"/>
      <c r="Q5" s="115"/>
      <c r="R5" s="36">
        <f>R4</f>
        <v>4729</v>
      </c>
      <c r="S5" s="31">
        <v>1.3069999999999999</v>
      </c>
      <c r="T5" s="81">
        <f t="shared" si="0"/>
        <v>6180.8029999999999</v>
      </c>
      <c r="U5" s="36">
        <v>96000</v>
      </c>
      <c r="V5" s="33">
        <f t="shared" si="1"/>
        <v>593357.08799999999</v>
      </c>
      <c r="W5" s="74"/>
    </row>
    <row r="6" spans="2:23" ht="31.2" customHeight="1" x14ac:dyDescent="0.35">
      <c r="B6" s="125"/>
      <c r="C6" s="126"/>
      <c r="D6" s="154"/>
      <c r="E6" s="54"/>
      <c r="F6" s="19">
        <f>F4*E4/1000</f>
        <v>13532.6</v>
      </c>
      <c r="G6" s="83">
        <f>SUM(T3:T10)</f>
        <v>67821.142000000007</v>
      </c>
      <c r="H6" s="6" t="s">
        <v>21</v>
      </c>
      <c r="I6" s="3" t="s">
        <v>11</v>
      </c>
      <c r="J6" s="6" t="str">
        <f>CONCATENATE($G$2,"-",$D$12,"-","D1543A","-","2")</f>
        <v>--D1543A-2</v>
      </c>
      <c r="K6" s="3">
        <f>F4</f>
        <v>2840</v>
      </c>
      <c r="L6" s="3">
        <f>G4*2</f>
        <v>2</v>
      </c>
      <c r="N6" s="17">
        <f t="shared" si="2"/>
        <v>4</v>
      </c>
      <c r="O6" s="114" t="s">
        <v>101</v>
      </c>
      <c r="P6" s="115"/>
      <c r="Q6" s="115"/>
      <c r="R6" s="36">
        <f>K9*L9</f>
        <v>11172</v>
      </c>
      <c r="S6" s="31">
        <v>1.0980000000000001</v>
      </c>
      <c r="T6" s="81">
        <f t="shared" si="0"/>
        <v>12266.856000000002</v>
      </c>
      <c r="U6" s="36">
        <v>96000</v>
      </c>
      <c r="V6" s="33">
        <f t="shared" si="1"/>
        <v>1177618.1760000002</v>
      </c>
      <c r="W6" s="74"/>
    </row>
    <row r="7" spans="2:23" ht="31.2" customHeight="1" x14ac:dyDescent="0.35">
      <c r="B7" s="125"/>
      <c r="C7" s="126"/>
      <c r="D7" s="154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--D1544A-1</v>
      </c>
      <c r="K7" s="3">
        <f>K8</f>
        <v>1124</v>
      </c>
      <c r="L7" s="3">
        <f>G4*8</f>
        <v>8</v>
      </c>
      <c r="N7" s="17">
        <f t="shared" si="2"/>
        <v>5</v>
      </c>
      <c r="O7" s="114" t="s">
        <v>102</v>
      </c>
      <c r="P7" s="115"/>
      <c r="Q7" s="115"/>
      <c r="R7" s="36">
        <f>K10*L10</f>
        <v>11172</v>
      </c>
      <c r="S7" s="31">
        <v>1.2729999999999999</v>
      </c>
      <c r="T7" s="81">
        <f t="shared" si="0"/>
        <v>14221.955999999998</v>
      </c>
      <c r="U7" s="36">
        <v>96000</v>
      </c>
      <c r="V7" s="33">
        <f t="shared" si="1"/>
        <v>1365307.7759999998</v>
      </c>
      <c r="W7" s="74"/>
    </row>
    <row r="8" spans="2:23" ht="31.2" customHeight="1" x14ac:dyDescent="0.35">
      <c r="B8" s="125"/>
      <c r="C8" s="126"/>
      <c r="D8" s="154"/>
      <c r="E8" s="2"/>
      <c r="F8" s="2"/>
      <c r="G8" s="2"/>
      <c r="H8" s="6" t="s">
        <v>24</v>
      </c>
      <c r="I8" s="3" t="s">
        <v>31</v>
      </c>
      <c r="J8" s="6" t="str">
        <f>CONCATENATE($G$2,"-",$D$12,"-","D1545A","-","1")</f>
        <v>--D1545A-1</v>
      </c>
      <c r="K8" s="3">
        <f>ROUNDDOWN((E4-(73+20)*2-96)/4+4,0)</f>
        <v>1124</v>
      </c>
      <c r="L8" s="3">
        <f>G4*8</f>
        <v>8</v>
      </c>
      <c r="N8" s="17">
        <f t="shared" si="2"/>
        <v>6</v>
      </c>
      <c r="O8" s="114" t="s">
        <v>103</v>
      </c>
      <c r="P8" s="115"/>
      <c r="Q8" s="115"/>
      <c r="R8" s="36">
        <f>K7*L7</f>
        <v>8992</v>
      </c>
      <c r="S8" s="31">
        <v>0.99</v>
      </c>
      <c r="T8" s="81">
        <f t="shared" si="0"/>
        <v>8902.08</v>
      </c>
      <c r="U8" s="36">
        <v>96000</v>
      </c>
      <c r="V8" s="33">
        <f t="shared" si="1"/>
        <v>854599.68000000005</v>
      </c>
      <c r="W8" s="74"/>
    </row>
    <row r="9" spans="2:23" ht="31.2" customHeight="1" x14ac:dyDescent="0.35">
      <c r="B9" s="125"/>
      <c r="C9" s="126"/>
      <c r="D9" s="154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--D1546A-2</v>
      </c>
      <c r="K9" s="3">
        <f>F4-47</f>
        <v>2793</v>
      </c>
      <c r="L9" s="3">
        <f>G4*4</f>
        <v>4</v>
      </c>
      <c r="N9" s="17">
        <f t="shared" si="2"/>
        <v>7</v>
      </c>
      <c r="O9" s="114" t="s">
        <v>104</v>
      </c>
      <c r="P9" s="115"/>
      <c r="Q9" s="115"/>
      <c r="R9" s="36">
        <f>K8*L8</f>
        <v>8992</v>
      </c>
      <c r="S9" s="31">
        <v>1.2430000000000001</v>
      </c>
      <c r="T9" s="81">
        <f t="shared" si="0"/>
        <v>11177.056</v>
      </c>
      <c r="U9" s="36">
        <v>96000</v>
      </c>
      <c r="V9" s="33">
        <f t="shared" si="1"/>
        <v>1072997.3759999999</v>
      </c>
      <c r="W9" s="75"/>
    </row>
    <row r="10" spans="2:23" ht="31.2" customHeight="1" x14ac:dyDescent="0.35">
      <c r="B10" s="125"/>
      <c r="C10" s="126"/>
      <c r="D10" s="154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--D1547A-2</v>
      </c>
      <c r="K10" s="3">
        <f>F4-47</f>
        <v>2793</v>
      </c>
      <c r="L10" s="3">
        <f>G4*4</f>
        <v>4</v>
      </c>
      <c r="N10" s="17">
        <f t="shared" si="2"/>
        <v>8</v>
      </c>
      <c r="O10" s="114" t="s">
        <v>97</v>
      </c>
      <c r="P10" s="115"/>
      <c r="Q10" s="115"/>
      <c r="R10" s="36">
        <f>K9*1</f>
        <v>2793</v>
      </c>
      <c r="S10" s="31">
        <v>0.62</v>
      </c>
      <c r="T10" s="81">
        <f t="shared" ref="T10" si="3">S10*R10</f>
        <v>1731.66</v>
      </c>
      <c r="U10" s="36">
        <v>96000</v>
      </c>
      <c r="V10" s="33">
        <f t="shared" ref="V10" si="4">U10*T10/1000</f>
        <v>166239.35999999999</v>
      </c>
      <c r="W10" s="44"/>
    </row>
    <row r="11" spans="2:23" ht="31.2" customHeight="1" x14ac:dyDescent="0.35">
      <c r="B11" s="125"/>
      <c r="C11" s="126"/>
      <c r="D11" s="154"/>
      <c r="E11" s="3"/>
      <c r="F11" s="3"/>
      <c r="G11" s="3"/>
      <c r="H11" s="3"/>
      <c r="I11" s="156" t="s">
        <v>79</v>
      </c>
      <c r="J11" s="3" t="s">
        <v>6</v>
      </c>
      <c r="K11" s="3" t="s">
        <v>7</v>
      </c>
      <c r="L11" s="5" t="s">
        <v>2</v>
      </c>
      <c r="N11" s="17">
        <f t="shared" si="2"/>
        <v>9</v>
      </c>
      <c r="O11" s="114" t="s">
        <v>78</v>
      </c>
      <c r="P11" s="115"/>
      <c r="Q11" s="119"/>
      <c r="R11" s="36"/>
      <c r="S11" s="31"/>
      <c r="T11" s="72"/>
      <c r="U11" s="52">
        <v>0.05</v>
      </c>
      <c r="V11" s="36">
        <f>SUM(V3:V10)*U11</f>
        <v>325541.48160000006</v>
      </c>
      <c r="W11" s="44"/>
    </row>
    <row r="12" spans="2:23" ht="31.2" customHeight="1" x14ac:dyDescent="0.35">
      <c r="B12" s="127"/>
      <c r="C12" s="128"/>
      <c r="D12" s="155"/>
      <c r="E12" s="3"/>
      <c r="F12" s="3"/>
      <c r="G12" s="3"/>
      <c r="H12" s="3"/>
      <c r="I12" s="157"/>
      <c r="J12" s="14">
        <f>ROUNDDOWN(E4/4-80,0)</f>
        <v>1111</v>
      </c>
      <c r="K12" s="14">
        <f>K9-100</f>
        <v>2693</v>
      </c>
      <c r="L12" s="3">
        <f>G4*4</f>
        <v>4</v>
      </c>
      <c r="N12" s="17">
        <f t="shared" si="2"/>
        <v>10</v>
      </c>
      <c r="O12" s="114" t="s">
        <v>105</v>
      </c>
      <c r="P12" s="115"/>
      <c r="Q12" s="115"/>
      <c r="R12" s="31"/>
      <c r="S12" s="31"/>
      <c r="T12" s="35">
        <v>4</v>
      </c>
      <c r="U12" s="36">
        <v>15000</v>
      </c>
      <c r="V12" s="33">
        <f>U12*T12</f>
        <v>60000</v>
      </c>
      <c r="W12" s="17"/>
    </row>
    <row r="13" spans="2:23" ht="31.2" customHeight="1" x14ac:dyDescent="0.35">
      <c r="N13" s="17">
        <f t="shared" si="2"/>
        <v>11</v>
      </c>
      <c r="O13" s="116" t="s">
        <v>65</v>
      </c>
      <c r="P13" s="117"/>
      <c r="Q13" s="117"/>
      <c r="R13" s="117"/>
      <c r="S13" s="118"/>
      <c r="T13" s="37"/>
      <c r="U13" s="38"/>
      <c r="V13" s="39">
        <f>SUM(V3:V12)</f>
        <v>6896371.1136000007</v>
      </c>
      <c r="W13" s="17"/>
    </row>
    <row r="14" spans="2:23" ht="31.2" customHeight="1" x14ac:dyDescent="0.35">
      <c r="K14" s="1">
        <f>F6*200</f>
        <v>2706520</v>
      </c>
      <c r="L14" s="1">
        <f>J12*K12*L12/1000000</f>
        <v>11.967692</v>
      </c>
      <c r="N14" s="26" t="s">
        <v>14</v>
      </c>
      <c r="O14" s="121" t="s">
        <v>51</v>
      </c>
      <c r="P14" s="121"/>
      <c r="Q14" s="121"/>
      <c r="R14" s="26" t="s">
        <v>52</v>
      </c>
      <c r="S14" s="32" t="s">
        <v>58</v>
      </c>
      <c r="T14" s="32"/>
      <c r="U14" s="26" t="s">
        <v>44</v>
      </c>
      <c r="V14" s="26" t="s">
        <v>45</v>
      </c>
      <c r="W14" s="28" t="s">
        <v>75</v>
      </c>
    </row>
    <row r="15" spans="2:23" ht="31.2" customHeight="1" x14ac:dyDescent="0.35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">
        <v>220000</v>
      </c>
      <c r="N15" s="17">
        <v>1</v>
      </c>
      <c r="O15" s="114" t="s">
        <v>95</v>
      </c>
      <c r="P15" s="115"/>
      <c r="Q15" s="115"/>
      <c r="R15" s="40">
        <f>R6+R7+R8+R9*2</f>
        <v>49320</v>
      </c>
      <c r="S15" s="2">
        <v>1</v>
      </c>
      <c r="T15" s="27"/>
      <c r="U15" s="40">
        <v>1000</v>
      </c>
      <c r="V15" s="40">
        <f>U15*R15*S15/1000</f>
        <v>49320</v>
      </c>
      <c r="W15" s="28"/>
    </row>
    <row r="16" spans="2:23" ht="31.2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22"/>
      <c r="K16" s="122"/>
      <c r="L16" s="100">
        <f>L14*L15</f>
        <v>2632892.2399999998</v>
      </c>
      <c r="M16" s="1">
        <f>F6*200</f>
        <v>2706520</v>
      </c>
      <c r="N16" s="17">
        <v>2</v>
      </c>
      <c r="O16" s="114" t="s">
        <v>68</v>
      </c>
      <c r="P16" s="115"/>
      <c r="Q16" s="119"/>
      <c r="R16" s="40"/>
      <c r="S16" s="54">
        <v>1</v>
      </c>
      <c r="T16" s="27"/>
      <c r="U16" s="40">
        <v>1000</v>
      </c>
      <c r="V16" s="40">
        <f t="shared" ref="V16:V17" si="5">U16*S16</f>
        <v>1000</v>
      </c>
      <c r="W16" s="2"/>
    </row>
    <row r="17" spans="2:23" ht="31.2" customHeight="1" x14ac:dyDescent="0.35">
      <c r="B17" s="122"/>
      <c r="C17" s="122"/>
      <c r="D17" s="130"/>
      <c r="E17" s="130"/>
      <c r="F17" s="130"/>
      <c r="G17" s="130"/>
      <c r="H17" s="130"/>
      <c r="I17" s="130"/>
      <c r="J17" s="122"/>
      <c r="K17" s="122"/>
      <c r="L17" s="22">
        <f>V19+L16</f>
        <v>9581583.353600001</v>
      </c>
      <c r="N17" s="17">
        <f t="shared" ref="N17:N18" si="6">N16+1</f>
        <v>3</v>
      </c>
      <c r="O17" s="114" t="s">
        <v>70</v>
      </c>
      <c r="P17" s="115"/>
      <c r="Q17" s="119"/>
      <c r="R17" s="40"/>
      <c r="S17" s="2">
        <v>1</v>
      </c>
      <c r="T17" s="27"/>
      <c r="U17" s="40">
        <v>2000</v>
      </c>
      <c r="V17" s="40">
        <f t="shared" si="5"/>
        <v>2000</v>
      </c>
      <c r="W17" s="2"/>
    </row>
    <row r="18" spans="2:23" ht="31.2" customHeight="1" x14ac:dyDescent="0.35">
      <c r="B18" s="122"/>
      <c r="C18" s="122"/>
      <c r="D18" s="130"/>
      <c r="E18" s="130"/>
      <c r="F18" s="130"/>
      <c r="G18" s="130"/>
      <c r="H18" s="130"/>
      <c r="I18" s="130"/>
      <c r="J18" s="122"/>
      <c r="K18" s="122"/>
      <c r="L18" s="1">
        <f>F6*300</f>
        <v>4059780</v>
      </c>
      <c r="N18" s="17">
        <f t="shared" si="6"/>
        <v>4</v>
      </c>
      <c r="O18" s="131" t="s">
        <v>69</v>
      </c>
      <c r="P18" s="131"/>
      <c r="Q18" s="131"/>
      <c r="R18" s="131"/>
      <c r="S18" s="131"/>
      <c r="T18" s="37"/>
      <c r="U18" s="38"/>
      <c r="V18" s="39">
        <f>SUM(V15:V17)</f>
        <v>52320</v>
      </c>
      <c r="W18" s="2"/>
    </row>
    <row r="19" spans="2:23" ht="31.2" customHeight="1" x14ac:dyDescent="0.35">
      <c r="B19" s="122"/>
      <c r="C19" s="122"/>
      <c r="D19" s="122"/>
      <c r="E19" s="122"/>
      <c r="F19" s="122"/>
      <c r="G19" s="122"/>
      <c r="H19" s="130"/>
      <c r="I19" s="130"/>
      <c r="J19" s="122"/>
      <c r="K19" s="122"/>
      <c r="L19" s="22">
        <f>L17+L18</f>
        <v>13641363.353600001</v>
      </c>
      <c r="N19" s="96"/>
      <c r="O19" s="111" t="s">
        <v>145</v>
      </c>
      <c r="P19" s="112"/>
      <c r="Q19" s="112"/>
      <c r="R19" s="112"/>
      <c r="S19" s="113"/>
      <c r="T19" s="98"/>
      <c r="U19" s="99"/>
      <c r="V19" s="100">
        <f>V13+V18</f>
        <v>6948691.1136000007</v>
      </c>
      <c r="W19" s="97"/>
    </row>
    <row r="20" spans="2:23" ht="31.2" customHeight="1" x14ac:dyDescent="0.45">
      <c r="B20" s="122"/>
      <c r="C20" s="122"/>
      <c r="D20" s="130"/>
      <c r="E20" s="130"/>
      <c r="F20" s="130"/>
      <c r="G20" s="130"/>
      <c r="H20" s="130"/>
      <c r="I20" s="130"/>
      <c r="J20" s="122"/>
      <c r="K20" s="122"/>
      <c r="L20" s="22">
        <v>1600000</v>
      </c>
      <c r="N20" s="120" t="s">
        <v>147</v>
      </c>
      <c r="O20" s="120"/>
      <c r="P20" s="120"/>
      <c r="Q20" s="120"/>
      <c r="R20" s="120"/>
      <c r="S20" s="120"/>
      <c r="T20" s="120"/>
      <c r="U20" s="120"/>
      <c r="V20" s="120"/>
      <c r="W20" s="120"/>
    </row>
    <row r="21" spans="2:23" ht="31.2" customHeight="1" x14ac:dyDescent="0.35">
      <c r="B21" s="122"/>
      <c r="C21" s="122"/>
      <c r="D21" s="122"/>
      <c r="E21" s="122"/>
      <c r="F21" s="122"/>
      <c r="G21" s="122"/>
      <c r="H21" s="130"/>
      <c r="I21" s="130"/>
      <c r="J21" s="122"/>
      <c r="K21" s="122"/>
      <c r="L21" s="22">
        <f>L19+L20</f>
        <v>15241363.353600001</v>
      </c>
      <c r="M21" s="22">
        <f>L17+L18+M22</f>
        <v>14841363.353600001</v>
      </c>
      <c r="N21" s="26" t="s">
        <v>14</v>
      </c>
      <c r="O21" s="121" t="s">
        <v>51</v>
      </c>
      <c r="P21" s="121"/>
      <c r="Q21" s="121"/>
      <c r="R21" s="26" t="s">
        <v>52</v>
      </c>
      <c r="S21" s="32" t="s">
        <v>62</v>
      </c>
      <c r="T21" s="32" t="s">
        <v>63</v>
      </c>
      <c r="U21" s="26" t="s">
        <v>44</v>
      </c>
      <c r="V21" s="26" t="s">
        <v>45</v>
      </c>
      <c r="W21" s="26" t="s">
        <v>39</v>
      </c>
    </row>
    <row r="22" spans="2:23" ht="31.2" customHeight="1" x14ac:dyDescent="0.35">
      <c r="B22" s="122"/>
      <c r="C22" s="122"/>
      <c r="D22" s="122"/>
      <c r="E22" s="122"/>
      <c r="F22" s="122"/>
      <c r="G22" s="122"/>
      <c r="H22" s="139"/>
      <c r="I22" s="139"/>
      <c r="J22" s="122"/>
      <c r="K22" s="122"/>
      <c r="L22" s="22"/>
      <c r="M22" s="1">
        <v>1200000</v>
      </c>
      <c r="N22" s="17">
        <v>1</v>
      </c>
      <c r="O22" s="114" t="s">
        <v>98</v>
      </c>
      <c r="P22" s="115"/>
      <c r="Q22" s="115"/>
      <c r="R22" s="36">
        <f>K6*L6</f>
        <v>5680</v>
      </c>
      <c r="S22" s="31">
        <v>0.81299999999999994</v>
      </c>
      <c r="T22" s="81">
        <f>S22*R22</f>
        <v>4617.8399999999992</v>
      </c>
      <c r="U22" s="36">
        <v>86000</v>
      </c>
      <c r="V22" s="33">
        <f>U22*T22/1000</f>
        <v>397134.23999999993</v>
      </c>
      <c r="W22" s="73"/>
    </row>
    <row r="23" spans="2:23" ht="31.2" customHeight="1" x14ac:dyDescent="0.35">
      <c r="B23" s="122"/>
      <c r="C23" s="122"/>
      <c r="D23" s="122"/>
      <c r="E23" s="122"/>
      <c r="F23" s="122"/>
      <c r="G23" s="122"/>
      <c r="H23" s="130"/>
      <c r="I23" s="130"/>
      <c r="J23" s="122"/>
      <c r="K23" s="122"/>
      <c r="N23" s="17">
        <f>N22+1</f>
        <v>2</v>
      </c>
      <c r="O23" s="114" t="s">
        <v>99</v>
      </c>
      <c r="P23" s="115"/>
      <c r="Q23" s="115"/>
      <c r="R23" s="36">
        <f>K4*L4</f>
        <v>4729</v>
      </c>
      <c r="S23" s="31">
        <v>1.028</v>
      </c>
      <c r="T23" s="81">
        <f t="shared" ref="T23:T29" si="7">S23*R23</f>
        <v>4861.4120000000003</v>
      </c>
      <c r="U23" s="36">
        <v>86000</v>
      </c>
      <c r="V23" s="33">
        <f t="shared" ref="V23:V29" si="8">U23*T23/1000</f>
        <v>418081.43199999997</v>
      </c>
      <c r="W23" s="74"/>
    </row>
    <row r="24" spans="2:23" ht="31.2" customHeight="1" x14ac:dyDescent="0.35">
      <c r="B24" s="51"/>
      <c r="C24" s="51"/>
      <c r="D24" s="51"/>
      <c r="E24" s="51"/>
      <c r="F24" s="51"/>
      <c r="G24" s="51"/>
      <c r="H24" s="51"/>
      <c r="I24" s="51"/>
      <c r="J24" s="51"/>
      <c r="K24" s="51"/>
      <c r="N24" s="17">
        <f t="shared" ref="N24:N32" si="9">N23+1</f>
        <v>3</v>
      </c>
      <c r="O24" s="114" t="s">
        <v>100</v>
      </c>
      <c r="P24" s="115"/>
      <c r="Q24" s="115"/>
      <c r="R24" s="36">
        <f>R23</f>
        <v>4729</v>
      </c>
      <c r="S24" s="31">
        <v>0.94599999999999995</v>
      </c>
      <c r="T24" s="81">
        <f t="shared" si="7"/>
        <v>4473.634</v>
      </c>
      <c r="U24" s="36">
        <v>86000</v>
      </c>
      <c r="V24" s="33">
        <f t="shared" si="8"/>
        <v>384732.52399999998</v>
      </c>
      <c r="W24" s="74"/>
    </row>
    <row r="25" spans="2:23" ht="31.2" customHeight="1" x14ac:dyDescent="0.35">
      <c r="N25" s="17">
        <f t="shared" si="9"/>
        <v>4</v>
      </c>
      <c r="O25" s="114" t="s">
        <v>101</v>
      </c>
      <c r="P25" s="115"/>
      <c r="Q25" s="115"/>
      <c r="R25" s="36">
        <f>K10*L10</f>
        <v>11172</v>
      </c>
      <c r="S25" s="31">
        <v>0.71599999999999997</v>
      </c>
      <c r="T25" s="81">
        <f t="shared" si="7"/>
        <v>7999.152</v>
      </c>
      <c r="U25" s="36">
        <v>86000</v>
      </c>
      <c r="V25" s="33">
        <f t="shared" si="8"/>
        <v>687927.07200000004</v>
      </c>
      <c r="W25" s="74"/>
    </row>
    <row r="26" spans="2:23" ht="31.2" customHeight="1" x14ac:dyDescent="0.35">
      <c r="N26" s="17">
        <f t="shared" si="9"/>
        <v>5</v>
      </c>
      <c r="O26" s="114" t="s">
        <v>102</v>
      </c>
      <c r="P26" s="115"/>
      <c r="Q26" s="115"/>
      <c r="R26" s="36">
        <f>K9*L9</f>
        <v>11172</v>
      </c>
      <c r="S26" s="31">
        <v>0.85299999999999998</v>
      </c>
      <c r="T26" s="81">
        <f t="shared" si="7"/>
        <v>9529.7160000000003</v>
      </c>
      <c r="U26" s="36">
        <v>86000</v>
      </c>
      <c r="V26" s="33">
        <f t="shared" si="8"/>
        <v>819555.576</v>
      </c>
      <c r="W26" s="74"/>
    </row>
    <row r="27" spans="2:23" ht="31.2" customHeight="1" x14ac:dyDescent="0.35">
      <c r="N27" s="17">
        <f t="shared" si="9"/>
        <v>6</v>
      </c>
      <c r="O27" s="114" t="s">
        <v>103</v>
      </c>
      <c r="P27" s="115"/>
      <c r="Q27" s="115"/>
      <c r="R27" s="36">
        <f>K7*L7</f>
        <v>8992</v>
      </c>
      <c r="S27" s="101">
        <v>0.65</v>
      </c>
      <c r="T27" s="81">
        <f t="shared" si="7"/>
        <v>5844.8</v>
      </c>
      <c r="U27" s="36">
        <v>86000</v>
      </c>
      <c r="V27" s="33">
        <f t="shared" si="8"/>
        <v>502652.8</v>
      </c>
      <c r="W27" s="74"/>
    </row>
    <row r="28" spans="2:23" ht="31.2" customHeight="1" x14ac:dyDescent="0.35">
      <c r="N28" s="17">
        <f t="shared" si="9"/>
        <v>7</v>
      </c>
      <c r="O28" s="114" t="s">
        <v>104</v>
      </c>
      <c r="P28" s="115"/>
      <c r="Q28" s="115"/>
      <c r="R28" s="36">
        <f>K8*L8</f>
        <v>8992</v>
      </c>
      <c r="S28" s="31">
        <v>0.83399999999999996</v>
      </c>
      <c r="T28" s="81">
        <f t="shared" si="7"/>
        <v>7499.3279999999995</v>
      </c>
      <c r="U28" s="36">
        <v>86000</v>
      </c>
      <c r="V28" s="33">
        <f t="shared" si="8"/>
        <v>644942.20799999998</v>
      </c>
      <c r="W28" s="75"/>
    </row>
    <row r="29" spans="2:23" ht="31.2" customHeight="1" x14ac:dyDescent="0.35">
      <c r="N29" s="17">
        <f t="shared" si="9"/>
        <v>8</v>
      </c>
      <c r="O29" s="114" t="s">
        <v>97</v>
      </c>
      <c r="P29" s="115"/>
      <c r="Q29" s="115"/>
      <c r="R29" s="36">
        <f>K9</f>
        <v>2793</v>
      </c>
      <c r="S29" s="101">
        <v>0.62</v>
      </c>
      <c r="T29" s="81">
        <f t="shared" si="7"/>
        <v>1731.66</v>
      </c>
      <c r="U29" s="36">
        <v>86000</v>
      </c>
      <c r="V29" s="33">
        <f t="shared" si="8"/>
        <v>148922.76</v>
      </c>
      <c r="W29" s="44"/>
    </row>
    <row r="30" spans="2:23" ht="31.2" customHeight="1" x14ac:dyDescent="0.35">
      <c r="N30" s="17">
        <f t="shared" si="9"/>
        <v>9</v>
      </c>
      <c r="O30" s="114" t="s">
        <v>78</v>
      </c>
      <c r="P30" s="115"/>
      <c r="Q30" s="119"/>
      <c r="R30" s="36"/>
      <c r="S30" s="31"/>
      <c r="T30" s="72"/>
      <c r="U30" s="52">
        <v>0.05</v>
      </c>
      <c r="V30" s="36">
        <f>SUM(V22:V29)*U30</f>
        <v>200197.43059999999</v>
      </c>
      <c r="W30" s="44"/>
    </row>
    <row r="31" spans="2:23" ht="31.2" customHeight="1" x14ac:dyDescent="0.35">
      <c r="N31" s="17">
        <f t="shared" si="9"/>
        <v>10</v>
      </c>
      <c r="O31" s="114" t="s">
        <v>105</v>
      </c>
      <c r="P31" s="115"/>
      <c r="Q31" s="115"/>
      <c r="R31" s="31"/>
      <c r="S31" s="31"/>
      <c r="T31" s="35">
        <v>4</v>
      </c>
      <c r="U31" s="36">
        <v>15000</v>
      </c>
      <c r="V31" s="33">
        <f>U31*T31</f>
        <v>60000</v>
      </c>
      <c r="W31" s="17"/>
    </row>
    <row r="32" spans="2:23" ht="31.2" customHeight="1" x14ac:dyDescent="0.35">
      <c r="N32" s="17">
        <f t="shared" si="9"/>
        <v>11</v>
      </c>
      <c r="O32" s="116" t="s">
        <v>65</v>
      </c>
      <c r="P32" s="117"/>
      <c r="Q32" s="117"/>
      <c r="R32" s="117"/>
      <c r="S32" s="118"/>
      <c r="T32" s="37"/>
      <c r="U32" s="38"/>
      <c r="V32" s="39">
        <f>SUM(V22:V31)</f>
        <v>4264146.0425999993</v>
      </c>
      <c r="W32" s="17"/>
    </row>
    <row r="33" spans="14:23" ht="31.2" customHeight="1" x14ac:dyDescent="0.35">
      <c r="N33" s="26" t="s">
        <v>14</v>
      </c>
      <c r="O33" s="121" t="s">
        <v>51</v>
      </c>
      <c r="P33" s="121"/>
      <c r="Q33" s="121"/>
      <c r="R33" s="26" t="s">
        <v>52</v>
      </c>
      <c r="S33" s="32" t="s">
        <v>58</v>
      </c>
      <c r="T33" s="32"/>
      <c r="U33" s="26" t="s">
        <v>44</v>
      </c>
      <c r="V33" s="26" t="s">
        <v>45</v>
      </c>
      <c r="W33" s="28" t="s">
        <v>75</v>
      </c>
    </row>
    <row r="34" spans="14:23" ht="31.2" customHeight="1" x14ac:dyDescent="0.35">
      <c r="N34" s="17">
        <v>1</v>
      </c>
      <c r="O34" s="114" t="s">
        <v>95</v>
      </c>
      <c r="P34" s="115"/>
      <c r="Q34" s="115"/>
      <c r="R34" s="40">
        <f>R25+R26+R27+R28*2</f>
        <v>49320</v>
      </c>
      <c r="S34" s="2">
        <v>1</v>
      </c>
      <c r="T34" s="27"/>
      <c r="U34" s="40">
        <v>1000</v>
      </c>
      <c r="V34" s="40">
        <f>U34*R34*S34/1000</f>
        <v>49320</v>
      </c>
      <c r="W34" s="28"/>
    </row>
    <row r="35" spans="14:23" ht="31.2" customHeight="1" x14ac:dyDescent="0.35">
      <c r="N35" s="17">
        <v>2</v>
      </c>
      <c r="O35" s="114" t="s">
        <v>68</v>
      </c>
      <c r="P35" s="115"/>
      <c r="Q35" s="119"/>
      <c r="R35" s="40"/>
      <c r="S35" s="54">
        <v>1</v>
      </c>
      <c r="T35" s="27"/>
      <c r="U35" s="40">
        <v>1000</v>
      </c>
      <c r="V35" s="40">
        <f t="shared" ref="V35:V36" si="10">U35*S35</f>
        <v>1000</v>
      </c>
      <c r="W35" s="2"/>
    </row>
    <row r="36" spans="14:23" ht="31.2" customHeight="1" x14ac:dyDescent="0.35">
      <c r="N36" s="17">
        <f t="shared" ref="N36:N37" si="11">N35+1</f>
        <v>3</v>
      </c>
      <c r="O36" s="114" t="s">
        <v>70</v>
      </c>
      <c r="P36" s="115"/>
      <c r="Q36" s="119"/>
      <c r="R36" s="40"/>
      <c r="S36" s="2">
        <v>1</v>
      </c>
      <c r="T36" s="27"/>
      <c r="U36" s="40">
        <v>2000</v>
      </c>
      <c r="V36" s="40">
        <f t="shared" si="10"/>
        <v>2000</v>
      </c>
      <c r="W36" s="2"/>
    </row>
    <row r="37" spans="14:23" ht="31.2" customHeight="1" x14ac:dyDescent="0.35">
      <c r="N37" s="17">
        <f t="shared" si="11"/>
        <v>4</v>
      </c>
      <c r="O37" s="131" t="s">
        <v>69</v>
      </c>
      <c r="P37" s="131"/>
      <c r="Q37" s="131"/>
      <c r="R37" s="131"/>
      <c r="S37" s="131"/>
      <c r="T37" s="37"/>
      <c r="U37" s="38"/>
      <c r="V37" s="39">
        <f>SUM(V34:V36)</f>
        <v>52320</v>
      </c>
      <c r="W37" s="2"/>
    </row>
    <row r="38" spans="14:23" ht="31.2" customHeight="1" x14ac:dyDescent="0.35">
      <c r="N38" s="96"/>
      <c r="O38" s="111" t="s">
        <v>145</v>
      </c>
      <c r="P38" s="112"/>
      <c r="Q38" s="112"/>
      <c r="R38" s="112"/>
      <c r="S38" s="113"/>
      <c r="T38" s="98"/>
      <c r="U38" s="99"/>
      <c r="V38" s="100">
        <f>V32+V37</f>
        <v>4316466.0425999993</v>
      </c>
      <c r="W38" s="97"/>
    </row>
    <row r="39" spans="14:23" ht="31.2" customHeight="1" x14ac:dyDescent="0.35">
      <c r="U39" s="22">
        <f>V38+V40+L16+M16</f>
        <v>10105878.282599999</v>
      </c>
      <c r="V39" s="100">
        <f>V38+L16+L18</f>
        <v>11009138.282599999</v>
      </c>
    </row>
    <row r="40" spans="14:23" ht="31.2" customHeight="1" x14ac:dyDescent="0.35">
      <c r="T40" s="22">
        <f>U39</f>
        <v>10105878.282599999</v>
      </c>
      <c r="U40" s="106">
        <f>U39/F6</f>
        <v>746.78024050071667</v>
      </c>
      <c r="V40" s="100">
        <v>450000</v>
      </c>
    </row>
    <row r="41" spans="14:23" ht="31.2" customHeight="1" x14ac:dyDescent="0.35">
      <c r="V41" s="22">
        <f>V39+V40</f>
        <v>11459138.282599999</v>
      </c>
    </row>
  </sheetData>
  <mergeCells count="82">
    <mergeCell ref="O16:Q16"/>
    <mergeCell ref="O17:Q17"/>
    <mergeCell ref="O18:S18"/>
    <mergeCell ref="B23:C23"/>
    <mergeCell ref="D23:E23"/>
    <mergeCell ref="F23:G23"/>
    <mergeCell ref="H23:I23"/>
    <mergeCell ref="J23:K23"/>
    <mergeCell ref="B21:G21"/>
    <mergeCell ref="H21:I21"/>
    <mergeCell ref="J21:K21"/>
    <mergeCell ref="B22:G22"/>
    <mergeCell ref="H22:I22"/>
    <mergeCell ref="J22:K22"/>
    <mergeCell ref="B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O10:Q10"/>
    <mergeCell ref="J15:K15"/>
    <mergeCell ref="B1:L1"/>
    <mergeCell ref="I2:L2"/>
    <mergeCell ref="I11:I12"/>
    <mergeCell ref="B3:D12"/>
    <mergeCell ref="B2:F2"/>
    <mergeCell ref="B15:C15"/>
    <mergeCell ref="D15:E15"/>
    <mergeCell ref="F15:G15"/>
    <mergeCell ref="H15:I15"/>
    <mergeCell ref="O14:Q14"/>
    <mergeCell ref="O15:Q15"/>
    <mergeCell ref="O21:Q21"/>
    <mergeCell ref="O22:Q22"/>
    <mergeCell ref="O23:Q23"/>
    <mergeCell ref="O24:Q24"/>
    <mergeCell ref="N1:W1"/>
    <mergeCell ref="O2:Q2"/>
    <mergeCell ref="O3:Q3"/>
    <mergeCell ref="O13:S13"/>
    <mergeCell ref="O4:Q4"/>
    <mergeCell ref="O5:Q5"/>
    <mergeCell ref="O6:Q6"/>
    <mergeCell ref="O7:Q7"/>
    <mergeCell ref="O8:Q8"/>
    <mergeCell ref="O9:Q9"/>
    <mergeCell ref="O11:Q11"/>
    <mergeCell ref="O12:Q12"/>
    <mergeCell ref="O38:S38"/>
    <mergeCell ref="O35:Q35"/>
    <mergeCell ref="O37:S37"/>
    <mergeCell ref="O19:S19"/>
    <mergeCell ref="O31:Q31"/>
    <mergeCell ref="O32:S32"/>
    <mergeCell ref="O36:Q36"/>
    <mergeCell ref="O30:Q30"/>
    <mergeCell ref="O33:Q33"/>
    <mergeCell ref="O34:Q34"/>
    <mergeCell ref="O25:Q25"/>
    <mergeCell ref="O26:Q26"/>
    <mergeCell ref="O27:Q27"/>
    <mergeCell ref="O28:Q28"/>
    <mergeCell ref="O29:Q29"/>
    <mergeCell ref="N20:W2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W25"/>
  <sheetViews>
    <sheetView zoomScale="50" zoomScaleNormal="50" workbookViewId="0">
      <selection activeCell="U23" sqref="U23"/>
    </sheetView>
  </sheetViews>
  <sheetFormatPr defaultColWidth="17.6640625" defaultRowHeight="34.200000000000003" customHeight="1" x14ac:dyDescent="0.35"/>
  <cols>
    <col min="1" max="22" width="17.6640625" style="1"/>
    <col min="23" max="23" width="35.6640625" style="1" customWidth="1"/>
    <col min="24" max="16384" width="17.6640625" style="1"/>
  </cols>
  <sheetData>
    <row r="1" spans="2:23" ht="34.200000000000003" customHeight="1" x14ac:dyDescent="0.45"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34.200000000000003" customHeight="1" x14ac:dyDescent="0.35">
      <c r="B2" s="158" t="s">
        <v>8</v>
      </c>
      <c r="C2" s="159"/>
      <c r="D2" s="159"/>
      <c r="E2" s="159"/>
      <c r="F2" s="191"/>
      <c r="G2" s="12"/>
      <c r="H2" s="7"/>
      <c r="I2" s="158" t="s">
        <v>9</v>
      </c>
      <c r="J2" s="159"/>
      <c r="K2" s="159"/>
      <c r="L2" s="159"/>
      <c r="M2" s="2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4.200000000000003" customHeight="1" x14ac:dyDescent="0.35">
      <c r="B3" s="151"/>
      <c r="C3" s="152"/>
      <c r="D3" s="152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98</v>
      </c>
      <c r="P3" s="115"/>
      <c r="Q3" s="115"/>
      <c r="R3" s="36">
        <f>K6*L6</f>
        <v>6892</v>
      </c>
      <c r="S3" s="80">
        <v>1.0269999999999999</v>
      </c>
      <c r="T3" s="34">
        <f>S3*R3</f>
        <v>7078.0839999999998</v>
      </c>
      <c r="U3" s="36">
        <v>95000</v>
      </c>
      <c r="V3" s="33">
        <f>U3*T3/1000</f>
        <v>672417.98</v>
      </c>
      <c r="W3" s="136"/>
    </row>
    <row r="4" spans="2:23" ht="34.200000000000003" customHeight="1" x14ac:dyDescent="0.35">
      <c r="B4" s="125"/>
      <c r="C4" s="126"/>
      <c r="D4" s="126"/>
      <c r="E4" s="3">
        <v>3000</v>
      </c>
      <c r="F4" s="3">
        <v>3500</v>
      </c>
      <c r="G4" s="3">
        <v>1</v>
      </c>
      <c r="H4" s="6" t="s">
        <v>19</v>
      </c>
      <c r="I4" s="3" t="s">
        <v>29</v>
      </c>
      <c r="J4" s="6" t="str">
        <f>CONCATENATE($G$2,"-",$D$10,"-","F1411","-","1")</f>
        <v>--F1411-1</v>
      </c>
      <c r="K4" s="3">
        <f>E4</f>
        <v>3000</v>
      </c>
      <c r="L4" s="3">
        <f>G4*1</f>
        <v>1</v>
      </c>
      <c r="N4" s="17">
        <f>N3+1</f>
        <v>2</v>
      </c>
      <c r="O4" s="114" t="s">
        <v>99</v>
      </c>
      <c r="P4" s="115"/>
      <c r="Q4" s="115"/>
      <c r="R4" s="36">
        <f>K4*L4</f>
        <v>3000</v>
      </c>
      <c r="S4" s="80">
        <v>3.1070000000000002</v>
      </c>
      <c r="T4" s="34">
        <f t="shared" ref="T4:T6" si="0">S4*R4</f>
        <v>9321</v>
      </c>
      <c r="U4" s="36">
        <v>95000</v>
      </c>
      <c r="V4" s="33">
        <f t="shared" ref="V4:V8" si="1">U4*T4/1000</f>
        <v>885495</v>
      </c>
      <c r="W4" s="137"/>
    </row>
    <row r="5" spans="2:23" ht="34.200000000000003" customHeight="1" x14ac:dyDescent="0.35">
      <c r="B5" s="125"/>
      <c r="C5" s="126"/>
      <c r="D5" s="126"/>
      <c r="E5" s="84"/>
      <c r="F5" s="43" t="s">
        <v>46</v>
      </c>
      <c r="G5" s="43" t="s">
        <v>119</v>
      </c>
      <c r="H5" s="6" t="s">
        <v>20</v>
      </c>
      <c r="I5" s="3" t="s">
        <v>30</v>
      </c>
      <c r="J5" s="6" t="str">
        <f>CONCATENATE($G$2,"-",$D$10,"-","C5409","-","1")</f>
        <v>--C5409-1</v>
      </c>
      <c r="K5" s="3">
        <f>E4-38.5*2</f>
        <v>2923</v>
      </c>
      <c r="L5" s="3">
        <f>G4*1</f>
        <v>1</v>
      </c>
      <c r="N5" s="17">
        <f t="shared" ref="N5:N13" si="2">N4+1</f>
        <v>3</v>
      </c>
      <c r="O5" s="114" t="s">
        <v>100</v>
      </c>
      <c r="P5" s="115"/>
      <c r="Q5" s="115"/>
      <c r="R5" s="36">
        <f>R4</f>
        <v>3000</v>
      </c>
      <c r="S5" s="80">
        <v>1.351</v>
      </c>
      <c r="T5" s="34">
        <f t="shared" si="0"/>
        <v>4053</v>
      </c>
      <c r="U5" s="36">
        <v>95000</v>
      </c>
      <c r="V5" s="33">
        <f t="shared" si="1"/>
        <v>385035</v>
      </c>
      <c r="W5" s="137"/>
    </row>
    <row r="6" spans="2:23" ht="34.200000000000003" customHeight="1" x14ac:dyDescent="0.35">
      <c r="B6" s="125"/>
      <c r="C6" s="126"/>
      <c r="D6" s="126"/>
      <c r="E6" s="54"/>
      <c r="F6" s="19">
        <f>F4*E4/1000</f>
        <v>10500</v>
      </c>
      <c r="G6" s="83">
        <f>SUM(T3:T8)</f>
        <v>91413.846000000005</v>
      </c>
      <c r="H6" s="6" t="s">
        <v>21</v>
      </c>
      <c r="I6" s="3" t="s">
        <v>11</v>
      </c>
      <c r="J6" s="6" t="str">
        <f>CONCATENATE($G$2,"-",$D$10,"-","F1412","-","2")</f>
        <v>--F1412-2</v>
      </c>
      <c r="K6" s="3">
        <f>F4-54</f>
        <v>3446</v>
      </c>
      <c r="L6" s="3">
        <f>G4*2</f>
        <v>2</v>
      </c>
      <c r="N6" s="17">
        <f t="shared" si="2"/>
        <v>4</v>
      </c>
      <c r="O6" s="114" t="s">
        <v>108</v>
      </c>
      <c r="P6" s="115"/>
      <c r="Q6" s="115"/>
      <c r="R6" s="36">
        <f>K7*L7+K8*L8</f>
        <v>46956</v>
      </c>
      <c r="S6" s="80">
        <v>1.254</v>
      </c>
      <c r="T6" s="34">
        <f t="shared" si="0"/>
        <v>58882.824000000001</v>
      </c>
      <c r="U6" s="36">
        <v>95000</v>
      </c>
      <c r="V6" s="33">
        <f t="shared" si="1"/>
        <v>5593868.2800000003</v>
      </c>
      <c r="W6" s="137"/>
    </row>
    <row r="7" spans="2:23" ht="34.200000000000003" customHeight="1" x14ac:dyDescent="0.35">
      <c r="B7" s="125"/>
      <c r="C7" s="126"/>
      <c r="D7" s="126"/>
      <c r="E7" s="2"/>
      <c r="F7" s="2"/>
      <c r="G7" s="2"/>
      <c r="H7" s="6" t="s">
        <v>22</v>
      </c>
      <c r="I7" s="3" t="s">
        <v>37</v>
      </c>
      <c r="J7" s="6" t="str">
        <f>CONCATENATE($G$2,"-",$D$10,"-","F1415","-","1")</f>
        <v>--F1415-1</v>
      </c>
      <c r="K7" s="3">
        <f>ROUNDDOWN((E4-117)/6,0)</f>
        <v>480</v>
      </c>
      <c r="L7" s="3">
        <f>G4*12</f>
        <v>12</v>
      </c>
      <c r="N7" s="17">
        <f t="shared" si="2"/>
        <v>5</v>
      </c>
      <c r="O7" s="114" t="s">
        <v>55</v>
      </c>
      <c r="P7" s="115"/>
      <c r="Q7" s="115"/>
      <c r="R7" s="36">
        <f>R6</f>
        <v>46956</v>
      </c>
      <c r="S7" s="80">
        <v>0.222</v>
      </c>
      <c r="T7" s="34">
        <f t="shared" ref="T7:T8" si="3">S7*R7</f>
        <v>10424.232</v>
      </c>
      <c r="U7" s="36">
        <v>95000</v>
      </c>
      <c r="V7" s="33">
        <f t="shared" si="1"/>
        <v>990302.04</v>
      </c>
      <c r="W7" s="137"/>
    </row>
    <row r="8" spans="2:23" ht="34.200000000000003" customHeight="1" x14ac:dyDescent="0.35">
      <c r="B8" s="125"/>
      <c r="C8" s="126"/>
      <c r="D8" s="126"/>
      <c r="E8" s="2"/>
      <c r="F8" s="2"/>
      <c r="G8" s="2"/>
      <c r="H8" s="6" t="s">
        <v>25</v>
      </c>
      <c r="I8" s="3" t="s">
        <v>38</v>
      </c>
      <c r="J8" s="6" t="str">
        <f>CONCATENATE($G$2,"-",$D$10,"-","F1415","-","2")</f>
        <v>--F1415-2</v>
      </c>
      <c r="K8" s="3">
        <f>F4-55-12</f>
        <v>3433</v>
      </c>
      <c r="L8" s="3">
        <f>G4*12</f>
        <v>12</v>
      </c>
      <c r="N8" s="17">
        <f t="shared" si="2"/>
        <v>6</v>
      </c>
      <c r="O8" s="114" t="s">
        <v>109</v>
      </c>
      <c r="P8" s="115"/>
      <c r="Q8" s="115"/>
      <c r="R8" s="36">
        <f>K8*2</f>
        <v>6866</v>
      </c>
      <c r="S8" s="80">
        <v>0.24099999999999999</v>
      </c>
      <c r="T8" s="34">
        <f t="shared" si="3"/>
        <v>1654.7059999999999</v>
      </c>
      <c r="U8" s="36">
        <v>95000</v>
      </c>
      <c r="V8" s="33">
        <f t="shared" si="1"/>
        <v>157197.07</v>
      </c>
      <c r="W8" s="138"/>
    </row>
    <row r="9" spans="2:23" ht="34.200000000000003" customHeight="1" x14ac:dyDescent="0.35">
      <c r="B9" s="125"/>
      <c r="C9" s="126"/>
      <c r="D9" s="126"/>
      <c r="E9" s="3"/>
      <c r="F9" s="3"/>
      <c r="G9" s="3"/>
      <c r="H9" s="6" t="s">
        <v>28</v>
      </c>
      <c r="I9" s="194" t="s">
        <v>79</v>
      </c>
      <c r="J9" s="3" t="s">
        <v>6</v>
      </c>
      <c r="K9" s="3" t="s">
        <v>7</v>
      </c>
      <c r="L9" s="5" t="s">
        <v>2</v>
      </c>
      <c r="N9" s="17">
        <f t="shared" si="2"/>
        <v>7</v>
      </c>
      <c r="O9" s="114" t="s">
        <v>78</v>
      </c>
      <c r="P9" s="115"/>
      <c r="Q9" s="119"/>
      <c r="R9" s="36"/>
      <c r="S9" s="31"/>
      <c r="T9" s="72"/>
      <c r="U9" s="52">
        <v>0.15</v>
      </c>
      <c r="V9" s="36">
        <f>SUM(V3:V8)*U9</f>
        <v>1302647.3055</v>
      </c>
      <c r="W9" s="44"/>
    </row>
    <row r="10" spans="2:23" ht="34.200000000000003" customHeight="1" x14ac:dyDescent="0.35">
      <c r="B10" s="127"/>
      <c r="C10" s="128"/>
      <c r="D10" s="128"/>
      <c r="E10" s="3"/>
      <c r="F10" s="3"/>
      <c r="G10" s="3"/>
      <c r="H10" s="6" t="s">
        <v>106</v>
      </c>
      <c r="I10" s="195"/>
      <c r="J10" s="3">
        <f>K7-115</f>
        <v>365</v>
      </c>
      <c r="K10" s="3">
        <f>K8-115</f>
        <v>3318</v>
      </c>
      <c r="L10" s="3">
        <f>G4*6</f>
        <v>6</v>
      </c>
      <c r="N10" s="17">
        <f t="shared" si="2"/>
        <v>8</v>
      </c>
      <c r="O10" s="114" t="s">
        <v>110</v>
      </c>
      <c r="P10" s="115"/>
      <c r="Q10" s="115"/>
      <c r="R10" s="31"/>
      <c r="S10" s="31"/>
      <c r="T10" s="35">
        <v>2</v>
      </c>
      <c r="U10" s="46">
        <v>7000</v>
      </c>
      <c r="V10" s="33">
        <f t="shared" ref="V10:V12" si="4">U10*T10</f>
        <v>14000</v>
      </c>
      <c r="W10" s="17"/>
    </row>
    <row r="11" spans="2:23" ht="34.200000000000003" customHeight="1" x14ac:dyDescent="0.35">
      <c r="N11" s="17">
        <f t="shared" si="2"/>
        <v>9</v>
      </c>
      <c r="O11" s="114" t="s">
        <v>111</v>
      </c>
      <c r="P11" s="115"/>
      <c r="Q11" s="115"/>
      <c r="R11" s="31"/>
      <c r="S11" s="31"/>
      <c r="T11" s="35">
        <f>4*4</f>
        <v>16</v>
      </c>
      <c r="U11" s="46">
        <v>13000</v>
      </c>
      <c r="V11" s="33">
        <f t="shared" si="4"/>
        <v>208000</v>
      </c>
      <c r="W11" s="28" t="s">
        <v>73</v>
      </c>
    </row>
    <row r="12" spans="2:23" ht="34.200000000000003" customHeight="1" x14ac:dyDescent="0.35">
      <c r="E12" s="4"/>
      <c r="G12" s="11"/>
      <c r="N12" s="17">
        <f t="shared" si="2"/>
        <v>10</v>
      </c>
      <c r="O12" s="114" t="s">
        <v>61</v>
      </c>
      <c r="P12" s="115"/>
      <c r="Q12" s="115"/>
      <c r="R12" s="31"/>
      <c r="S12" s="31"/>
      <c r="T12" s="35">
        <f>T11</f>
        <v>16</v>
      </c>
      <c r="U12" s="36">
        <v>100</v>
      </c>
      <c r="V12" s="33">
        <f t="shared" si="4"/>
        <v>1600</v>
      </c>
      <c r="W12" s="28" t="s">
        <v>113</v>
      </c>
    </row>
    <row r="13" spans="2:23" ht="34.200000000000003" customHeight="1" x14ac:dyDescent="0.35">
      <c r="E13" s="4"/>
      <c r="G13" s="11"/>
      <c r="N13" s="17">
        <f t="shared" si="2"/>
        <v>11</v>
      </c>
      <c r="O13" s="116" t="s">
        <v>65</v>
      </c>
      <c r="P13" s="117"/>
      <c r="Q13" s="117"/>
      <c r="R13" s="117"/>
      <c r="S13" s="118"/>
      <c r="T13" s="37"/>
      <c r="U13" s="38"/>
      <c r="V13" s="39">
        <f>SUM(V3:V12)</f>
        <v>10210562.675500002</v>
      </c>
      <c r="W13" s="17"/>
    </row>
    <row r="14" spans="2:23" ht="34.200000000000003" customHeight="1" x14ac:dyDescent="0.35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N14" s="26" t="s">
        <v>14</v>
      </c>
      <c r="O14" s="121" t="s">
        <v>51</v>
      </c>
      <c r="P14" s="121"/>
      <c r="Q14" s="121"/>
      <c r="R14" s="26" t="s">
        <v>52</v>
      </c>
      <c r="S14" s="32" t="s">
        <v>58</v>
      </c>
      <c r="T14" s="32"/>
      <c r="U14" s="26" t="s">
        <v>44</v>
      </c>
      <c r="V14" s="26" t="s">
        <v>45</v>
      </c>
      <c r="W14" s="2"/>
    </row>
    <row r="15" spans="2:23" ht="34.200000000000003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  <c r="N15" s="17">
        <v>1</v>
      </c>
      <c r="O15" s="114" t="s">
        <v>112</v>
      </c>
      <c r="P15" s="115"/>
      <c r="Q15" s="115"/>
      <c r="R15" s="40">
        <f>R6+R8*2</f>
        <v>60688</v>
      </c>
      <c r="S15" s="2">
        <v>1</v>
      </c>
      <c r="T15" s="27"/>
      <c r="U15" s="40">
        <v>1000</v>
      </c>
      <c r="V15" s="40">
        <f>U15*R15*S15/1000</f>
        <v>60688</v>
      </c>
      <c r="W15" s="2"/>
    </row>
    <row r="16" spans="2:23" ht="34.200000000000003" customHeight="1" x14ac:dyDescent="0.35">
      <c r="B16" s="122"/>
      <c r="C16" s="122"/>
      <c r="D16" s="130"/>
      <c r="E16" s="130"/>
      <c r="F16" s="130"/>
      <c r="G16" s="130"/>
      <c r="H16" s="130"/>
      <c r="I16" s="130"/>
      <c r="J16" s="122"/>
      <c r="K16" s="122"/>
      <c r="M16" s="11"/>
      <c r="N16" s="17">
        <f>N15+1</f>
        <v>2</v>
      </c>
      <c r="O16" s="114" t="s">
        <v>68</v>
      </c>
      <c r="P16" s="115"/>
      <c r="Q16" s="119"/>
      <c r="R16" s="40"/>
      <c r="S16" s="54">
        <v>1</v>
      </c>
      <c r="T16" s="27"/>
      <c r="U16" s="40">
        <v>1000</v>
      </c>
      <c r="V16" s="40">
        <f t="shared" ref="V16:V17" si="5">U16*S16</f>
        <v>1000</v>
      </c>
      <c r="W16" s="28"/>
    </row>
    <row r="17" spans="2:23" ht="34.200000000000003" customHeight="1" x14ac:dyDescent="0.35">
      <c r="B17" s="122"/>
      <c r="C17" s="122"/>
      <c r="D17" s="130"/>
      <c r="E17" s="130"/>
      <c r="F17" s="130"/>
      <c r="G17" s="130"/>
      <c r="H17" s="130"/>
      <c r="I17" s="130"/>
      <c r="J17" s="122"/>
      <c r="K17" s="122"/>
      <c r="M17" s="11"/>
      <c r="N17" s="17">
        <f t="shared" ref="N17:N18" si="6">N16+1</f>
        <v>3</v>
      </c>
      <c r="O17" s="114" t="s">
        <v>70</v>
      </c>
      <c r="P17" s="115"/>
      <c r="Q17" s="119"/>
      <c r="R17" s="40"/>
      <c r="S17" s="2">
        <v>1</v>
      </c>
      <c r="T17" s="27"/>
      <c r="U17" s="40">
        <v>2000</v>
      </c>
      <c r="V17" s="40">
        <f t="shared" si="5"/>
        <v>2000</v>
      </c>
      <c r="W17" s="2"/>
    </row>
    <row r="18" spans="2:23" ht="34.200000000000003" customHeight="1" x14ac:dyDescent="0.35">
      <c r="B18" s="122"/>
      <c r="C18" s="122"/>
      <c r="D18" s="122"/>
      <c r="E18" s="122"/>
      <c r="F18" s="122"/>
      <c r="G18" s="122"/>
      <c r="H18" s="130"/>
      <c r="I18" s="130"/>
      <c r="J18" s="122"/>
      <c r="K18" s="122"/>
      <c r="M18" s="11"/>
      <c r="N18" s="17">
        <f t="shared" si="6"/>
        <v>4</v>
      </c>
      <c r="O18" s="131" t="s">
        <v>69</v>
      </c>
      <c r="P18" s="131"/>
      <c r="Q18" s="131"/>
      <c r="R18" s="131"/>
      <c r="S18" s="131"/>
      <c r="T18" s="37"/>
      <c r="U18" s="38"/>
      <c r="V18" s="39">
        <f>SUM(V15:V17)</f>
        <v>63688</v>
      </c>
      <c r="W18" s="2"/>
    </row>
    <row r="19" spans="2:23" ht="34.200000000000003" customHeight="1" x14ac:dyDescent="0.35">
      <c r="B19" s="122"/>
      <c r="C19" s="122"/>
      <c r="D19" s="130"/>
      <c r="E19" s="130"/>
      <c r="F19" s="130"/>
      <c r="G19" s="130"/>
      <c r="H19" s="130"/>
      <c r="I19" s="130"/>
      <c r="J19" s="122"/>
      <c r="K19" s="122"/>
      <c r="M19" s="11"/>
      <c r="N19" s="96" t="s">
        <v>88</v>
      </c>
      <c r="O19" s="111" t="s">
        <v>145</v>
      </c>
      <c r="P19" s="112"/>
      <c r="Q19" s="112"/>
      <c r="R19" s="112"/>
      <c r="S19" s="113"/>
      <c r="T19" s="98"/>
      <c r="U19" s="99"/>
      <c r="V19" s="100">
        <f>V13+V18</f>
        <v>10274250.675500002</v>
      </c>
      <c r="W19" s="97"/>
    </row>
    <row r="20" spans="2:23" ht="34.200000000000003" customHeight="1" x14ac:dyDescent="0.35">
      <c r="B20" s="122"/>
      <c r="C20" s="122"/>
      <c r="D20" s="122"/>
      <c r="E20" s="122"/>
      <c r="F20" s="122"/>
      <c r="G20" s="122"/>
      <c r="H20" s="130"/>
      <c r="I20" s="130"/>
      <c r="J20" s="122"/>
      <c r="K20" s="122"/>
      <c r="M20" s="11"/>
      <c r="U20" s="1">
        <f>F6*250</f>
        <v>2625000</v>
      </c>
      <c r="V20" s="1">
        <f>F6*300</f>
        <v>3150000</v>
      </c>
    </row>
    <row r="21" spans="2:23" ht="34.200000000000003" customHeight="1" x14ac:dyDescent="0.35">
      <c r="B21" s="122"/>
      <c r="C21" s="122"/>
      <c r="D21" s="122"/>
      <c r="E21" s="122"/>
      <c r="F21" s="122"/>
      <c r="G21" s="122"/>
      <c r="H21" s="139"/>
      <c r="I21" s="139"/>
      <c r="J21" s="122"/>
      <c r="K21" s="122"/>
      <c r="M21" s="11"/>
      <c r="U21" s="22">
        <f>U20+V19</f>
        <v>12899250.675500002</v>
      </c>
      <c r="V21" s="22">
        <f>V20+V19</f>
        <v>13424250.675500002</v>
      </c>
    </row>
    <row r="22" spans="2:23" ht="34.200000000000003" customHeight="1" x14ac:dyDescent="0.35">
      <c r="B22" s="122"/>
      <c r="C22" s="122"/>
      <c r="D22" s="122"/>
      <c r="E22" s="122"/>
      <c r="F22" s="122"/>
      <c r="G22" s="122"/>
      <c r="H22" s="130"/>
      <c r="I22" s="130"/>
      <c r="J22" s="122"/>
      <c r="K22" s="122"/>
      <c r="M22" s="11"/>
      <c r="U22" s="106">
        <f>U21/F6</f>
        <v>1228.5000643333335</v>
      </c>
      <c r="V22" s="106">
        <f>V21/F6</f>
        <v>1278.5000643333335</v>
      </c>
    </row>
    <row r="23" spans="2:23" ht="34.200000000000003" customHeight="1" x14ac:dyDescent="0.35">
      <c r="E23" s="4"/>
      <c r="G23" s="11"/>
      <c r="M23" s="11"/>
    </row>
    <row r="24" spans="2:23" ht="34.200000000000003" customHeight="1" x14ac:dyDescent="0.35">
      <c r="E24" s="4"/>
      <c r="G24" s="11"/>
    </row>
    <row r="25" spans="2:23" ht="34.200000000000003" customHeight="1" x14ac:dyDescent="0.35">
      <c r="E25" s="4"/>
      <c r="G25" s="11"/>
    </row>
  </sheetData>
  <mergeCells count="64">
    <mergeCell ref="O18:S18"/>
    <mergeCell ref="O14:Q14"/>
    <mergeCell ref="O15:Q15"/>
    <mergeCell ref="O16:Q16"/>
    <mergeCell ref="O10:Q10"/>
    <mergeCell ref="O11:Q11"/>
    <mergeCell ref="O12:Q12"/>
    <mergeCell ref="O13:S13"/>
    <mergeCell ref="O17:Q17"/>
    <mergeCell ref="B22:C22"/>
    <mergeCell ref="D22:E22"/>
    <mergeCell ref="F22:G22"/>
    <mergeCell ref="H22:I22"/>
    <mergeCell ref="J22:K22"/>
    <mergeCell ref="B20:G20"/>
    <mergeCell ref="H20:I20"/>
    <mergeCell ref="J20:K20"/>
    <mergeCell ref="B21:G21"/>
    <mergeCell ref="H21:I21"/>
    <mergeCell ref="J21:K21"/>
    <mergeCell ref="B18:G18"/>
    <mergeCell ref="H18:I18"/>
    <mergeCell ref="J18:K18"/>
    <mergeCell ref="B19:C19"/>
    <mergeCell ref="D19:E19"/>
    <mergeCell ref="F19:G19"/>
    <mergeCell ref="H19:I19"/>
    <mergeCell ref="J19:K19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O19:S19"/>
    <mergeCell ref="B3:D10"/>
    <mergeCell ref="I9:I10"/>
    <mergeCell ref="B1:L1"/>
    <mergeCell ref="O7:Q7"/>
    <mergeCell ref="O8:Q8"/>
    <mergeCell ref="B2:F2"/>
    <mergeCell ref="I2:L2"/>
    <mergeCell ref="N1:W1"/>
    <mergeCell ref="O2:Q2"/>
    <mergeCell ref="O3:Q3"/>
    <mergeCell ref="O4:Q4"/>
    <mergeCell ref="O5:Q5"/>
    <mergeCell ref="O6:Q6"/>
    <mergeCell ref="W3:W8"/>
    <mergeCell ref="O9:Q9"/>
  </mergeCells>
  <pageMargins left="0.25" right="0.25" top="0.75" bottom="0.75" header="0.3" footer="0.3"/>
  <pageSetup paperSize="9" scale="5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28"/>
  <sheetViews>
    <sheetView zoomScale="45" zoomScaleNormal="45" workbookViewId="0">
      <selection activeCell="L20" sqref="L20"/>
    </sheetView>
  </sheetViews>
  <sheetFormatPr defaultColWidth="17.6640625" defaultRowHeight="34.200000000000003" customHeight="1" x14ac:dyDescent="0.35"/>
  <cols>
    <col min="1" max="22" width="17.6640625" style="1"/>
    <col min="23" max="23" width="35.6640625" style="1" customWidth="1"/>
    <col min="24" max="16384" width="17.6640625" style="1"/>
  </cols>
  <sheetData>
    <row r="1" spans="2:23" ht="34.200000000000003" customHeight="1" x14ac:dyDescent="0.45"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34.200000000000003" customHeight="1" x14ac:dyDescent="0.35">
      <c r="B2" s="158" t="s">
        <v>8</v>
      </c>
      <c r="C2" s="159"/>
      <c r="D2" s="159"/>
      <c r="E2" s="159"/>
      <c r="F2" s="191"/>
      <c r="G2" s="12"/>
      <c r="H2" s="7"/>
      <c r="I2" s="158" t="s">
        <v>9</v>
      </c>
      <c r="J2" s="159"/>
      <c r="K2" s="159"/>
      <c r="L2" s="159"/>
      <c r="M2" s="2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4.200000000000003" customHeight="1" x14ac:dyDescent="0.35">
      <c r="B3" s="151"/>
      <c r="C3" s="152"/>
      <c r="D3" s="152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98</v>
      </c>
      <c r="P3" s="115"/>
      <c r="Q3" s="115"/>
      <c r="R3" s="36">
        <f>K4*L4</f>
        <v>884</v>
      </c>
      <c r="S3" s="80">
        <v>0.80200000000000005</v>
      </c>
      <c r="T3" s="34">
        <f>S3*R3</f>
        <v>708.96800000000007</v>
      </c>
      <c r="U3" s="36">
        <v>96000</v>
      </c>
      <c r="V3" s="33">
        <f>U3*T3/1000</f>
        <v>68060.928</v>
      </c>
      <c r="W3" s="73"/>
    </row>
    <row r="4" spans="2:23" ht="34.200000000000003" customHeight="1" x14ac:dyDescent="0.35">
      <c r="B4" s="125"/>
      <c r="C4" s="126"/>
      <c r="D4" s="126"/>
      <c r="E4" s="3">
        <v>2620</v>
      </c>
      <c r="F4" s="3">
        <v>442</v>
      </c>
      <c r="G4" s="3">
        <v>1</v>
      </c>
      <c r="H4" s="6" t="s">
        <v>19</v>
      </c>
      <c r="I4" s="3" t="s">
        <v>11</v>
      </c>
      <c r="J4" s="6" t="s">
        <v>125</v>
      </c>
      <c r="K4" s="3">
        <f>F4</f>
        <v>442</v>
      </c>
      <c r="L4" s="3">
        <v>2</v>
      </c>
      <c r="N4" s="17">
        <f>N3+1</f>
        <v>2</v>
      </c>
      <c r="O4" s="114" t="s">
        <v>120</v>
      </c>
      <c r="P4" s="115"/>
      <c r="Q4" s="115"/>
      <c r="R4" s="36">
        <f>K5*L5</f>
        <v>5240</v>
      </c>
      <c r="S4" s="80">
        <v>0.80200000000000005</v>
      </c>
      <c r="T4" s="34">
        <f t="shared" ref="T4:T5" si="0">S4*R4</f>
        <v>4202.4800000000005</v>
      </c>
      <c r="U4" s="36">
        <v>96000</v>
      </c>
      <c r="V4" s="33">
        <f t="shared" ref="V4:V5" si="1">U4*T4/1000</f>
        <v>403438.08000000007</v>
      </c>
      <c r="W4" s="74"/>
    </row>
    <row r="5" spans="2:23" ht="34.200000000000003" customHeight="1" x14ac:dyDescent="0.35">
      <c r="B5" s="125"/>
      <c r="C5" s="126"/>
      <c r="D5" s="126"/>
      <c r="E5" s="84"/>
      <c r="F5" s="43" t="s">
        <v>46</v>
      </c>
      <c r="G5" s="43" t="s">
        <v>119</v>
      </c>
      <c r="H5" s="6" t="s">
        <v>20</v>
      </c>
      <c r="I5" s="3" t="s">
        <v>10</v>
      </c>
      <c r="J5" s="6" t="s">
        <v>126</v>
      </c>
      <c r="K5" s="3">
        <f>E4</f>
        <v>2620</v>
      </c>
      <c r="L5" s="3">
        <v>2</v>
      </c>
      <c r="N5" s="17">
        <f t="shared" ref="N5:N14" si="2">N4+1</f>
        <v>3</v>
      </c>
      <c r="O5" s="114" t="s">
        <v>124</v>
      </c>
      <c r="P5" s="115"/>
      <c r="Q5" s="115"/>
      <c r="R5" s="36">
        <f>R3+R4</f>
        <v>6124</v>
      </c>
      <c r="S5" s="80">
        <v>0.27100000000000002</v>
      </c>
      <c r="T5" s="34">
        <f t="shared" si="0"/>
        <v>1659.604</v>
      </c>
      <c r="U5" s="36">
        <v>96000</v>
      </c>
      <c r="V5" s="33">
        <f t="shared" si="1"/>
        <v>159321.984</v>
      </c>
      <c r="W5" s="74"/>
    </row>
    <row r="6" spans="2:23" ht="34.200000000000003" customHeight="1" x14ac:dyDescent="0.35">
      <c r="B6" s="125"/>
      <c r="C6" s="126"/>
      <c r="D6" s="126"/>
      <c r="E6" s="54"/>
      <c r="F6" s="19">
        <f>F4*E4/1000</f>
        <v>1158.04</v>
      </c>
      <c r="G6" s="83">
        <f>SUM(T3:T5)</f>
        <v>6571.0520000000006</v>
      </c>
      <c r="H6" s="6" t="s">
        <v>21</v>
      </c>
      <c r="I6" s="3" t="s">
        <v>123</v>
      </c>
      <c r="J6" s="6" t="s">
        <v>127</v>
      </c>
      <c r="K6" s="3">
        <f>E4</f>
        <v>2620</v>
      </c>
      <c r="L6" s="3">
        <v>1</v>
      </c>
      <c r="N6" s="17">
        <f t="shared" si="2"/>
        <v>4</v>
      </c>
      <c r="O6" s="114" t="s">
        <v>78</v>
      </c>
      <c r="P6" s="115"/>
      <c r="Q6" s="119"/>
      <c r="R6" s="36"/>
      <c r="S6" s="31"/>
      <c r="T6" s="72"/>
      <c r="U6" s="52">
        <v>0.05</v>
      </c>
      <c r="V6" s="36">
        <f>SUM(V3:V5)*U6</f>
        <v>31541.049600000006</v>
      </c>
      <c r="W6" s="44"/>
    </row>
    <row r="7" spans="2:23" ht="34.200000000000003" customHeight="1" x14ac:dyDescent="0.35">
      <c r="B7" s="125"/>
      <c r="C7" s="126"/>
      <c r="D7" s="126"/>
      <c r="E7" s="54"/>
      <c r="F7" s="19"/>
      <c r="G7" s="83"/>
      <c r="H7" s="6" t="s">
        <v>21</v>
      </c>
      <c r="I7" s="194" t="s">
        <v>79</v>
      </c>
      <c r="J7" s="3" t="s">
        <v>6</v>
      </c>
      <c r="K7" s="3" t="s">
        <v>7</v>
      </c>
      <c r="L7" s="5" t="s">
        <v>2</v>
      </c>
      <c r="N7" s="17">
        <f t="shared" si="2"/>
        <v>5</v>
      </c>
      <c r="O7" s="114" t="s">
        <v>122</v>
      </c>
      <c r="P7" s="115"/>
      <c r="Q7" s="115"/>
      <c r="R7" s="31"/>
      <c r="S7" s="31"/>
      <c r="T7" s="35">
        <v>4</v>
      </c>
      <c r="U7" s="46">
        <v>4200</v>
      </c>
      <c r="V7" s="33">
        <f>U7*T7</f>
        <v>16800</v>
      </c>
      <c r="W7" s="28" t="s">
        <v>121</v>
      </c>
    </row>
    <row r="8" spans="2:23" ht="34.200000000000003" customHeight="1" x14ac:dyDescent="0.35">
      <c r="B8" s="127"/>
      <c r="C8" s="128"/>
      <c r="D8" s="128"/>
      <c r="E8" s="3"/>
      <c r="F8" s="3"/>
      <c r="G8" s="3"/>
      <c r="H8" s="6" t="s">
        <v>22</v>
      </c>
      <c r="I8" s="195"/>
      <c r="J8" s="3">
        <f>K4-75</f>
        <v>367</v>
      </c>
      <c r="K8" s="3">
        <f>K5-75</f>
        <v>2545</v>
      </c>
      <c r="L8" s="3">
        <v>1</v>
      </c>
      <c r="N8" s="17">
        <f t="shared" si="2"/>
        <v>6</v>
      </c>
      <c r="O8" s="114" t="s">
        <v>61</v>
      </c>
      <c r="P8" s="115"/>
      <c r="Q8" s="115"/>
      <c r="R8" s="31"/>
      <c r="S8" s="31"/>
      <c r="T8" s="35">
        <v>4</v>
      </c>
      <c r="U8" s="36">
        <v>100</v>
      </c>
      <c r="V8" s="33">
        <f t="shared" ref="V8" si="3">U8*T8</f>
        <v>400</v>
      </c>
      <c r="W8" s="28" t="s">
        <v>113</v>
      </c>
    </row>
    <row r="9" spans="2:23" ht="34.200000000000003" customHeight="1" x14ac:dyDescent="0.35">
      <c r="N9" s="17">
        <f t="shared" si="2"/>
        <v>7</v>
      </c>
      <c r="O9" s="116" t="s">
        <v>65</v>
      </c>
      <c r="P9" s="117"/>
      <c r="Q9" s="117"/>
      <c r="R9" s="117"/>
      <c r="S9" s="118"/>
      <c r="T9" s="37"/>
      <c r="U9" s="38"/>
      <c r="V9" s="39">
        <f>SUM(V3:V8)</f>
        <v>679562.04160000011</v>
      </c>
      <c r="W9" s="17"/>
    </row>
    <row r="10" spans="2:23" ht="34.200000000000003" customHeight="1" x14ac:dyDescent="0.35">
      <c r="N10" s="17">
        <f t="shared" si="2"/>
        <v>8</v>
      </c>
      <c r="O10" s="121" t="s">
        <v>51</v>
      </c>
      <c r="P10" s="121"/>
      <c r="Q10" s="121"/>
      <c r="R10" s="26" t="s">
        <v>52</v>
      </c>
      <c r="S10" s="32" t="s">
        <v>58</v>
      </c>
      <c r="T10" s="32"/>
      <c r="U10" s="26" t="s">
        <v>44</v>
      </c>
      <c r="V10" s="26" t="s">
        <v>45</v>
      </c>
      <c r="W10" s="2"/>
    </row>
    <row r="11" spans="2:23" ht="34.200000000000003" customHeight="1" x14ac:dyDescent="0.35">
      <c r="E11" s="4"/>
      <c r="G11" s="11"/>
      <c r="L11" s="1">
        <f>(J8*K8*L8)/1000</f>
        <v>934.01499999999999</v>
      </c>
      <c r="N11" s="17">
        <f t="shared" si="2"/>
        <v>9</v>
      </c>
      <c r="O11" s="114" t="s">
        <v>47</v>
      </c>
      <c r="P11" s="115"/>
      <c r="Q11" s="115"/>
      <c r="R11" s="40">
        <f>R3+R4*2</f>
        <v>11364</v>
      </c>
      <c r="S11" s="2">
        <v>1</v>
      </c>
      <c r="T11" s="27"/>
      <c r="U11" s="40">
        <v>1000</v>
      </c>
      <c r="V11" s="40">
        <f>U11*R11*S11/1000</f>
        <v>11364</v>
      </c>
      <c r="W11" s="2"/>
    </row>
    <row r="12" spans="2:23" ht="34.200000000000003" customHeight="1" x14ac:dyDescent="0.35">
      <c r="E12" s="4"/>
      <c r="G12" s="11"/>
      <c r="J12" s="1">
        <f>F6*950</f>
        <v>1100138</v>
      </c>
      <c r="L12" s="100">
        <f>L11*220</f>
        <v>205483.3</v>
      </c>
      <c r="N12" s="17">
        <f t="shared" si="2"/>
        <v>10</v>
      </c>
      <c r="O12" s="114" t="s">
        <v>68</v>
      </c>
      <c r="P12" s="115"/>
      <c r="Q12" s="119"/>
      <c r="R12" s="40"/>
      <c r="S12" s="54">
        <v>1</v>
      </c>
      <c r="T12" s="27"/>
      <c r="U12" s="40">
        <v>1000</v>
      </c>
      <c r="V12" s="40">
        <f t="shared" ref="V12:V13" si="4">U12*S12</f>
        <v>1000</v>
      </c>
      <c r="W12" s="28"/>
    </row>
    <row r="13" spans="2:23" ht="34.200000000000003" customHeight="1" x14ac:dyDescent="0.35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N13" s="17">
        <f t="shared" si="2"/>
        <v>11</v>
      </c>
      <c r="O13" s="114" t="s">
        <v>70</v>
      </c>
      <c r="P13" s="115"/>
      <c r="Q13" s="119"/>
      <c r="R13" s="40"/>
      <c r="S13" s="2">
        <v>1</v>
      </c>
      <c r="T13" s="27"/>
      <c r="U13" s="40">
        <v>2000</v>
      </c>
      <c r="V13" s="40">
        <f t="shared" si="4"/>
        <v>2000</v>
      </c>
      <c r="W13" s="2"/>
    </row>
    <row r="14" spans="2:23" ht="34.200000000000003" customHeight="1" x14ac:dyDescent="0.35">
      <c r="B14" s="122"/>
      <c r="C14" s="122"/>
      <c r="D14" s="130"/>
      <c r="E14" s="130"/>
      <c r="F14" s="130"/>
      <c r="G14" s="130"/>
      <c r="H14" s="130"/>
      <c r="I14" s="130"/>
      <c r="J14" s="122"/>
      <c r="K14" s="122"/>
      <c r="L14" s="1">
        <f>F6*200</f>
        <v>231608</v>
      </c>
      <c r="N14" s="17">
        <f t="shared" si="2"/>
        <v>12</v>
      </c>
      <c r="O14" s="131" t="s">
        <v>69</v>
      </c>
      <c r="P14" s="131"/>
      <c r="Q14" s="131"/>
      <c r="R14" s="131"/>
      <c r="S14" s="131"/>
      <c r="T14" s="37"/>
      <c r="U14" s="38"/>
      <c r="V14" s="39">
        <f>SUM(V11:V13)</f>
        <v>14364</v>
      </c>
      <c r="W14" s="2"/>
    </row>
    <row r="15" spans="2:23" ht="34.200000000000003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  <c r="L15" s="22">
        <f>V15+L12+L14</f>
        <v>1131017.3416000002</v>
      </c>
      <c r="N15" s="96"/>
      <c r="O15" s="111" t="s">
        <v>145</v>
      </c>
      <c r="P15" s="112"/>
      <c r="Q15" s="112"/>
      <c r="R15" s="112"/>
      <c r="S15" s="113"/>
      <c r="T15" s="98"/>
      <c r="U15" s="99"/>
      <c r="V15" s="100">
        <f>V9+V14</f>
        <v>693926.04160000011</v>
      </c>
      <c r="W15" s="97"/>
    </row>
    <row r="16" spans="2:23" ht="34.200000000000003" customHeight="1" x14ac:dyDescent="0.45">
      <c r="B16" s="122"/>
      <c r="C16" s="122"/>
      <c r="D16" s="130"/>
      <c r="E16" s="130"/>
      <c r="F16" s="130"/>
      <c r="G16" s="130"/>
      <c r="H16" s="130"/>
      <c r="I16" s="130"/>
      <c r="J16" s="122"/>
      <c r="K16" s="122"/>
      <c r="L16" s="106">
        <f>L15/F6</f>
        <v>976.66517702324632</v>
      </c>
      <c r="M16" s="11"/>
      <c r="N16" s="120" t="s">
        <v>64</v>
      </c>
      <c r="O16" s="120"/>
      <c r="P16" s="120"/>
      <c r="Q16" s="120"/>
      <c r="R16" s="120"/>
      <c r="S16" s="120"/>
      <c r="T16" s="120"/>
      <c r="U16" s="120"/>
      <c r="V16" s="120"/>
      <c r="W16" s="120"/>
    </row>
    <row r="17" spans="2:23" ht="34.200000000000003" customHeight="1" x14ac:dyDescent="0.35">
      <c r="B17" s="122"/>
      <c r="C17" s="122"/>
      <c r="D17" s="122"/>
      <c r="E17" s="122"/>
      <c r="F17" s="122"/>
      <c r="G17" s="122"/>
      <c r="H17" s="130"/>
      <c r="I17" s="130"/>
      <c r="J17" s="133">
        <f>L15/J12</f>
        <v>1.0280686073928909</v>
      </c>
      <c r="K17" s="133"/>
      <c r="L17" s="22">
        <f>L12+T28</f>
        <v>1039650.9416</v>
      </c>
      <c r="M17" s="11"/>
      <c r="N17" s="26" t="s">
        <v>14</v>
      </c>
      <c r="O17" s="121" t="s">
        <v>51</v>
      </c>
      <c r="P17" s="121"/>
      <c r="Q17" s="121"/>
      <c r="R17" s="26" t="s">
        <v>52</v>
      </c>
      <c r="S17" s="32" t="s">
        <v>62</v>
      </c>
      <c r="T17" s="32" t="s">
        <v>63</v>
      </c>
      <c r="U17" s="26" t="s">
        <v>44</v>
      </c>
      <c r="V17" s="26" t="s">
        <v>45</v>
      </c>
      <c r="W17" s="26" t="s">
        <v>39</v>
      </c>
    </row>
    <row r="18" spans="2:23" ht="42" customHeight="1" x14ac:dyDescent="0.35">
      <c r="B18" s="122"/>
      <c r="C18" s="122"/>
      <c r="D18" s="130"/>
      <c r="E18" s="130"/>
      <c r="F18" s="130"/>
      <c r="G18" s="130"/>
      <c r="H18" s="130"/>
      <c r="I18" s="130"/>
      <c r="J18" s="122"/>
      <c r="K18" s="122"/>
      <c r="L18" s="1">
        <f>F6*150</f>
        <v>173706</v>
      </c>
      <c r="M18" s="11"/>
      <c r="N18" s="17">
        <v>1</v>
      </c>
      <c r="O18" s="114" t="s">
        <v>136</v>
      </c>
      <c r="P18" s="115"/>
      <c r="Q18" s="115"/>
      <c r="R18" s="36">
        <v>1000</v>
      </c>
      <c r="S18" s="80">
        <v>0.80200000000000005</v>
      </c>
      <c r="T18" s="34">
        <f>S18*R18</f>
        <v>802</v>
      </c>
      <c r="U18" s="36">
        <v>93000</v>
      </c>
      <c r="V18" s="33">
        <f>U18*T18/1000</f>
        <v>74586</v>
      </c>
      <c r="W18" s="73"/>
    </row>
    <row r="19" spans="2:23" ht="34.200000000000003" customHeight="1" x14ac:dyDescent="0.35">
      <c r="B19" s="122"/>
      <c r="C19" s="122"/>
      <c r="D19" s="122"/>
      <c r="E19" s="122"/>
      <c r="F19" s="122"/>
      <c r="G19" s="122"/>
      <c r="H19" s="130"/>
      <c r="I19" s="130"/>
      <c r="J19" s="122"/>
      <c r="K19" s="122"/>
      <c r="L19" s="22">
        <f>L18+L17</f>
        <v>1213356.9416</v>
      </c>
      <c r="M19" s="11"/>
      <c r="N19" s="17">
        <v>2</v>
      </c>
      <c r="O19" s="114" t="s">
        <v>124</v>
      </c>
      <c r="P19" s="115"/>
      <c r="Q19" s="115"/>
      <c r="R19" s="36">
        <f>R18*2</f>
        <v>2000</v>
      </c>
      <c r="S19" s="80">
        <v>0.27100000000000002</v>
      </c>
      <c r="T19" s="34">
        <f t="shared" ref="T19" si="5">S19*R19</f>
        <v>542</v>
      </c>
      <c r="U19" s="36">
        <v>93000</v>
      </c>
      <c r="V19" s="33">
        <f t="shared" ref="V19" si="6">U19*T19/1000</f>
        <v>50406</v>
      </c>
      <c r="W19" s="74"/>
    </row>
    <row r="20" spans="2:23" ht="34.200000000000003" customHeight="1" x14ac:dyDescent="0.35">
      <c r="B20" s="122"/>
      <c r="C20" s="122"/>
      <c r="D20" s="122"/>
      <c r="E20" s="122"/>
      <c r="F20" s="122"/>
      <c r="G20" s="122"/>
      <c r="H20" s="139"/>
      <c r="I20" s="139"/>
      <c r="J20" s="122"/>
      <c r="K20" s="122"/>
      <c r="M20" s="11"/>
      <c r="N20" s="17">
        <f t="shared" ref="N20:N26" si="7">N19+1</f>
        <v>3</v>
      </c>
      <c r="O20" s="114" t="s">
        <v>78</v>
      </c>
      <c r="P20" s="115"/>
      <c r="Q20" s="119"/>
      <c r="R20" s="36"/>
      <c r="S20" s="31"/>
      <c r="T20" s="72"/>
      <c r="U20" s="52">
        <v>0.05</v>
      </c>
      <c r="V20" s="36">
        <f>SUM(V18:V19)*U20</f>
        <v>6249.6</v>
      </c>
      <c r="W20" s="44"/>
    </row>
    <row r="21" spans="2:23" ht="34.200000000000003" customHeight="1" x14ac:dyDescent="0.35">
      <c r="B21" s="122"/>
      <c r="C21" s="122"/>
      <c r="D21" s="122"/>
      <c r="E21" s="122"/>
      <c r="F21" s="122"/>
      <c r="G21" s="122"/>
      <c r="H21" s="130"/>
      <c r="I21" s="130"/>
      <c r="J21" s="122"/>
      <c r="K21" s="122"/>
      <c r="M21" s="11"/>
      <c r="N21" s="17">
        <f t="shared" si="7"/>
        <v>4</v>
      </c>
      <c r="O21" s="116" t="s">
        <v>65</v>
      </c>
      <c r="P21" s="117"/>
      <c r="Q21" s="117"/>
      <c r="R21" s="117"/>
      <c r="S21" s="118"/>
      <c r="T21" s="37"/>
      <c r="U21" s="38"/>
      <c r="V21" s="39">
        <f>SUM(V18:V20)</f>
        <v>131241.60000000001</v>
      </c>
      <c r="W21" s="17"/>
    </row>
    <row r="22" spans="2:23" ht="34.200000000000003" customHeight="1" x14ac:dyDescent="0.35">
      <c r="E22" s="4"/>
      <c r="G22" s="11"/>
      <c r="M22" s="11"/>
      <c r="N22" s="17">
        <f t="shared" si="7"/>
        <v>5</v>
      </c>
      <c r="O22" s="121" t="s">
        <v>51</v>
      </c>
      <c r="P22" s="121"/>
      <c r="Q22" s="121"/>
      <c r="R22" s="26" t="s">
        <v>52</v>
      </c>
      <c r="S22" s="32" t="s">
        <v>58</v>
      </c>
      <c r="T22" s="32"/>
      <c r="U22" s="26" t="s">
        <v>44</v>
      </c>
      <c r="V22" s="26" t="s">
        <v>45</v>
      </c>
      <c r="W22" s="2"/>
    </row>
    <row r="23" spans="2:23" ht="34.200000000000003" customHeight="1" x14ac:dyDescent="0.35">
      <c r="E23" s="4"/>
      <c r="G23" s="11"/>
      <c r="M23" s="11"/>
      <c r="N23" s="17">
        <f t="shared" si="7"/>
        <v>6</v>
      </c>
      <c r="O23" s="114" t="s">
        <v>47</v>
      </c>
      <c r="P23" s="115"/>
      <c r="Q23" s="115"/>
      <c r="R23" s="40">
        <f>R18*2+R19*2</f>
        <v>6000</v>
      </c>
      <c r="S23" s="2">
        <v>1</v>
      </c>
      <c r="T23" s="27"/>
      <c r="U23" s="40">
        <v>1000</v>
      </c>
      <c r="V23" s="40">
        <f>U23*R23*S23/1000</f>
        <v>6000</v>
      </c>
      <c r="W23" s="2"/>
    </row>
    <row r="24" spans="2:23" ht="34.200000000000003" customHeight="1" x14ac:dyDescent="0.35">
      <c r="E24" s="4"/>
      <c r="G24" s="11"/>
      <c r="N24" s="17">
        <f t="shared" si="7"/>
        <v>7</v>
      </c>
      <c r="O24" s="114" t="s">
        <v>68</v>
      </c>
      <c r="P24" s="115"/>
      <c r="Q24" s="119"/>
      <c r="R24" s="40"/>
      <c r="S24" s="54">
        <v>1</v>
      </c>
      <c r="T24" s="27"/>
      <c r="U24" s="40">
        <v>1000</v>
      </c>
      <c r="V24" s="40">
        <f t="shared" ref="V24:V25" si="8">U24*S24</f>
        <v>1000</v>
      </c>
      <c r="W24" s="28"/>
    </row>
    <row r="25" spans="2:23" ht="34.200000000000003" customHeight="1" x14ac:dyDescent="0.35">
      <c r="N25" s="17">
        <f t="shared" si="7"/>
        <v>8</v>
      </c>
      <c r="O25" s="114" t="s">
        <v>70</v>
      </c>
      <c r="P25" s="115"/>
      <c r="Q25" s="119"/>
      <c r="R25" s="40"/>
      <c r="S25" s="2">
        <v>1</v>
      </c>
      <c r="T25" s="27"/>
      <c r="U25" s="40">
        <v>2000</v>
      </c>
      <c r="V25" s="40">
        <f t="shared" si="8"/>
        <v>2000</v>
      </c>
      <c r="W25" s="2"/>
    </row>
    <row r="26" spans="2:23" ht="34.200000000000003" customHeight="1" x14ac:dyDescent="0.35">
      <c r="N26" s="17">
        <f t="shared" si="7"/>
        <v>9</v>
      </c>
      <c r="O26" s="131" t="s">
        <v>69</v>
      </c>
      <c r="P26" s="131"/>
      <c r="Q26" s="131"/>
      <c r="R26" s="131"/>
      <c r="S26" s="131"/>
      <c r="T26" s="37"/>
      <c r="U26" s="38"/>
      <c r="V26" s="39">
        <f>SUM(V23:V25)</f>
        <v>9000</v>
      </c>
      <c r="W26" s="2"/>
    </row>
    <row r="27" spans="2:23" ht="34.200000000000003" customHeight="1" x14ac:dyDescent="0.35">
      <c r="N27" s="96"/>
      <c r="O27" s="111" t="s">
        <v>145</v>
      </c>
      <c r="P27" s="112"/>
      <c r="Q27" s="112"/>
      <c r="R27" s="112"/>
      <c r="S27" s="113"/>
      <c r="T27" s="98"/>
      <c r="U27" s="99"/>
      <c r="V27" s="100">
        <f>V21+V26</f>
        <v>140241.60000000001</v>
      </c>
      <c r="W27" s="97"/>
    </row>
    <row r="28" spans="2:23" ht="34.200000000000003" customHeight="1" x14ac:dyDescent="0.35">
      <c r="T28" s="22">
        <f>V15+V27</f>
        <v>834167.64160000009</v>
      </c>
    </row>
  </sheetData>
  <mergeCells count="71">
    <mergeCell ref="O5:Q5"/>
    <mergeCell ref="O6:Q6"/>
    <mergeCell ref="B1:L1"/>
    <mergeCell ref="N1:W1"/>
    <mergeCell ref="B2:F2"/>
    <mergeCell ref="I2:L2"/>
    <mergeCell ref="O2:Q2"/>
    <mergeCell ref="O11:Q11"/>
    <mergeCell ref="O7:Q7"/>
    <mergeCell ref="O8:Q8"/>
    <mergeCell ref="O9:S9"/>
    <mergeCell ref="B13:C13"/>
    <mergeCell ref="D13:E13"/>
    <mergeCell ref="F13:G13"/>
    <mergeCell ref="H13:I13"/>
    <mergeCell ref="J13:K13"/>
    <mergeCell ref="O10:Q10"/>
    <mergeCell ref="O12:Q12"/>
    <mergeCell ref="O13:Q13"/>
    <mergeCell ref="I7:I8"/>
    <mergeCell ref="B3:D8"/>
    <mergeCell ref="O3:Q3"/>
    <mergeCell ref="O4:Q4"/>
    <mergeCell ref="B14:C14"/>
    <mergeCell ref="D14:E14"/>
    <mergeCell ref="F14:G14"/>
    <mergeCell ref="H14:I14"/>
    <mergeCell ref="J14:K14"/>
    <mergeCell ref="O14:S14"/>
    <mergeCell ref="B18:C18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J15:K15"/>
    <mergeCell ref="B20:G20"/>
    <mergeCell ref="H20:I20"/>
    <mergeCell ref="J20:K20"/>
    <mergeCell ref="B17:G17"/>
    <mergeCell ref="H17:I17"/>
    <mergeCell ref="J17:K17"/>
    <mergeCell ref="B19:G19"/>
    <mergeCell ref="H19:I19"/>
    <mergeCell ref="J19:K19"/>
    <mergeCell ref="B21:C21"/>
    <mergeCell ref="D21:E21"/>
    <mergeCell ref="F21:G21"/>
    <mergeCell ref="H21:I21"/>
    <mergeCell ref="J21:K21"/>
    <mergeCell ref="O15:S15"/>
    <mergeCell ref="O27:S27"/>
    <mergeCell ref="O23:Q23"/>
    <mergeCell ref="O24:Q24"/>
    <mergeCell ref="O25:Q25"/>
    <mergeCell ref="O26:S26"/>
    <mergeCell ref="O20:Q20"/>
    <mergeCell ref="O21:S21"/>
    <mergeCell ref="O22:Q22"/>
    <mergeCell ref="N16:W16"/>
    <mergeCell ref="O17:Q17"/>
    <mergeCell ref="O18:Q18"/>
    <mergeCell ref="O19:Q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W23"/>
  <sheetViews>
    <sheetView zoomScale="46" zoomScaleNormal="46" workbookViewId="0">
      <selection activeCell="V13" sqref="V13"/>
    </sheetView>
  </sheetViews>
  <sheetFormatPr defaultColWidth="17.6640625" defaultRowHeight="34.200000000000003" customHeight="1" x14ac:dyDescent="0.35"/>
  <cols>
    <col min="1" max="22" width="17.6640625" style="1"/>
    <col min="23" max="23" width="35.6640625" style="1" customWidth="1"/>
    <col min="24" max="16384" width="17.6640625" style="1"/>
  </cols>
  <sheetData>
    <row r="1" spans="2:23" ht="34.200000000000003" customHeight="1" x14ac:dyDescent="0.45"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34.200000000000003" customHeight="1" x14ac:dyDescent="0.35">
      <c r="B2" s="158" t="s">
        <v>8</v>
      </c>
      <c r="C2" s="159"/>
      <c r="D2" s="159"/>
      <c r="E2" s="159"/>
      <c r="F2" s="191"/>
      <c r="G2" s="12"/>
      <c r="H2" s="7"/>
      <c r="I2" s="158" t="s">
        <v>9</v>
      </c>
      <c r="J2" s="159"/>
      <c r="K2" s="159"/>
      <c r="L2" s="159"/>
      <c r="M2" s="2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4.200000000000003" customHeight="1" x14ac:dyDescent="0.35">
      <c r="B3" s="151"/>
      <c r="C3" s="152"/>
      <c r="D3" s="152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98</v>
      </c>
      <c r="P3" s="115"/>
      <c r="Q3" s="115"/>
      <c r="R3" s="36">
        <f>K4*L4</f>
        <v>986</v>
      </c>
      <c r="S3" s="86">
        <v>0.28999999999999998</v>
      </c>
      <c r="T3" s="34">
        <f>S3*R3</f>
        <v>285.94</v>
      </c>
      <c r="U3" s="36">
        <v>95000</v>
      </c>
      <c r="V3" s="33">
        <f>U3*T3/1000</f>
        <v>27164.3</v>
      </c>
      <c r="W3" s="73"/>
    </row>
    <row r="4" spans="2:23" ht="34.200000000000003" customHeight="1" x14ac:dyDescent="0.35">
      <c r="B4" s="125"/>
      <c r="C4" s="126"/>
      <c r="D4" s="126"/>
      <c r="E4" s="3">
        <v>493</v>
      </c>
      <c r="F4" s="3">
        <v>2249</v>
      </c>
      <c r="G4" s="3">
        <v>1</v>
      </c>
      <c r="H4" s="6" t="s">
        <v>19</v>
      </c>
      <c r="I4" s="3" t="s">
        <v>128</v>
      </c>
      <c r="J4" s="6" t="s">
        <v>132</v>
      </c>
      <c r="K4" s="3">
        <f>E4</f>
        <v>493</v>
      </c>
      <c r="L4" s="3">
        <v>2</v>
      </c>
      <c r="N4" s="17">
        <f>N3+1</f>
        <v>2</v>
      </c>
      <c r="O4" s="114" t="s">
        <v>131</v>
      </c>
      <c r="P4" s="115"/>
      <c r="Q4" s="115"/>
      <c r="R4" s="36">
        <f>K5*L5</f>
        <v>4498</v>
      </c>
      <c r="S4" s="86">
        <v>0.28999999999999998</v>
      </c>
      <c r="T4" s="34">
        <f t="shared" ref="T4" si="0">S4*R4</f>
        <v>1304.4199999999998</v>
      </c>
      <c r="U4" s="36">
        <v>95000</v>
      </c>
      <c r="V4" s="33">
        <f t="shared" ref="V4:V5" si="1">U4*T4/1000</f>
        <v>123919.89999999998</v>
      </c>
      <c r="W4" s="74"/>
    </row>
    <row r="5" spans="2:23" ht="34.200000000000003" customHeight="1" x14ac:dyDescent="0.35">
      <c r="B5" s="125"/>
      <c r="C5" s="126"/>
      <c r="D5" s="126"/>
      <c r="E5" s="84"/>
      <c r="F5" s="43" t="s">
        <v>46</v>
      </c>
      <c r="G5" s="43" t="s">
        <v>119</v>
      </c>
      <c r="H5" s="6" t="s">
        <v>20</v>
      </c>
      <c r="I5" s="3" t="s">
        <v>129</v>
      </c>
      <c r="J5" s="6" t="s">
        <v>132</v>
      </c>
      <c r="K5" s="3">
        <f>F4</f>
        <v>2249</v>
      </c>
      <c r="L5" s="3">
        <v>2</v>
      </c>
      <c r="N5" s="17">
        <f t="shared" ref="N5:N7" si="2">N4+1</f>
        <v>3</v>
      </c>
      <c r="O5" s="114" t="s">
        <v>130</v>
      </c>
      <c r="P5" s="115"/>
      <c r="Q5" s="115"/>
      <c r="R5" s="36">
        <f>K6*L6</f>
        <v>21725.34</v>
      </c>
      <c r="S5" s="80">
        <v>0.317</v>
      </c>
      <c r="T5" s="34">
        <f>S5*R5</f>
        <v>6886.9327800000001</v>
      </c>
      <c r="U5" s="36">
        <v>95000</v>
      </c>
      <c r="V5" s="33">
        <f t="shared" si="1"/>
        <v>654258.61410000001</v>
      </c>
      <c r="W5" s="74"/>
    </row>
    <row r="6" spans="2:23" ht="34.200000000000003" customHeight="1" x14ac:dyDescent="0.35">
      <c r="B6" s="127"/>
      <c r="C6" s="128"/>
      <c r="D6" s="128"/>
      <c r="E6" s="54"/>
      <c r="F6" s="19">
        <f>F4*E4/1000</f>
        <v>1108.7570000000001</v>
      </c>
      <c r="G6" s="83">
        <f>SUM(T3:T5)</f>
        <v>8477.2927799999998</v>
      </c>
      <c r="H6" s="6" t="s">
        <v>21</v>
      </c>
      <c r="I6" s="3" t="s">
        <v>130</v>
      </c>
      <c r="J6" s="6" t="s">
        <v>133</v>
      </c>
      <c r="K6" s="3">
        <f>E4-10</f>
        <v>483</v>
      </c>
      <c r="L6" s="3">
        <f>F4/50</f>
        <v>44.98</v>
      </c>
      <c r="N6" s="17">
        <f t="shared" si="2"/>
        <v>4</v>
      </c>
      <c r="O6" s="114" t="s">
        <v>78</v>
      </c>
      <c r="P6" s="115"/>
      <c r="Q6" s="119"/>
      <c r="R6" s="36"/>
      <c r="S6" s="31"/>
      <c r="T6" s="72"/>
      <c r="U6" s="52">
        <v>0.05</v>
      </c>
      <c r="V6" s="36">
        <f>SUM(V3:V5)*U6</f>
        <v>40267.140704999998</v>
      </c>
      <c r="W6" s="44"/>
    </row>
    <row r="7" spans="2:23" ht="34.200000000000003" customHeight="1" x14ac:dyDescent="0.35">
      <c r="N7" s="17">
        <f t="shared" si="2"/>
        <v>5</v>
      </c>
      <c r="O7" s="116" t="s">
        <v>65</v>
      </c>
      <c r="P7" s="117"/>
      <c r="Q7" s="117"/>
      <c r="R7" s="117"/>
      <c r="S7" s="118"/>
      <c r="T7" s="37"/>
      <c r="U7" s="38"/>
      <c r="V7" s="39">
        <f>SUM(V3:V6)</f>
        <v>845609.95480499999</v>
      </c>
      <c r="W7" s="17"/>
    </row>
    <row r="8" spans="2:23" ht="34.200000000000003" customHeight="1" x14ac:dyDescent="0.35">
      <c r="E8" s="4"/>
      <c r="G8" s="11"/>
      <c r="N8" s="26" t="s">
        <v>14</v>
      </c>
      <c r="O8" s="121" t="s">
        <v>51</v>
      </c>
      <c r="P8" s="121"/>
      <c r="Q8" s="121"/>
      <c r="R8" s="26" t="s">
        <v>52</v>
      </c>
      <c r="S8" s="32" t="s">
        <v>58</v>
      </c>
      <c r="T8" s="32"/>
      <c r="U8" s="26" t="s">
        <v>44</v>
      </c>
      <c r="V8" s="26" t="s">
        <v>45</v>
      </c>
      <c r="W8" s="2"/>
    </row>
    <row r="9" spans="2:23" ht="34.200000000000003" customHeight="1" x14ac:dyDescent="0.35">
      <c r="E9" s="4"/>
      <c r="G9" s="11"/>
      <c r="N9" s="17">
        <v>1</v>
      </c>
      <c r="O9" s="114" t="s">
        <v>68</v>
      </c>
      <c r="P9" s="115"/>
      <c r="Q9" s="119"/>
      <c r="R9" s="40"/>
      <c r="S9" s="54">
        <v>10</v>
      </c>
      <c r="T9" s="27"/>
      <c r="U9" s="40">
        <v>1000</v>
      </c>
      <c r="V9" s="40">
        <f t="shared" ref="V9:V10" si="3">U9*S9</f>
        <v>10000</v>
      </c>
      <c r="W9" s="28"/>
    </row>
    <row r="10" spans="2:23" ht="34.200000000000003" customHeight="1" x14ac:dyDescent="0.35"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N10" s="17">
        <f t="shared" ref="N10:N11" si="4">N9+1</f>
        <v>2</v>
      </c>
      <c r="O10" s="114" t="s">
        <v>70</v>
      </c>
      <c r="P10" s="115"/>
      <c r="Q10" s="119"/>
      <c r="R10" s="40"/>
      <c r="S10" s="2">
        <v>1</v>
      </c>
      <c r="T10" s="27"/>
      <c r="U10" s="40">
        <v>2000</v>
      </c>
      <c r="V10" s="40">
        <f t="shared" si="3"/>
        <v>2000</v>
      </c>
      <c r="W10" s="2"/>
    </row>
    <row r="11" spans="2:23" ht="34.200000000000003" customHeight="1" x14ac:dyDescent="0.35">
      <c r="B11" s="122"/>
      <c r="C11" s="122"/>
      <c r="D11" s="130"/>
      <c r="E11" s="130"/>
      <c r="F11" s="130"/>
      <c r="G11" s="130"/>
      <c r="H11" s="130"/>
      <c r="I11" s="130"/>
      <c r="J11" s="122"/>
      <c r="K11" s="122"/>
      <c r="N11" s="17">
        <f t="shared" si="4"/>
        <v>3</v>
      </c>
      <c r="O11" s="131" t="s">
        <v>69</v>
      </c>
      <c r="P11" s="131"/>
      <c r="Q11" s="131"/>
      <c r="R11" s="131"/>
      <c r="S11" s="131"/>
      <c r="T11" s="37"/>
      <c r="U11" s="38"/>
      <c r="V11" s="39">
        <f>SUM(V9:V10)</f>
        <v>12000</v>
      </c>
      <c r="W11" s="2"/>
    </row>
    <row r="12" spans="2:23" ht="34.200000000000003" customHeight="1" x14ac:dyDescent="0.35">
      <c r="B12" s="122"/>
      <c r="C12" s="122"/>
      <c r="D12" s="130"/>
      <c r="E12" s="130"/>
      <c r="F12" s="130"/>
      <c r="G12" s="130"/>
      <c r="H12" s="130"/>
      <c r="I12" s="130"/>
      <c r="J12" s="122"/>
      <c r="K12" s="122"/>
      <c r="N12" s="96"/>
      <c r="O12" s="111" t="s">
        <v>145</v>
      </c>
      <c r="P12" s="112"/>
      <c r="Q12" s="112"/>
      <c r="R12" s="112"/>
      <c r="S12" s="113"/>
      <c r="T12" s="98"/>
      <c r="U12" s="99"/>
      <c r="V12" s="100">
        <f>V7+V11</f>
        <v>857609.95480499999</v>
      </c>
      <c r="W12" s="97"/>
    </row>
    <row r="13" spans="2:23" ht="34.200000000000003" customHeight="1" x14ac:dyDescent="0.35">
      <c r="B13" s="122"/>
      <c r="C13" s="122"/>
      <c r="D13" s="130"/>
      <c r="E13" s="130"/>
      <c r="F13" s="130"/>
      <c r="G13" s="130"/>
      <c r="H13" s="130"/>
      <c r="I13" s="130"/>
      <c r="J13" s="122"/>
      <c r="K13" s="122"/>
    </row>
    <row r="14" spans="2:23" ht="34.200000000000003" customHeight="1" x14ac:dyDescent="0.35">
      <c r="B14" s="122"/>
      <c r="C14" s="122"/>
      <c r="D14" s="122"/>
      <c r="E14" s="122"/>
      <c r="F14" s="122"/>
      <c r="G14" s="122"/>
      <c r="H14" s="130"/>
      <c r="I14" s="130"/>
      <c r="J14" s="122"/>
      <c r="K14" s="122"/>
    </row>
    <row r="15" spans="2:23" ht="34.200000000000003" customHeight="1" x14ac:dyDescent="0.35">
      <c r="B15" s="122"/>
      <c r="C15" s="122"/>
      <c r="D15" s="130"/>
      <c r="E15" s="130"/>
      <c r="F15" s="130"/>
      <c r="G15" s="130"/>
      <c r="H15" s="130"/>
      <c r="I15" s="130"/>
      <c r="J15" s="122"/>
      <c r="K15" s="122"/>
    </row>
    <row r="16" spans="2:23" ht="34.200000000000003" customHeight="1" x14ac:dyDescent="0.35">
      <c r="B16" s="122"/>
      <c r="C16" s="122"/>
      <c r="D16" s="122"/>
      <c r="E16" s="122"/>
      <c r="F16" s="122"/>
      <c r="G16" s="122"/>
      <c r="H16" s="130"/>
      <c r="I16" s="130"/>
      <c r="J16" s="122"/>
      <c r="K16" s="122"/>
      <c r="M16" s="11"/>
    </row>
    <row r="17" spans="2:13" ht="34.200000000000003" customHeight="1" x14ac:dyDescent="0.35">
      <c r="B17" s="122"/>
      <c r="C17" s="122"/>
      <c r="D17" s="122"/>
      <c r="E17" s="122"/>
      <c r="F17" s="122"/>
      <c r="G17" s="122"/>
      <c r="H17" s="139"/>
      <c r="I17" s="139"/>
      <c r="J17" s="122"/>
      <c r="K17" s="122"/>
      <c r="M17" s="11"/>
    </row>
    <row r="18" spans="2:13" ht="34.200000000000003" customHeight="1" x14ac:dyDescent="0.35">
      <c r="B18" s="122"/>
      <c r="C18" s="122"/>
      <c r="D18" s="122"/>
      <c r="E18" s="122"/>
      <c r="F18" s="122"/>
      <c r="G18" s="122"/>
      <c r="H18" s="130"/>
      <c r="I18" s="130"/>
      <c r="J18" s="122"/>
      <c r="K18" s="122"/>
      <c r="M18" s="11"/>
    </row>
    <row r="19" spans="2:13" ht="34.200000000000003" customHeight="1" x14ac:dyDescent="0.35">
      <c r="E19" s="4"/>
      <c r="G19" s="11"/>
      <c r="M19" s="11"/>
    </row>
    <row r="20" spans="2:13" ht="34.200000000000003" customHeight="1" x14ac:dyDescent="0.35">
      <c r="E20" s="4"/>
      <c r="G20" s="11"/>
      <c r="M20" s="11"/>
    </row>
    <row r="21" spans="2:13" ht="34.200000000000003" customHeight="1" x14ac:dyDescent="0.35">
      <c r="E21" s="4"/>
      <c r="G21" s="11"/>
      <c r="M21" s="11"/>
    </row>
    <row r="22" spans="2:13" ht="34.200000000000003" customHeight="1" x14ac:dyDescent="0.35">
      <c r="M22" s="11"/>
    </row>
    <row r="23" spans="2:13" ht="34.200000000000003" customHeight="1" x14ac:dyDescent="0.35">
      <c r="M23" s="11"/>
    </row>
  </sheetData>
  <mergeCells count="55">
    <mergeCell ref="O3:Q3"/>
    <mergeCell ref="O4:Q4"/>
    <mergeCell ref="O5:Q5"/>
    <mergeCell ref="O6:Q6"/>
    <mergeCell ref="B1:L1"/>
    <mergeCell ref="N1:W1"/>
    <mergeCell ref="B2:F2"/>
    <mergeCell ref="I2:L2"/>
    <mergeCell ref="O2:Q2"/>
    <mergeCell ref="B3:D6"/>
    <mergeCell ref="O7:S7"/>
    <mergeCell ref="B10:C10"/>
    <mergeCell ref="D10:E10"/>
    <mergeCell ref="F10:G10"/>
    <mergeCell ref="H10:I10"/>
    <mergeCell ref="J10:K10"/>
    <mergeCell ref="O8:Q8"/>
    <mergeCell ref="O9:Q9"/>
    <mergeCell ref="O10:Q10"/>
    <mergeCell ref="B11:C11"/>
    <mergeCell ref="D11:E11"/>
    <mergeCell ref="F11:G11"/>
    <mergeCell ref="H11:I11"/>
    <mergeCell ref="J11:K11"/>
    <mergeCell ref="O11:S11"/>
    <mergeCell ref="B15:C15"/>
    <mergeCell ref="D15:E15"/>
    <mergeCell ref="F15:G15"/>
    <mergeCell ref="H15:I15"/>
    <mergeCell ref="J15:K15"/>
    <mergeCell ref="B13:C13"/>
    <mergeCell ref="D13:E13"/>
    <mergeCell ref="F13:G13"/>
    <mergeCell ref="H13:I13"/>
    <mergeCell ref="J13:K13"/>
    <mergeCell ref="B14:G14"/>
    <mergeCell ref="H14:I14"/>
    <mergeCell ref="J14:K14"/>
    <mergeCell ref="B12:C12"/>
    <mergeCell ref="D12:E12"/>
    <mergeCell ref="O12:S12"/>
    <mergeCell ref="B18:C18"/>
    <mergeCell ref="D18:E18"/>
    <mergeCell ref="F18:G18"/>
    <mergeCell ref="H18:I18"/>
    <mergeCell ref="J18:K18"/>
    <mergeCell ref="B16:G16"/>
    <mergeCell ref="H16:I16"/>
    <mergeCell ref="J16:K16"/>
    <mergeCell ref="B17:G17"/>
    <mergeCell ref="H17:I17"/>
    <mergeCell ref="J17:K17"/>
    <mergeCell ref="F12:G12"/>
    <mergeCell ref="H12:I12"/>
    <mergeCell ref="J12:K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W22"/>
  <sheetViews>
    <sheetView topLeftCell="A4" zoomScale="62" zoomScaleNormal="62" workbookViewId="0">
      <selection activeCell="M8" sqref="M8"/>
    </sheetView>
  </sheetViews>
  <sheetFormatPr defaultColWidth="13.21875" defaultRowHeight="33.6" customHeight="1" x14ac:dyDescent="0.35"/>
  <cols>
    <col min="1" max="21" width="13.21875" style="1"/>
    <col min="22" max="22" width="14.6640625" style="1" bestFit="1" customWidth="1"/>
    <col min="23" max="16384" width="13.21875" style="1"/>
  </cols>
  <sheetData>
    <row r="1" spans="2:23" ht="33.6" customHeight="1" x14ac:dyDescent="0.45">
      <c r="B1" s="196"/>
      <c r="C1" s="196"/>
      <c r="D1" s="196"/>
      <c r="E1" s="196"/>
      <c r="F1" s="196"/>
      <c r="N1" s="120" t="s">
        <v>64</v>
      </c>
      <c r="O1" s="120"/>
      <c r="P1" s="120"/>
      <c r="Q1" s="120"/>
      <c r="R1" s="120"/>
      <c r="S1" s="120"/>
      <c r="T1" s="120"/>
      <c r="U1" s="120"/>
      <c r="V1" s="120"/>
      <c r="W1" s="120"/>
    </row>
    <row r="2" spans="2:23" ht="33.6" customHeight="1" x14ac:dyDescent="0.35">
      <c r="B2" s="158" t="s">
        <v>8</v>
      </c>
      <c r="C2" s="159"/>
      <c r="D2" s="159"/>
      <c r="E2" s="159"/>
      <c r="F2" s="159"/>
      <c r="G2" s="8"/>
      <c r="H2" s="7"/>
      <c r="I2" s="158" t="s">
        <v>9</v>
      </c>
      <c r="J2" s="159"/>
      <c r="K2" s="159"/>
      <c r="L2" s="191"/>
      <c r="N2" s="26" t="s">
        <v>14</v>
      </c>
      <c r="O2" s="121" t="s">
        <v>51</v>
      </c>
      <c r="P2" s="121"/>
      <c r="Q2" s="121"/>
      <c r="R2" s="26" t="s">
        <v>52</v>
      </c>
      <c r="S2" s="32" t="s">
        <v>62</v>
      </c>
      <c r="T2" s="32" t="s">
        <v>63</v>
      </c>
      <c r="U2" s="26" t="s">
        <v>44</v>
      </c>
      <c r="V2" s="26" t="s">
        <v>45</v>
      </c>
      <c r="W2" s="26" t="s">
        <v>39</v>
      </c>
    </row>
    <row r="3" spans="2:23" ht="33.6" customHeight="1" x14ac:dyDescent="0.35">
      <c r="B3" s="151"/>
      <c r="C3" s="152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7">
        <v>1</v>
      </c>
      <c r="O3" s="114" t="s">
        <v>98</v>
      </c>
      <c r="P3" s="115"/>
      <c r="Q3" s="115"/>
      <c r="R3" s="36">
        <f>K4*L4+K5*L5</f>
        <v>3000</v>
      </c>
      <c r="S3" s="80">
        <v>0.55500000000000005</v>
      </c>
      <c r="T3" s="34">
        <f>S3*R3</f>
        <v>1665.0000000000002</v>
      </c>
      <c r="U3" s="36">
        <v>85000</v>
      </c>
      <c r="V3" s="33">
        <f>U3*T3/1000</f>
        <v>141525.00000000003</v>
      </c>
      <c r="W3" s="73"/>
    </row>
    <row r="4" spans="2:23" ht="33.6" customHeight="1" x14ac:dyDescent="0.35">
      <c r="B4" s="125"/>
      <c r="C4" s="126"/>
      <c r="D4" s="154"/>
      <c r="E4" s="95">
        <v>700</v>
      </c>
      <c r="F4" s="95">
        <v>2000</v>
      </c>
      <c r="G4" s="95">
        <v>1</v>
      </c>
      <c r="H4" s="6" t="s">
        <v>19</v>
      </c>
      <c r="I4" s="3" t="s">
        <v>148</v>
      </c>
      <c r="J4" s="6" t="s">
        <v>154</v>
      </c>
      <c r="K4" s="3">
        <f>(E4*2)+100</f>
        <v>1500</v>
      </c>
      <c r="L4" s="3">
        <f>G4*1</f>
        <v>1</v>
      </c>
      <c r="N4" s="17">
        <v>2</v>
      </c>
      <c r="O4" s="114" t="s">
        <v>99</v>
      </c>
      <c r="P4" s="115"/>
      <c r="Q4" s="115"/>
      <c r="R4" s="36">
        <f t="shared" ref="R4:R5" si="0">K5*L5+K6*L6</f>
        <v>3500</v>
      </c>
      <c r="S4" s="80">
        <v>0.68100000000000005</v>
      </c>
      <c r="T4" s="34">
        <f t="shared" ref="T4:T5" si="1">S4*R4</f>
        <v>2383.5</v>
      </c>
      <c r="U4" s="36">
        <v>85000</v>
      </c>
      <c r="V4" s="33">
        <f t="shared" ref="V4:V5" si="2">U4*T4/1000</f>
        <v>202597.5</v>
      </c>
      <c r="W4" s="74"/>
    </row>
    <row r="5" spans="2:23" ht="33.6" customHeight="1" x14ac:dyDescent="0.35">
      <c r="B5" s="125"/>
      <c r="C5" s="126"/>
      <c r="D5" s="154"/>
      <c r="E5" s="2">
        <f>E4*F4</f>
        <v>1400000</v>
      </c>
      <c r="F5" s="2"/>
      <c r="G5" s="2"/>
      <c r="H5" s="6" t="s">
        <v>20</v>
      </c>
      <c r="I5" s="3" t="s">
        <v>149</v>
      </c>
      <c r="J5" s="6" t="s">
        <v>153</v>
      </c>
      <c r="K5" s="3">
        <f>(E4*2)+100</f>
        <v>1500</v>
      </c>
      <c r="L5" s="3">
        <f>G4*1</f>
        <v>1</v>
      </c>
      <c r="N5" s="17">
        <v>3</v>
      </c>
      <c r="O5" s="114" t="s">
        <v>100</v>
      </c>
      <c r="P5" s="115"/>
      <c r="Q5" s="115"/>
      <c r="R5" s="36">
        <f t="shared" si="0"/>
        <v>3540</v>
      </c>
      <c r="S5" s="80">
        <v>0.53500000000000003</v>
      </c>
      <c r="T5" s="34">
        <f t="shared" si="1"/>
        <v>1893.9</v>
      </c>
      <c r="U5" s="36">
        <v>85000</v>
      </c>
      <c r="V5" s="33">
        <f t="shared" si="2"/>
        <v>160981.5</v>
      </c>
      <c r="W5" s="74"/>
    </row>
    <row r="6" spans="2:23" ht="33.6" customHeight="1" x14ac:dyDescent="0.35">
      <c r="B6" s="125"/>
      <c r="C6" s="126"/>
      <c r="D6" s="154"/>
      <c r="E6" s="2"/>
      <c r="F6" s="2"/>
      <c r="G6" s="2"/>
      <c r="H6" s="6" t="s">
        <v>21</v>
      </c>
      <c r="I6" s="3" t="s">
        <v>150</v>
      </c>
      <c r="J6" s="6" t="s">
        <v>152</v>
      </c>
      <c r="K6" s="3">
        <f>F4</f>
        <v>2000</v>
      </c>
      <c r="L6" s="3">
        <v>1</v>
      </c>
      <c r="N6" s="17">
        <f>N3+1</f>
        <v>2</v>
      </c>
      <c r="O6" s="114" t="s">
        <v>151</v>
      </c>
      <c r="P6" s="115"/>
      <c r="Q6" s="115"/>
      <c r="R6" s="36">
        <f>K6*L6+K7*L7</f>
        <v>3540</v>
      </c>
      <c r="S6" s="80">
        <v>0.90800000000000003</v>
      </c>
      <c r="T6" s="34">
        <f t="shared" ref="T6:T7" si="3">S6*R6</f>
        <v>3214.32</v>
      </c>
      <c r="U6" s="36">
        <v>85000</v>
      </c>
      <c r="V6" s="33">
        <f t="shared" ref="V6:V7" si="4">U6*T6/1000</f>
        <v>273217.2</v>
      </c>
      <c r="W6" s="74"/>
    </row>
    <row r="7" spans="2:23" ht="33.6" customHeight="1" x14ac:dyDescent="0.35">
      <c r="B7" s="125"/>
      <c r="C7" s="126"/>
      <c r="D7" s="154"/>
      <c r="E7" s="2"/>
      <c r="F7" s="2"/>
      <c r="G7" s="2"/>
      <c r="H7" s="6" t="s">
        <v>22</v>
      </c>
      <c r="I7" s="3" t="s">
        <v>12</v>
      </c>
      <c r="J7" s="6">
        <v>5502</v>
      </c>
      <c r="K7" s="3">
        <f>E4+70</f>
        <v>770</v>
      </c>
      <c r="L7" s="3">
        <f>G4*2</f>
        <v>2</v>
      </c>
      <c r="N7" s="17">
        <f t="shared" ref="N7:N10" si="5">N6+1</f>
        <v>3</v>
      </c>
      <c r="O7" s="114" t="s">
        <v>94</v>
      </c>
      <c r="P7" s="115"/>
      <c r="Q7" s="115"/>
      <c r="R7" s="36">
        <f>K8</f>
        <v>1970</v>
      </c>
      <c r="S7" s="80">
        <v>0.223</v>
      </c>
      <c r="T7" s="34">
        <f t="shared" si="3"/>
        <v>439.31</v>
      </c>
      <c r="U7" s="36">
        <v>85000</v>
      </c>
      <c r="V7" s="33">
        <f t="shared" si="4"/>
        <v>37341.35</v>
      </c>
      <c r="W7" s="74"/>
    </row>
    <row r="8" spans="2:23" ht="33.6" customHeight="1" x14ac:dyDescent="0.35">
      <c r="B8" s="125"/>
      <c r="C8" s="126"/>
      <c r="D8" s="154"/>
      <c r="E8" s="2"/>
      <c r="F8" s="2"/>
      <c r="G8" s="2"/>
      <c r="H8" s="6" t="s">
        <v>24</v>
      </c>
      <c r="I8" s="3" t="s">
        <v>13</v>
      </c>
      <c r="J8" s="6">
        <v>5502</v>
      </c>
      <c r="K8" s="3">
        <f>F4-30</f>
        <v>1970</v>
      </c>
      <c r="L8" s="3">
        <f>G4*2</f>
        <v>2</v>
      </c>
      <c r="N8" s="17">
        <f t="shared" si="5"/>
        <v>4</v>
      </c>
      <c r="O8" s="114" t="s">
        <v>78</v>
      </c>
      <c r="P8" s="115"/>
      <c r="Q8" s="119"/>
      <c r="R8" s="36"/>
      <c r="S8" s="31"/>
      <c r="T8" s="72"/>
      <c r="U8" s="52">
        <v>0.05</v>
      </c>
      <c r="V8" s="36">
        <f>SUM(V3:V7)*U8</f>
        <v>40783.127500000002</v>
      </c>
      <c r="W8" s="44"/>
    </row>
    <row r="9" spans="2:23" ht="33.6" customHeight="1" x14ac:dyDescent="0.35">
      <c r="B9" s="125"/>
      <c r="C9" s="126"/>
      <c r="D9" s="154"/>
      <c r="E9" s="3"/>
      <c r="F9" s="3"/>
      <c r="G9" s="3"/>
      <c r="H9" s="3"/>
      <c r="I9" s="194" t="s">
        <v>79</v>
      </c>
      <c r="J9" s="3" t="s">
        <v>6</v>
      </c>
      <c r="K9" s="3" t="s">
        <v>7</v>
      </c>
      <c r="L9" s="5" t="s">
        <v>2</v>
      </c>
      <c r="N9" s="17">
        <f t="shared" si="5"/>
        <v>5</v>
      </c>
      <c r="O9" s="189" t="s">
        <v>118</v>
      </c>
      <c r="P9" s="190"/>
      <c r="Q9" s="190"/>
      <c r="R9" s="31"/>
      <c r="S9" s="31"/>
      <c r="T9" s="35">
        <v>4</v>
      </c>
      <c r="U9" s="46">
        <v>2700</v>
      </c>
      <c r="V9" s="33">
        <f t="shared" ref="V9" si="6">U9*T9</f>
        <v>10800</v>
      </c>
      <c r="W9" s="28"/>
    </row>
    <row r="10" spans="2:23" ht="33.6" customHeight="1" x14ac:dyDescent="0.35">
      <c r="B10" s="127"/>
      <c r="C10" s="128"/>
      <c r="D10" s="155"/>
      <c r="E10" s="16"/>
      <c r="F10" s="3"/>
      <c r="G10" s="3"/>
      <c r="H10" s="3"/>
      <c r="I10" s="195"/>
      <c r="J10" s="3">
        <f>K7-125</f>
        <v>645</v>
      </c>
      <c r="K10" s="3">
        <f>K8-125</f>
        <v>1845</v>
      </c>
      <c r="L10" s="3">
        <v>1</v>
      </c>
      <c r="N10" s="17">
        <f t="shared" si="5"/>
        <v>6</v>
      </c>
      <c r="O10" s="116" t="s">
        <v>65</v>
      </c>
      <c r="P10" s="117"/>
      <c r="Q10" s="117"/>
      <c r="R10" s="117"/>
      <c r="S10" s="118"/>
      <c r="T10" s="37"/>
      <c r="U10" s="38"/>
      <c r="V10" s="39">
        <f>SUM(V3:V9)</f>
        <v>867245.67749999999</v>
      </c>
      <c r="W10" s="17"/>
    </row>
    <row r="11" spans="2:23" ht="33.6" customHeight="1" x14ac:dyDescent="0.35">
      <c r="B11" s="161"/>
      <c r="C11" s="161"/>
      <c r="L11" s="1">
        <f>J10*K10*L10/1000000</f>
        <v>1.1900250000000001</v>
      </c>
      <c r="N11" s="26" t="s">
        <v>14</v>
      </c>
      <c r="O11" s="121" t="s">
        <v>51</v>
      </c>
      <c r="P11" s="121"/>
      <c r="Q11" s="121"/>
      <c r="R11" s="26" t="s">
        <v>52</v>
      </c>
      <c r="S11" s="32" t="s">
        <v>58</v>
      </c>
      <c r="T11" s="32"/>
      <c r="U11" s="26" t="s">
        <v>44</v>
      </c>
      <c r="V11" s="26" t="s">
        <v>45</v>
      </c>
      <c r="W11" s="2"/>
    </row>
    <row r="12" spans="2:23" ht="33.6" customHeight="1" x14ac:dyDescent="0.35">
      <c r="B12" s="4"/>
      <c r="K12" s="10"/>
      <c r="L12" s="1">
        <v>310000</v>
      </c>
      <c r="N12" s="17">
        <v>1</v>
      </c>
      <c r="O12" s="114" t="s">
        <v>95</v>
      </c>
      <c r="P12" s="115"/>
      <c r="Q12" s="115"/>
      <c r="R12" s="40">
        <f>R6*2+R7+R4*2</f>
        <v>16050</v>
      </c>
      <c r="S12" s="2">
        <v>1</v>
      </c>
      <c r="T12" s="27"/>
      <c r="U12" s="40">
        <v>1000</v>
      </c>
      <c r="V12" s="40">
        <f>U12*R12*S12/1000</f>
        <v>16050</v>
      </c>
      <c r="W12" s="2"/>
    </row>
    <row r="13" spans="2:23" ht="33.6" customHeight="1" x14ac:dyDescent="0.35">
      <c r="L13" s="100">
        <f>L11*L12</f>
        <v>368907.75000000006</v>
      </c>
      <c r="N13" s="17">
        <f t="shared" ref="N13:N16" si="7">N12+1</f>
        <v>2</v>
      </c>
      <c r="O13" s="114" t="s">
        <v>96</v>
      </c>
      <c r="P13" s="115"/>
      <c r="Q13" s="115"/>
      <c r="R13" s="40"/>
      <c r="S13" s="2">
        <v>4</v>
      </c>
      <c r="T13" s="27"/>
      <c r="U13" s="40">
        <v>500</v>
      </c>
      <c r="V13" s="40">
        <f>U13*S13</f>
        <v>2000</v>
      </c>
      <c r="W13" s="28"/>
    </row>
    <row r="14" spans="2:23" ht="33.6" customHeight="1" x14ac:dyDescent="0.35">
      <c r="N14" s="17">
        <f t="shared" si="7"/>
        <v>3</v>
      </c>
      <c r="O14" s="114" t="s">
        <v>68</v>
      </c>
      <c r="P14" s="115"/>
      <c r="Q14" s="119"/>
      <c r="R14" s="40"/>
      <c r="S14" s="54">
        <v>1</v>
      </c>
      <c r="T14" s="27"/>
      <c r="U14" s="40">
        <v>1000</v>
      </c>
      <c r="V14" s="40">
        <f t="shared" ref="V14:V15" si="8">U14*S14</f>
        <v>1000</v>
      </c>
      <c r="W14" s="28"/>
    </row>
    <row r="15" spans="2:23" ht="33.6" customHeight="1" x14ac:dyDescent="0.35">
      <c r="N15" s="17">
        <f t="shared" si="7"/>
        <v>4</v>
      </c>
      <c r="O15" s="114" t="s">
        <v>70</v>
      </c>
      <c r="P15" s="115"/>
      <c r="Q15" s="119"/>
      <c r="R15" s="40"/>
      <c r="S15" s="2">
        <v>1</v>
      </c>
      <c r="T15" s="27"/>
      <c r="U15" s="40">
        <v>2000</v>
      </c>
      <c r="V15" s="40">
        <f t="shared" si="8"/>
        <v>2000</v>
      </c>
      <c r="W15" s="2"/>
    </row>
    <row r="16" spans="2:23" ht="33.6" customHeight="1" x14ac:dyDescent="0.35">
      <c r="N16" s="17">
        <f t="shared" si="7"/>
        <v>5</v>
      </c>
      <c r="O16" s="131" t="s">
        <v>69</v>
      </c>
      <c r="P16" s="131"/>
      <c r="Q16" s="131"/>
      <c r="R16" s="131"/>
      <c r="S16" s="131"/>
      <c r="T16" s="37"/>
      <c r="U16" s="38"/>
      <c r="V16" s="39">
        <f>SUM(V12:V15)</f>
        <v>21050</v>
      </c>
      <c r="W16" s="2"/>
    </row>
    <row r="17" spans="14:23" ht="33.6" customHeight="1" x14ac:dyDescent="0.35">
      <c r="N17" s="96"/>
      <c r="O17" s="111" t="s">
        <v>145</v>
      </c>
      <c r="P17" s="112"/>
      <c r="Q17" s="112"/>
      <c r="R17" s="112"/>
      <c r="S17" s="113"/>
      <c r="T17" s="98"/>
      <c r="U17" s="99"/>
      <c r="V17" s="100">
        <f>V10+V16</f>
        <v>888295.67749999999</v>
      </c>
      <c r="W17" s="97"/>
    </row>
    <row r="18" spans="14:23" ht="33.6" customHeight="1" x14ac:dyDescent="0.35">
      <c r="U18" s="1">
        <f>E5*300000/1000000</f>
        <v>420000</v>
      </c>
    </row>
    <row r="19" spans="14:23" ht="33.6" customHeight="1" x14ac:dyDescent="0.35">
      <c r="V19" s="22">
        <f>V17+L13</f>
        <v>1257203.4275</v>
      </c>
    </row>
    <row r="20" spans="14:23" ht="33.6" customHeight="1" x14ac:dyDescent="0.35">
      <c r="U20" s="1">
        <v>871000</v>
      </c>
      <c r="V20" s="22">
        <f>V19+U18</f>
        <v>1677203.4275</v>
      </c>
    </row>
    <row r="21" spans="14:23" ht="33.6" customHeight="1" x14ac:dyDescent="0.35">
      <c r="V21" s="22">
        <f>V20+U20+L13</f>
        <v>2917111.1775000002</v>
      </c>
    </row>
    <row r="22" spans="14:23" ht="33.6" customHeight="1" x14ac:dyDescent="0.35">
      <c r="V22" s="102">
        <f>V21/3800000</f>
        <v>0.76766083618421055</v>
      </c>
    </row>
  </sheetData>
  <mergeCells count="23">
    <mergeCell ref="B1:F1"/>
    <mergeCell ref="B2:F2"/>
    <mergeCell ref="I2:L2"/>
    <mergeCell ref="B11:C11"/>
    <mergeCell ref="I9:I10"/>
    <mergeCell ref="B3:D10"/>
    <mergeCell ref="N1:W1"/>
    <mergeCell ref="O2:Q2"/>
    <mergeCell ref="O3:Q3"/>
    <mergeCell ref="O6:Q6"/>
    <mergeCell ref="O7:Q7"/>
    <mergeCell ref="O14:Q14"/>
    <mergeCell ref="O15:Q15"/>
    <mergeCell ref="O16:S16"/>
    <mergeCell ref="O17:S17"/>
    <mergeCell ref="O4:Q4"/>
    <mergeCell ref="O5:Q5"/>
    <mergeCell ref="O9:Q9"/>
    <mergeCell ref="O10:S10"/>
    <mergeCell ref="O11:Q11"/>
    <mergeCell ref="O12:Q12"/>
    <mergeCell ref="O13:Q13"/>
    <mergeCell ref="O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</vt:i4>
      </vt:variant>
    </vt:vector>
  </HeadingPairs>
  <TitlesOfParts>
    <vt:vector size="24" baseType="lpstr">
      <vt:lpstr>ĐI QUAY 1 CÁNH</vt:lpstr>
      <vt:lpstr>ĐI QUAY 2 CÁNH</vt:lpstr>
      <vt:lpstr>ĐI QUAY 4 CÁNH</vt:lpstr>
      <vt:lpstr>SỔ QUAY 1CÁNH</vt:lpstr>
      <vt:lpstr>Sổ QUAY 2 CÁNH</vt:lpstr>
      <vt:lpstr>Sổ QUAY 3 CÁNH -Đố tĩnh</vt:lpstr>
      <vt:lpstr>Sổ QUAY 4 CÁNH đố động</vt:lpstr>
      <vt:lpstr>Sổ QUAY 4 CÁNH đố tĩnh</vt:lpstr>
      <vt:lpstr>Sổ lùA 2 CÁNH</vt:lpstr>
      <vt:lpstr>Sổ lùa 4 CÁNH</vt:lpstr>
      <vt:lpstr> lùa 93 2 CÁNH</vt:lpstr>
      <vt:lpstr>Lùa 93 3 CÁNH</vt:lpstr>
      <vt:lpstr>Lùa 93 4 CÁNH</vt:lpstr>
      <vt:lpstr>XẾP TRƯỢT 63 4 CÁNH</vt:lpstr>
      <vt:lpstr>Ô FIX KHÔNG ĐỐ</vt:lpstr>
      <vt:lpstr>KHUNG LÁ SÁCH</vt:lpstr>
      <vt:lpstr>LÙA 1 CÁNH</vt:lpstr>
      <vt:lpstr>' lùa 93 2 CÁNH'!Print_Area</vt:lpstr>
      <vt:lpstr>'ĐI QUAY 1 CÁNH'!Print_Area</vt:lpstr>
      <vt:lpstr>'ĐI QUAY 4 CÁNH'!Print_Area</vt:lpstr>
      <vt:lpstr>'Lùa 93 3 CÁNH'!Print_Area</vt:lpstr>
      <vt:lpstr>'SỔ QUAY 1CÁNH'!Print_Area</vt:lpstr>
      <vt:lpstr>'Sổ QUAY 2 CÁNH'!Print_Area</vt:lpstr>
      <vt:lpstr>'XẾP TRƯỢT 63 4 CÁNH'!Print_Area</vt:lpstr>
    </vt:vector>
  </TitlesOfParts>
  <Company>Phan Danh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Le Phan Danh</dc:creator>
  <cp:lastModifiedBy>Hoang Quan</cp:lastModifiedBy>
  <cp:lastPrinted>2023-07-31T09:53:00Z</cp:lastPrinted>
  <dcterms:created xsi:type="dcterms:W3CDTF">2019-06-07T03:53:21Z</dcterms:created>
  <dcterms:modified xsi:type="dcterms:W3CDTF">2025-11-14T03:43:26Z</dcterms:modified>
</cp:coreProperties>
</file>
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ao\OneDrive\Desktop\"/>
    </mc:Choice>
  </mc:AlternateContent>
  <xr:revisionPtr revIDLastSave="0" documentId="13_ncr:1_{DC915A91-EC7C-46D4-8092-C24A4D3672C5}" xr6:coauthVersionLast="47" xr6:coauthVersionMax="47" xr10:uidLastSave="{00000000-0000-0000-0000-000000000000}"/>
  <bookViews>
    <workbookView xWindow="-108" yWindow="-108" windowWidth="23256" windowHeight="12456" firstSheet="7" activeTab="9" xr2:uid="{00000000-000D-0000-FFFF-FFFF00000000}"/>
  </bookViews>
  <sheets>
    <sheet name="ĐI QUAY 1 CÁNH" sheetId="8" r:id="rId1"/>
    <sheet name="ĐI QUAY 2 CÁNH" sheetId="20" r:id="rId2"/>
    <sheet name="ĐI QUAY 4 CÁNH" sheetId="10" r:id="rId3"/>
    <sheet name="Sổ QUAY 2 CÁNH" sheetId="14" r:id="rId4"/>
    <sheet name="SỔ QUAY 1CÁNH" sheetId="13" r:id="rId5"/>
    <sheet name="Sổ QUAY 3 CÁNH -Đố tĩnh" sheetId="33" r:id="rId6"/>
    <sheet name="Sổ QUAY 4 CÁNH đố động" sheetId="22" r:id="rId7"/>
    <sheet name="Sheet1" sheetId="42" r:id="rId8"/>
    <sheet name="Sổ QUAY 4 CÁNH đố tĩnh" sheetId="23" r:id="rId9"/>
    <sheet name="Sổ lùA 2 CÁNH" sheetId="17" r:id="rId10"/>
    <sheet name="Sổ lùa 4 CÁNH" sheetId="18" r:id="rId11"/>
    <sheet name="LÙA 93 2 CÁNH" sheetId="24" r:id="rId12"/>
    <sheet name="Lùa 93 3 CÁNH" sheetId="29" r:id="rId13"/>
    <sheet name="Lùa 93 4 CÁNH" sheetId="28" r:id="rId14"/>
    <sheet name="XẾP TRƯỢT 63 4 CÁNH" sheetId="35" r:id="rId15"/>
    <sheet name="Ô FIX KHÔNG ĐỐ" sheetId="40" r:id="rId16"/>
    <sheet name="KHUNG LÁ SÁCH" sheetId="41" r:id="rId17"/>
  </sheets>
  <externalReferences>
    <externalReference r:id="rId18"/>
  </externalReferences>
  <definedNames>
    <definedName name="_xlnm.Print_Area" localSheetId="0">'ĐI QUAY 1 CÁNH'!$A$2:$Q$20</definedName>
    <definedName name="_xlnm.Print_Area" localSheetId="2">'ĐI QUAY 4 CÁNH'!$A$1:$L$11</definedName>
    <definedName name="_xlnm.Print_Area" localSheetId="11">'LÙA 93 2 CÁNH'!$C$1:$M$12</definedName>
    <definedName name="_xlnm.Print_Area" localSheetId="12">'Lùa 93 3 CÁNH'!$H$1:$L$12</definedName>
    <definedName name="_xlnm.Print_Area" localSheetId="4">'SỔ QUAY 1CÁNH'!$B$1:$L$10</definedName>
    <definedName name="_xlnm.Print_Area" localSheetId="3">'Sổ QUAY 2 CÁNH'!$A$1:$L$10</definedName>
    <definedName name="_xlnm.Print_Area" localSheetId="14">'XẾP TRƯỢT 63 4 CÁNH'!$A$1:$M$17</definedName>
  </definedNames>
  <calcPr calcId="191029" refMode="R1C1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25" i="35" l="1"/>
  <c r="V26" i="28" l="1"/>
  <c r="V25" i="28"/>
  <c r="V24" i="28"/>
  <c r="V23" i="28"/>
  <c r="V22" i="28"/>
  <c r="T22" i="28" l="1"/>
  <c r="V21" i="28"/>
  <c r="V20" i="28"/>
  <c r="L14" i="28"/>
  <c r="L17" i="14"/>
  <c r="V15" i="40" l="1"/>
  <c r="J12" i="24" l="1"/>
  <c r="W24" i="8" l="1"/>
  <c r="W25" i="8" s="1"/>
  <c r="K5" i="8" l="1"/>
  <c r="K7" i="8" s="1"/>
  <c r="L7" i="35"/>
  <c r="K7" i="35"/>
  <c r="J10" i="35" s="1"/>
  <c r="L10" i="35"/>
  <c r="K8" i="35"/>
  <c r="K10" i="35" s="1"/>
  <c r="L8" i="35"/>
  <c r="U22" i="13"/>
  <c r="V23" i="35" l="1"/>
  <c r="I10" i="40"/>
  <c r="J12" i="28" l="1"/>
  <c r="V22" i="22"/>
  <c r="V21" i="22"/>
  <c r="V20" i="22"/>
  <c r="V23" i="23" l="1"/>
  <c r="T25" i="14" l="1"/>
  <c r="T22" i="14" l="1"/>
  <c r="V29" i="10"/>
  <c r="R22" i="8" l="1"/>
  <c r="L15" i="23" l="1"/>
  <c r="L16" i="33" l="1"/>
  <c r="L15" i="33"/>
  <c r="L14" i="33"/>
  <c r="L13" i="33"/>
  <c r="L12" i="33"/>
  <c r="U28" i="40"/>
  <c r="F6" i="8" l="1"/>
  <c r="F6" i="10"/>
  <c r="K22" i="8" l="1"/>
  <c r="V20" i="8"/>
  <c r="L15" i="10"/>
  <c r="L18" i="10"/>
  <c r="V22" i="10"/>
  <c r="W22" i="10"/>
  <c r="T23" i="10"/>
  <c r="S22" i="8"/>
  <c r="V27" i="10"/>
  <c r="F6" i="17"/>
  <c r="W18" i="17" l="1"/>
  <c r="V17" i="17"/>
  <c r="U23" i="8"/>
  <c r="S25" i="8"/>
  <c r="F6" i="14"/>
  <c r="U20" i="14" l="1"/>
  <c r="L14" i="14"/>
  <c r="U24" i="14"/>
  <c r="S22" i="14"/>
  <c r="F6" i="40"/>
  <c r="V28" i="40" s="1"/>
  <c r="W29" i="40" l="1"/>
  <c r="L12" i="40"/>
  <c r="V31" i="40"/>
  <c r="L30" i="40"/>
  <c r="L21" i="40"/>
  <c r="L10" i="8"/>
  <c r="F6" i="13"/>
  <c r="U19" i="13" s="1"/>
  <c r="V20" i="13" l="1"/>
  <c r="T20" i="13"/>
  <c r="F6" i="20"/>
  <c r="L6" i="20"/>
  <c r="V26" i="20" l="1"/>
  <c r="V22" i="20"/>
  <c r="O23" i="20"/>
  <c r="U25" i="20"/>
  <c r="L8" i="40"/>
  <c r="L6" i="40"/>
  <c r="L5" i="40"/>
  <c r="L4" i="40"/>
  <c r="R19" i="40" l="1"/>
  <c r="R23" i="40" s="1"/>
  <c r="V25" i="40"/>
  <c r="V24" i="40"/>
  <c r="N20" i="40"/>
  <c r="N21" i="40" s="1"/>
  <c r="N22" i="40" s="1"/>
  <c r="N23" i="40" s="1"/>
  <c r="N24" i="40" s="1"/>
  <c r="N25" i="40" s="1"/>
  <c r="T18" i="40"/>
  <c r="N26" i="40" l="1"/>
  <c r="V18" i="40"/>
  <c r="T19" i="40"/>
  <c r="V19" i="40" s="1"/>
  <c r="V23" i="40"/>
  <c r="V26" i="40" s="1"/>
  <c r="V8" i="8"/>
  <c r="L6" i="41" l="1"/>
  <c r="K6" i="41"/>
  <c r="R5" i="41" s="1"/>
  <c r="T5" i="41" s="1"/>
  <c r="K5" i="41"/>
  <c r="R4" i="41" s="1"/>
  <c r="K4" i="41"/>
  <c r="R3" i="41" s="1"/>
  <c r="V10" i="41"/>
  <c r="V9" i="41"/>
  <c r="N10" i="41"/>
  <c r="N11" i="41" s="1"/>
  <c r="F6" i="41"/>
  <c r="V13" i="41" s="1"/>
  <c r="N4" i="41"/>
  <c r="N5" i="41" s="1"/>
  <c r="N6" i="41" s="1"/>
  <c r="N7" i="41" s="1"/>
  <c r="K6" i="40"/>
  <c r="V7" i="40"/>
  <c r="K5" i="40"/>
  <c r="K8" i="40" s="1"/>
  <c r="K4" i="40"/>
  <c r="J8" i="40" s="1"/>
  <c r="V13" i="40"/>
  <c r="V12" i="40"/>
  <c r="N4" i="40"/>
  <c r="N5" i="40" s="1"/>
  <c r="N6" i="40" s="1"/>
  <c r="N7" i="40" s="1"/>
  <c r="N8" i="40" s="1"/>
  <c r="N9" i="40" s="1"/>
  <c r="N10" i="40" s="1"/>
  <c r="N11" i="40" s="1"/>
  <c r="N12" i="40" s="1"/>
  <c r="N13" i="40" s="1"/>
  <c r="N14" i="40" s="1"/>
  <c r="F6" i="35"/>
  <c r="F6" i="28"/>
  <c r="F6" i="29"/>
  <c r="F6" i="24"/>
  <c r="F6" i="18"/>
  <c r="V18" i="18" s="1"/>
  <c r="F6" i="23"/>
  <c r="V21" i="23" s="1"/>
  <c r="F6" i="22"/>
  <c r="F6" i="33"/>
  <c r="W26" i="29" l="1"/>
  <c r="V19" i="29"/>
  <c r="V24" i="29"/>
  <c r="V19" i="24"/>
  <c r="V21" i="24"/>
  <c r="W21" i="24"/>
  <c r="V20" i="35"/>
  <c r="V20" i="18"/>
  <c r="W21" i="29"/>
  <c r="W22" i="23"/>
  <c r="W25" i="23" s="1"/>
  <c r="T3" i="41"/>
  <c r="V5" i="41"/>
  <c r="T4" i="41"/>
  <c r="V4" i="41" s="1"/>
  <c r="V3" i="41"/>
  <c r="V6" i="41" s="1"/>
  <c r="R3" i="40"/>
  <c r="R4" i="40"/>
  <c r="T4" i="40" s="1"/>
  <c r="V4" i="40" s="1"/>
  <c r="L9" i="40"/>
  <c r="V8" i="40"/>
  <c r="L11" i="40" l="1"/>
  <c r="L13" i="40" s="1"/>
  <c r="G6" i="41"/>
  <c r="V11" i="41"/>
  <c r="R11" i="40"/>
  <c r="R5" i="40"/>
  <c r="T3" i="40"/>
  <c r="L14" i="40" l="1"/>
  <c r="T5" i="40"/>
  <c r="G6" i="40" s="1"/>
  <c r="V11" i="40"/>
  <c r="V14" i="40" s="1"/>
  <c r="V3" i="40"/>
  <c r="K4" i="8"/>
  <c r="K6" i="8" s="1"/>
  <c r="J10" i="8" s="1"/>
  <c r="V7" i="41" l="1"/>
  <c r="V12" i="41" s="1"/>
  <c r="V14" i="41" s="1"/>
  <c r="V15" i="41" s="1"/>
  <c r="V5" i="40"/>
  <c r="V6" i="40" s="1"/>
  <c r="V12" i="28"/>
  <c r="V9" i="40" l="1"/>
  <c r="W28" i="40" s="1"/>
  <c r="K11" i="40" l="1"/>
  <c r="W30" i="40"/>
  <c r="W32" i="40" s="1"/>
  <c r="L15" i="40"/>
  <c r="N16" i="35"/>
  <c r="N17" i="35" s="1"/>
  <c r="N18" i="35" s="1"/>
  <c r="T11" i="35"/>
  <c r="T12" i="35" s="1"/>
  <c r="V16" i="29"/>
  <c r="N16" i="29"/>
  <c r="N17" i="29" s="1"/>
  <c r="V15" i="29"/>
  <c r="V11" i="29"/>
  <c r="N4" i="29"/>
  <c r="N5" i="29" s="1"/>
  <c r="N6" i="29" s="1"/>
  <c r="V17" i="28"/>
  <c r="N17" i="28"/>
  <c r="N18" i="28" s="1"/>
  <c r="V16" i="28"/>
  <c r="N4" i="28"/>
  <c r="N5" i="28" s="1"/>
  <c r="N6" i="28" s="1"/>
  <c r="V15" i="18"/>
  <c r="V14" i="18"/>
  <c r="V13" i="18"/>
  <c r="N13" i="18"/>
  <c r="N14" i="18" s="1"/>
  <c r="N15" i="18" s="1"/>
  <c r="N16" i="18" s="1"/>
  <c r="V9" i="18"/>
  <c r="V8" i="18"/>
  <c r="N4" i="18"/>
  <c r="N5" i="18" s="1"/>
  <c r="N6" i="18" s="1"/>
  <c r="N7" i="18" s="1"/>
  <c r="N8" i="18" s="1"/>
  <c r="N9" i="18" s="1"/>
  <c r="N10" i="18" s="1"/>
  <c r="V17" i="10"/>
  <c r="V20" i="40" l="1"/>
  <c r="V21" i="40" s="1"/>
  <c r="L16" i="40"/>
  <c r="U30" i="40"/>
  <c r="N7" i="29"/>
  <c r="N8" i="29" s="1"/>
  <c r="N9" i="29" s="1"/>
  <c r="N10" i="29"/>
  <c r="N11" i="29" s="1"/>
  <c r="N12" i="29" s="1"/>
  <c r="N7" i="28"/>
  <c r="N8" i="28" s="1"/>
  <c r="N9" i="28" s="1"/>
  <c r="N10" i="28" s="1"/>
  <c r="N11" i="28" s="1"/>
  <c r="N12" i="28" s="1"/>
  <c r="N13" i="28" s="1"/>
  <c r="T10" i="23"/>
  <c r="T11" i="23" s="1"/>
  <c r="V11" i="23" s="1"/>
  <c r="V9" i="23"/>
  <c r="N15" i="23"/>
  <c r="N16" i="23" s="1"/>
  <c r="N17" i="23" s="1"/>
  <c r="N18" i="23" s="1"/>
  <c r="T10" i="8"/>
  <c r="T11" i="20"/>
  <c r="T11" i="10"/>
  <c r="T9" i="13"/>
  <c r="T10" i="14"/>
  <c r="T10" i="33"/>
  <c r="T9" i="22"/>
  <c r="T10" i="22" s="1"/>
  <c r="H5" i="14"/>
  <c r="H6" i="14" s="1"/>
  <c r="H7" i="14" s="1"/>
  <c r="H8" i="14" s="1"/>
  <c r="H9" i="14" s="1"/>
  <c r="H10" i="14" s="1"/>
  <c r="V27" i="40" l="1"/>
  <c r="L17" i="40" s="1"/>
  <c r="L18" i="40" s="1"/>
  <c r="V10" i="23"/>
  <c r="K6" i="13"/>
  <c r="K7" i="13"/>
  <c r="H21" i="10"/>
  <c r="H5" i="10"/>
  <c r="H6" i="10" s="1"/>
  <c r="H7" i="10" s="1"/>
  <c r="H8" i="10" s="1"/>
  <c r="H9" i="10" s="1"/>
  <c r="H10" i="10" s="1"/>
  <c r="H11" i="10" s="1"/>
  <c r="L20" i="40" l="1"/>
  <c r="L22" i="40" s="1"/>
  <c r="L23" i="40" s="1"/>
  <c r="L29" i="40"/>
  <c r="L31" i="40" s="1"/>
  <c r="L32" i="40" s="1"/>
  <c r="S30" i="40"/>
  <c r="V29" i="40"/>
  <c r="V30" i="40" s="1"/>
  <c r="W31" i="40" s="1"/>
  <c r="T28" i="40"/>
  <c r="V17" i="35"/>
  <c r="V16" i="35"/>
  <c r="V12" i="35"/>
  <c r="V11" i="35"/>
  <c r="V10" i="35"/>
  <c r="N4" i="35"/>
  <c r="N5" i="35" s="1"/>
  <c r="N6" i="35" s="1"/>
  <c r="N7" i="35" s="1"/>
  <c r="N8" i="35" s="1"/>
  <c r="N9" i="35" s="1"/>
  <c r="N10" i="35" s="1"/>
  <c r="N11" i="35" s="1"/>
  <c r="N12" i="35" s="1"/>
  <c r="N13" i="35" s="1"/>
  <c r="V16" i="24"/>
  <c r="V15" i="24"/>
  <c r="N16" i="24"/>
  <c r="N17" i="24" s="1"/>
  <c r="V11" i="24"/>
  <c r="N4" i="24"/>
  <c r="N5" i="24" s="1"/>
  <c r="N6" i="24" s="1"/>
  <c r="V14" i="17"/>
  <c r="V13" i="17"/>
  <c r="V12" i="17"/>
  <c r="N12" i="17"/>
  <c r="N13" i="17" s="1"/>
  <c r="N14" i="17" s="1"/>
  <c r="N15" i="17" s="1"/>
  <c r="V8" i="17"/>
  <c r="V7" i="17"/>
  <c r="N4" i="17"/>
  <c r="N5" i="17" s="1"/>
  <c r="N6" i="17" s="1"/>
  <c r="N7" i="17" s="1"/>
  <c r="N8" i="17" s="1"/>
  <c r="N9" i="17" s="1"/>
  <c r="V18" i="23"/>
  <c r="V17" i="23"/>
  <c r="V16" i="23"/>
  <c r="N19" i="23"/>
  <c r="N4" i="23"/>
  <c r="N5" i="23" s="1"/>
  <c r="N6" i="23" s="1"/>
  <c r="N7" i="23" s="1"/>
  <c r="N8" i="23" s="1"/>
  <c r="N9" i="23" s="1"/>
  <c r="N10" i="23" s="1"/>
  <c r="N11" i="23" s="1"/>
  <c r="N12" i="23" s="1"/>
  <c r="V17" i="22"/>
  <c r="V16" i="22"/>
  <c r="V15" i="22"/>
  <c r="N14" i="22"/>
  <c r="N15" i="22" s="1"/>
  <c r="N16" i="22" s="1"/>
  <c r="N17" i="22" s="1"/>
  <c r="N18" i="22" s="1"/>
  <c r="V10" i="22"/>
  <c r="V9" i="22"/>
  <c r="V8" i="22"/>
  <c r="N4" i="22"/>
  <c r="N5" i="22" s="1"/>
  <c r="N6" i="22" s="1"/>
  <c r="N7" i="22" s="1"/>
  <c r="N8" i="22" s="1"/>
  <c r="N9" i="22" s="1"/>
  <c r="N10" i="22" s="1"/>
  <c r="N11" i="22" s="1"/>
  <c r="V16" i="33"/>
  <c r="V15" i="33"/>
  <c r="N14" i="33"/>
  <c r="N16" i="33" s="1"/>
  <c r="N17" i="33" s="1"/>
  <c r="V10" i="33"/>
  <c r="V9" i="33"/>
  <c r="V8" i="33"/>
  <c r="N4" i="33"/>
  <c r="N5" i="33" s="1"/>
  <c r="N6" i="33" s="1"/>
  <c r="N7" i="33" s="1"/>
  <c r="N8" i="33" s="1"/>
  <c r="N9" i="33" s="1"/>
  <c r="N10" i="33" s="1"/>
  <c r="N11" i="33" s="1"/>
  <c r="V17" i="14"/>
  <c r="V16" i="14"/>
  <c r="V15" i="14"/>
  <c r="N14" i="14"/>
  <c r="N15" i="14" s="1"/>
  <c r="N16" i="14" s="1"/>
  <c r="N17" i="14" s="1"/>
  <c r="N18" i="14" s="1"/>
  <c r="V10" i="14"/>
  <c r="V9" i="14"/>
  <c r="V8" i="14"/>
  <c r="N4" i="14"/>
  <c r="N5" i="14" s="1"/>
  <c r="N6" i="14" s="1"/>
  <c r="N7" i="14" s="1"/>
  <c r="N8" i="14" s="1"/>
  <c r="N9" i="14" s="1"/>
  <c r="N10" i="14" s="1"/>
  <c r="N11" i="14" s="1"/>
  <c r="V15" i="13"/>
  <c r="V14" i="13"/>
  <c r="N13" i="13"/>
  <c r="N14" i="13" s="1"/>
  <c r="N15" i="13" s="1"/>
  <c r="N16" i="13" s="1"/>
  <c r="V9" i="13"/>
  <c r="V8" i="13"/>
  <c r="V7" i="13"/>
  <c r="N4" i="13"/>
  <c r="N5" i="13" s="1"/>
  <c r="N6" i="13" s="1"/>
  <c r="N7" i="13" s="1"/>
  <c r="N8" i="13" s="1"/>
  <c r="N9" i="13" s="1"/>
  <c r="N10" i="13" s="1"/>
  <c r="V32" i="40" l="1"/>
  <c r="N10" i="24"/>
  <c r="N11" i="24" s="1"/>
  <c r="N12" i="24" s="1"/>
  <c r="N7" i="24"/>
  <c r="N8" i="24" s="1"/>
  <c r="N9" i="24" s="1"/>
  <c r="V17" i="20" l="1"/>
  <c r="H5" i="20"/>
  <c r="H6" i="20" s="1"/>
  <c r="H7" i="20" s="1"/>
  <c r="H8" i="20" s="1"/>
  <c r="H9" i="20" s="1"/>
  <c r="H10" i="20" s="1"/>
  <c r="H11" i="20" s="1"/>
  <c r="V19" i="10"/>
  <c r="V18" i="10"/>
  <c r="V16" i="10"/>
  <c r="N15" i="10"/>
  <c r="N16" i="10" s="1"/>
  <c r="V11" i="10"/>
  <c r="V10" i="10"/>
  <c r="V9" i="10"/>
  <c r="N4" i="10"/>
  <c r="N5" i="10" s="1"/>
  <c r="N6" i="10" s="1"/>
  <c r="N7" i="10" s="1"/>
  <c r="N8" i="10" s="1"/>
  <c r="N9" i="10" s="1"/>
  <c r="N10" i="10" s="1"/>
  <c r="N11" i="10" s="1"/>
  <c r="N12" i="10" s="1"/>
  <c r="V19" i="20"/>
  <c r="V18" i="20"/>
  <c r="V16" i="20"/>
  <c r="N15" i="20"/>
  <c r="N16" i="20" s="1"/>
  <c r="N17" i="20" s="1"/>
  <c r="N18" i="20" s="1"/>
  <c r="N19" i="20" s="1"/>
  <c r="N20" i="20" s="1"/>
  <c r="V11" i="20"/>
  <c r="V10" i="20"/>
  <c r="V9" i="20"/>
  <c r="N4" i="20"/>
  <c r="N5" i="20" s="1"/>
  <c r="N6" i="20" s="1"/>
  <c r="N7" i="20" s="1"/>
  <c r="N8" i="20" s="1"/>
  <c r="N9" i="20" s="1"/>
  <c r="N10" i="20" s="1"/>
  <c r="N11" i="20" s="1"/>
  <c r="N12" i="20" s="1"/>
  <c r="N17" i="10" l="1"/>
  <c r="N18" i="10" s="1"/>
  <c r="N19" i="10" s="1"/>
  <c r="N20" i="10" s="1"/>
  <c r="H20" i="8" l="1"/>
  <c r="V16" i="8"/>
  <c r="V17" i="8"/>
  <c r="V15" i="8"/>
  <c r="N14" i="8"/>
  <c r="N15" i="8" s="1"/>
  <c r="N16" i="8" s="1"/>
  <c r="N17" i="8" s="1"/>
  <c r="N18" i="8" s="1"/>
  <c r="N4" i="8"/>
  <c r="N5" i="8" s="1"/>
  <c r="N6" i="8" s="1"/>
  <c r="N7" i="8" s="1"/>
  <c r="N8" i="8" s="1"/>
  <c r="N9" i="8" s="1"/>
  <c r="N10" i="8" s="1"/>
  <c r="N11" i="8" s="1"/>
  <c r="V9" i="8"/>
  <c r="V10" i="8"/>
  <c r="F10" i="8" l="1"/>
  <c r="K7" i="17"/>
  <c r="R5" i="17" l="1"/>
  <c r="K9" i="17"/>
  <c r="K8" i="28"/>
  <c r="K9" i="28"/>
  <c r="R10" i="28" l="1"/>
  <c r="T10" i="28" s="1"/>
  <c r="V10" i="28" s="1"/>
  <c r="K12" i="28"/>
  <c r="K7" i="28"/>
  <c r="K10" i="29"/>
  <c r="K9" i="29"/>
  <c r="K12" i="29" s="1"/>
  <c r="K4" i="29"/>
  <c r="K5" i="29"/>
  <c r="J8" i="24" l="1"/>
  <c r="K6" i="35" l="1"/>
  <c r="J8" i="29"/>
  <c r="K7" i="29"/>
  <c r="K6" i="29"/>
  <c r="J8" i="35"/>
  <c r="J7" i="35"/>
  <c r="L6" i="35"/>
  <c r="J6" i="35"/>
  <c r="L5" i="35"/>
  <c r="K5" i="35"/>
  <c r="J5" i="35"/>
  <c r="L4" i="35"/>
  <c r="K4" i="35"/>
  <c r="J4" i="35"/>
  <c r="K10" i="28"/>
  <c r="K10" i="24"/>
  <c r="K9" i="24"/>
  <c r="K12" i="24" s="1"/>
  <c r="K6" i="18"/>
  <c r="L9" i="20"/>
  <c r="J9" i="20"/>
  <c r="R6" i="35" l="1"/>
  <c r="R4" i="35"/>
  <c r="R8" i="35"/>
  <c r="T8" i="35" s="1"/>
  <c r="V8" i="35" s="1"/>
  <c r="R3" i="35"/>
  <c r="T3" i="35" s="1"/>
  <c r="K7" i="23"/>
  <c r="J11" i="23" s="1"/>
  <c r="K6" i="22"/>
  <c r="K8" i="23"/>
  <c r="K9" i="23" s="1"/>
  <c r="K6" i="23"/>
  <c r="K6" i="20"/>
  <c r="K5" i="20"/>
  <c r="K7" i="20" s="1"/>
  <c r="L8" i="20"/>
  <c r="L12" i="29"/>
  <c r="K6" i="14"/>
  <c r="J10" i="14" s="1"/>
  <c r="L6" i="14"/>
  <c r="L10" i="33"/>
  <c r="L7" i="33"/>
  <c r="L6" i="33"/>
  <c r="L8" i="33"/>
  <c r="K6" i="33"/>
  <c r="J10" i="33" s="1"/>
  <c r="K8" i="33"/>
  <c r="K7" i="33"/>
  <c r="L5" i="33"/>
  <c r="K5" i="33"/>
  <c r="L4" i="33"/>
  <c r="K4" i="33"/>
  <c r="L10" i="29"/>
  <c r="R6" i="29" s="1"/>
  <c r="L8" i="29"/>
  <c r="L7" i="29"/>
  <c r="R8" i="29" s="1"/>
  <c r="T8" i="29" s="1"/>
  <c r="V8" i="29" s="1"/>
  <c r="L12" i="28"/>
  <c r="K8" i="29"/>
  <c r="J12" i="29" s="1"/>
  <c r="J10" i="29"/>
  <c r="L9" i="29"/>
  <c r="R7" i="29" s="1"/>
  <c r="T7" i="29" s="1"/>
  <c r="V7" i="29" s="1"/>
  <c r="J9" i="29"/>
  <c r="J7" i="29"/>
  <c r="L6" i="29"/>
  <c r="R3" i="29" s="1"/>
  <c r="T3" i="29" s="1"/>
  <c r="J6" i="29"/>
  <c r="L5" i="29"/>
  <c r="J5" i="29"/>
  <c r="L4" i="29"/>
  <c r="R4" i="29" s="1"/>
  <c r="J4" i="29"/>
  <c r="L8" i="28"/>
  <c r="R9" i="28" s="1"/>
  <c r="T9" i="28" s="1"/>
  <c r="V9" i="28" s="1"/>
  <c r="L7" i="28"/>
  <c r="R8" i="28" s="1"/>
  <c r="T8" i="28" s="1"/>
  <c r="V8" i="28" s="1"/>
  <c r="J5" i="28"/>
  <c r="L10" i="28"/>
  <c r="R7" i="28" s="1"/>
  <c r="T7" i="28" s="1"/>
  <c r="V7" i="28" s="1"/>
  <c r="L9" i="28"/>
  <c r="R6" i="28" s="1"/>
  <c r="J10" i="28"/>
  <c r="J9" i="28"/>
  <c r="J8" i="28"/>
  <c r="J7" i="28"/>
  <c r="L6" i="28"/>
  <c r="K6" i="28"/>
  <c r="J6" i="28"/>
  <c r="L5" i="28"/>
  <c r="K5" i="28"/>
  <c r="L4" i="28"/>
  <c r="K4" i="28"/>
  <c r="J4" i="28"/>
  <c r="K7" i="14"/>
  <c r="K10" i="14" s="1"/>
  <c r="L8" i="14"/>
  <c r="L11" i="20"/>
  <c r="L4" i="14"/>
  <c r="K5" i="14"/>
  <c r="J8" i="8"/>
  <c r="L8" i="8"/>
  <c r="L9" i="10"/>
  <c r="J9" i="10"/>
  <c r="K8" i="24"/>
  <c r="K7" i="24"/>
  <c r="J10" i="24"/>
  <c r="J9" i="24"/>
  <c r="J7" i="24"/>
  <c r="J6" i="24"/>
  <c r="J5" i="24"/>
  <c r="J4" i="24"/>
  <c r="L8" i="24"/>
  <c r="L10" i="24"/>
  <c r="L9" i="24"/>
  <c r="R7" i="24" s="1"/>
  <c r="K5" i="24"/>
  <c r="L7" i="24"/>
  <c r="L5" i="24"/>
  <c r="L4" i="24"/>
  <c r="K4" i="24"/>
  <c r="L12" i="24"/>
  <c r="L6" i="24"/>
  <c r="K6" i="24"/>
  <c r="L10" i="18"/>
  <c r="L7" i="18"/>
  <c r="L6" i="18"/>
  <c r="L8" i="18"/>
  <c r="L6" i="23"/>
  <c r="L9" i="23"/>
  <c r="L11" i="23"/>
  <c r="L8" i="23"/>
  <c r="L7" i="23"/>
  <c r="L5" i="23"/>
  <c r="K5" i="23"/>
  <c r="L4" i="23"/>
  <c r="K4" i="23"/>
  <c r="L10" i="22"/>
  <c r="K6" i="10"/>
  <c r="L8" i="22"/>
  <c r="L7" i="22"/>
  <c r="L6" i="22"/>
  <c r="K7" i="22"/>
  <c r="L5" i="22"/>
  <c r="K5" i="22"/>
  <c r="L4" i="22"/>
  <c r="K4" i="22"/>
  <c r="K4" i="10"/>
  <c r="K5" i="10"/>
  <c r="J4" i="8"/>
  <c r="J5" i="8"/>
  <c r="L7" i="14"/>
  <c r="L7" i="17"/>
  <c r="L6" i="17"/>
  <c r="L9" i="17"/>
  <c r="L10" i="14"/>
  <c r="J8" i="10"/>
  <c r="J8" i="20"/>
  <c r="L7" i="20"/>
  <c r="J7" i="20"/>
  <c r="J6" i="20"/>
  <c r="L5" i="20"/>
  <c r="J5" i="20"/>
  <c r="L4" i="20"/>
  <c r="K4" i="20"/>
  <c r="J4" i="20"/>
  <c r="J8" i="18"/>
  <c r="K7" i="18"/>
  <c r="K10" i="18" s="1"/>
  <c r="J7" i="18"/>
  <c r="J10" i="18"/>
  <c r="J6" i="18"/>
  <c r="L5" i="18"/>
  <c r="K5" i="18"/>
  <c r="J5" i="18"/>
  <c r="L4" i="18"/>
  <c r="K4" i="18"/>
  <c r="J4" i="18"/>
  <c r="J7" i="17"/>
  <c r="K6" i="17"/>
  <c r="J9" i="17" s="1"/>
  <c r="J6" i="17"/>
  <c r="L5" i="17"/>
  <c r="K5" i="17"/>
  <c r="J5" i="17"/>
  <c r="L4" i="17"/>
  <c r="K4" i="17"/>
  <c r="J4" i="17"/>
  <c r="L5" i="14"/>
  <c r="K4" i="14"/>
  <c r="L9" i="13"/>
  <c r="L7" i="13"/>
  <c r="L6" i="13"/>
  <c r="J9" i="13"/>
  <c r="L5" i="13"/>
  <c r="K5" i="13"/>
  <c r="L4" i="13"/>
  <c r="K4" i="13"/>
  <c r="L11" i="10"/>
  <c r="L8" i="10"/>
  <c r="L7" i="10"/>
  <c r="J7" i="10"/>
  <c r="L6" i="10"/>
  <c r="J6" i="10"/>
  <c r="L5" i="10"/>
  <c r="J5" i="10"/>
  <c r="L4" i="10"/>
  <c r="J4" i="10"/>
  <c r="L7" i="8"/>
  <c r="J7" i="8"/>
  <c r="L6" i="8"/>
  <c r="J6" i="8"/>
  <c r="L5" i="8"/>
  <c r="L4" i="8"/>
  <c r="L13" i="29" l="1"/>
  <c r="L14" i="29"/>
  <c r="L15" i="29" s="1"/>
  <c r="L13" i="24"/>
  <c r="L15" i="24" s="1"/>
  <c r="L10" i="17"/>
  <c r="L12" i="17" s="1"/>
  <c r="R4" i="13"/>
  <c r="R4" i="28"/>
  <c r="R5" i="28" s="1"/>
  <c r="T5" i="28" s="1"/>
  <c r="V5" i="28" s="1"/>
  <c r="R3" i="8"/>
  <c r="T3" i="8" s="1"/>
  <c r="R4" i="18"/>
  <c r="R12" i="18" s="1"/>
  <c r="V12" i="18" s="1"/>
  <c r="V16" i="18" s="1"/>
  <c r="V3" i="29"/>
  <c r="R4" i="24"/>
  <c r="R5" i="24" s="1"/>
  <c r="R3" i="28"/>
  <c r="T3" i="28" s="1"/>
  <c r="T4" i="29"/>
  <c r="R5" i="29"/>
  <c r="T5" i="29" s="1"/>
  <c r="V5" i="29" s="1"/>
  <c r="R3" i="18"/>
  <c r="T3" i="18" s="1"/>
  <c r="K8" i="18"/>
  <c r="R6" i="18" s="1"/>
  <c r="T6" i="18" s="1"/>
  <c r="V6" i="18" s="1"/>
  <c r="R5" i="18"/>
  <c r="T5" i="18" s="1"/>
  <c r="V5" i="18" s="1"/>
  <c r="R9" i="29"/>
  <c r="T9" i="29" s="1"/>
  <c r="V9" i="29" s="1"/>
  <c r="T6" i="28"/>
  <c r="V6" i="28" s="1"/>
  <c r="R15" i="28"/>
  <c r="V15" i="28" s="1"/>
  <c r="V18" i="28" s="1"/>
  <c r="T6" i="29"/>
  <c r="V6" i="29" s="1"/>
  <c r="R6" i="33"/>
  <c r="T6" i="33" s="1"/>
  <c r="V6" i="33" s="1"/>
  <c r="V3" i="35"/>
  <c r="T4" i="35"/>
  <c r="V4" i="35" s="1"/>
  <c r="R5" i="35"/>
  <c r="T5" i="35" s="1"/>
  <c r="V5" i="35" s="1"/>
  <c r="R15" i="35"/>
  <c r="V15" i="35" s="1"/>
  <c r="V18" i="35" s="1"/>
  <c r="R7" i="35"/>
  <c r="T7" i="35" s="1"/>
  <c r="V7" i="35" s="1"/>
  <c r="T6" i="35"/>
  <c r="V6" i="35" s="1"/>
  <c r="R3" i="24"/>
  <c r="R8" i="24"/>
  <c r="T8" i="24" s="1"/>
  <c r="V8" i="24" s="1"/>
  <c r="R9" i="24"/>
  <c r="T7" i="24"/>
  <c r="V7" i="24" s="1"/>
  <c r="R6" i="24"/>
  <c r="T9" i="24"/>
  <c r="V9" i="24" s="1"/>
  <c r="R4" i="17"/>
  <c r="R11" i="17" s="1"/>
  <c r="V11" i="17" s="1"/>
  <c r="V15" i="17" s="1"/>
  <c r="R3" i="17"/>
  <c r="T3" i="17" s="1"/>
  <c r="T5" i="17"/>
  <c r="V5" i="17" s="1"/>
  <c r="R3" i="20"/>
  <c r="T3" i="20" s="1"/>
  <c r="R3" i="23"/>
  <c r="R7" i="23"/>
  <c r="T7" i="23" s="1"/>
  <c r="V7" i="23" s="1"/>
  <c r="R6" i="23"/>
  <c r="T6" i="23" s="1"/>
  <c r="V6" i="23" s="1"/>
  <c r="R4" i="23"/>
  <c r="R3" i="22"/>
  <c r="J10" i="22"/>
  <c r="R4" i="22"/>
  <c r="R14" i="22" s="1"/>
  <c r="V14" i="22" s="1"/>
  <c r="K8" i="22"/>
  <c r="R6" i="22" s="1"/>
  <c r="T6" i="22" s="1"/>
  <c r="V6" i="22" s="1"/>
  <c r="R3" i="33"/>
  <c r="R4" i="33"/>
  <c r="K10" i="33"/>
  <c r="R4" i="14"/>
  <c r="R3" i="14"/>
  <c r="K8" i="14"/>
  <c r="R6" i="14" s="1"/>
  <c r="R3" i="13"/>
  <c r="K7" i="10"/>
  <c r="K11" i="10" s="1"/>
  <c r="R3" i="10"/>
  <c r="J11" i="10"/>
  <c r="K10" i="8"/>
  <c r="K11" i="23"/>
  <c r="L12" i="23" s="1"/>
  <c r="L14" i="23" s="1"/>
  <c r="K10" i="22"/>
  <c r="K9" i="13"/>
  <c r="L10" i="13" s="1"/>
  <c r="L12" i="13" s="1"/>
  <c r="J11" i="20"/>
  <c r="K9" i="20"/>
  <c r="R6" i="20" s="1"/>
  <c r="T6" i="20" s="1"/>
  <c r="V6" i="20" s="1"/>
  <c r="K9" i="10"/>
  <c r="L11" i="18"/>
  <c r="L13" i="18" s="1"/>
  <c r="F11" i="10" l="1"/>
  <c r="R12" i="13"/>
  <c r="V12" i="13" s="1"/>
  <c r="T4" i="28"/>
  <c r="V4" i="28" s="1"/>
  <c r="T4" i="18"/>
  <c r="V4" i="18" s="1"/>
  <c r="L11" i="14"/>
  <c r="L13" i="14" s="1"/>
  <c r="L11" i="8"/>
  <c r="L13" i="8" s="1"/>
  <c r="V9" i="35"/>
  <c r="V13" i="35" s="1"/>
  <c r="V19" i="35" s="1"/>
  <c r="G6" i="35"/>
  <c r="V3" i="18"/>
  <c r="R4" i="10"/>
  <c r="R15" i="10" s="1"/>
  <c r="V15" i="10" s="1"/>
  <c r="K8" i="10"/>
  <c r="K8" i="20"/>
  <c r="R7" i="20" s="1"/>
  <c r="T7" i="20" s="1"/>
  <c r="V7" i="20" s="1"/>
  <c r="F11" i="20"/>
  <c r="R14" i="29"/>
  <c r="V14" i="29" s="1"/>
  <c r="V17" i="29" s="1"/>
  <c r="V4" i="29"/>
  <c r="G6" i="29"/>
  <c r="V3" i="20"/>
  <c r="V3" i="8"/>
  <c r="V3" i="17"/>
  <c r="T6" i="14"/>
  <c r="V6" i="14" s="1"/>
  <c r="V3" i="28"/>
  <c r="V11" i="28" s="1"/>
  <c r="T6" i="24"/>
  <c r="V6" i="24" s="1"/>
  <c r="R14" i="24"/>
  <c r="V14" i="24" s="1"/>
  <c r="V17" i="24" s="1"/>
  <c r="T5" i="24"/>
  <c r="V5" i="24" s="1"/>
  <c r="T4" i="24"/>
  <c r="V4" i="24" s="1"/>
  <c r="T3" i="24"/>
  <c r="T4" i="17"/>
  <c r="V4" i="17" s="1"/>
  <c r="R5" i="23"/>
  <c r="T5" i="23" s="1"/>
  <c r="V5" i="23" s="1"/>
  <c r="R15" i="23"/>
  <c r="V15" i="23" s="1"/>
  <c r="R14" i="23"/>
  <c r="V14" i="23" s="1"/>
  <c r="V19" i="23" s="1"/>
  <c r="T3" i="23"/>
  <c r="R13" i="22"/>
  <c r="V13" i="22" s="1"/>
  <c r="V18" i="22" s="1"/>
  <c r="R13" i="33"/>
  <c r="V13" i="33" s="1"/>
  <c r="R13" i="14"/>
  <c r="V13" i="14" s="1"/>
  <c r="K11" i="20"/>
  <c r="L12" i="20" s="1"/>
  <c r="L14" i="20" s="1"/>
  <c r="R4" i="20"/>
  <c r="T4" i="20" s="1"/>
  <c r="V4" i="20" s="1"/>
  <c r="T4" i="23"/>
  <c r="V4" i="23" s="1"/>
  <c r="R5" i="22"/>
  <c r="T5" i="22" s="1"/>
  <c r="V5" i="22" s="1"/>
  <c r="T4" i="22"/>
  <c r="V4" i="22" s="1"/>
  <c r="T3" i="22"/>
  <c r="R14" i="33"/>
  <c r="V14" i="33" s="1"/>
  <c r="R5" i="33"/>
  <c r="T5" i="33" s="1"/>
  <c r="V5" i="33" s="1"/>
  <c r="T4" i="33"/>
  <c r="V4" i="33" s="1"/>
  <c r="T3" i="33"/>
  <c r="R14" i="14"/>
  <c r="V14" i="14" s="1"/>
  <c r="R5" i="14"/>
  <c r="T5" i="14" s="1"/>
  <c r="V5" i="14" s="1"/>
  <c r="T4" i="14"/>
  <c r="V4" i="14" s="1"/>
  <c r="T3" i="14"/>
  <c r="V3" i="14" s="1"/>
  <c r="R13" i="13"/>
  <c r="V13" i="13" s="1"/>
  <c r="T4" i="13"/>
  <c r="V4" i="13" s="1"/>
  <c r="R5" i="13"/>
  <c r="T5" i="13" s="1"/>
  <c r="V5" i="13" s="1"/>
  <c r="T3" i="13"/>
  <c r="L12" i="10"/>
  <c r="L14" i="10" s="1"/>
  <c r="T3" i="10"/>
  <c r="V3" i="10" s="1"/>
  <c r="R4" i="8"/>
  <c r="K8" i="8"/>
  <c r="R6" i="8" s="1"/>
  <c r="T6" i="8" s="1"/>
  <c r="V6" i="8" s="1"/>
  <c r="V21" i="35" l="1"/>
  <c r="V24" i="35" s="1"/>
  <c r="V26" i="35" s="1"/>
  <c r="R13" i="8"/>
  <c r="V13" i="8" s="1"/>
  <c r="T4" i="8"/>
  <c r="G6" i="28"/>
  <c r="V17" i="33"/>
  <c r="G6" i="18"/>
  <c r="V7" i="18"/>
  <c r="V10" i="18" s="1"/>
  <c r="V16" i="13"/>
  <c r="V17" i="13" s="1"/>
  <c r="T4" i="10"/>
  <c r="V4" i="10" s="1"/>
  <c r="R5" i="10"/>
  <c r="T5" i="10" s="1"/>
  <c r="V5" i="10" s="1"/>
  <c r="V10" i="29"/>
  <c r="V12" i="29" s="1"/>
  <c r="V6" i="17"/>
  <c r="V9" i="17" s="1"/>
  <c r="V16" i="17" s="1"/>
  <c r="V18" i="17" s="1"/>
  <c r="V18" i="14"/>
  <c r="V3" i="24"/>
  <c r="V10" i="24" s="1"/>
  <c r="G6" i="24"/>
  <c r="G6" i="17"/>
  <c r="V7" i="14"/>
  <c r="V11" i="14" s="1"/>
  <c r="G6" i="14"/>
  <c r="G6" i="22"/>
  <c r="V3" i="22"/>
  <c r="V7" i="22" s="1"/>
  <c r="V3" i="23"/>
  <c r="V8" i="23" s="1"/>
  <c r="V12" i="23" s="1"/>
  <c r="V20" i="23" s="1"/>
  <c r="G6" i="23"/>
  <c r="V3" i="13"/>
  <c r="V6" i="13" s="1"/>
  <c r="V10" i="13" s="1"/>
  <c r="G6" i="13"/>
  <c r="V3" i="33"/>
  <c r="V7" i="33" s="1"/>
  <c r="G6" i="33"/>
  <c r="V13" i="28"/>
  <c r="V19" i="28" s="1"/>
  <c r="R15" i="20"/>
  <c r="V15" i="20" s="1"/>
  <c r="R6" i="10"/>
  <c r="T6" i="10" s="1"/>
  <c r="R7" i="10"/>
  <c r="R5" i="20"/>
  <c r="T5" i="20" s="1"/>
  <c r="V5" i="20" s="1"/>
  <c r="R14" i="20"/>
  <c r="V14" i="20" s="1"/>
  <c r="R14" i="8"/>
  <c r="V14" i="8" s="1"/>
  <c r="R5" i="8"/>
  <c r="T5" i="8" s="1"/>
  <c r="V5" i="8" s="1"/>
  <c r="V18" i="8" l="1"/>
  <c r="V21" i="17"/>
  <c r="W20" i="17" s="1"/>
  <c r="V20" i="17"/>
  <c r="W19" i="17" s="1"/>
  <c r="V17" i="18"/>
  <c r="V19" i="18" s="1"/>
  <c r="U18" i="13"/>
  <c r="U20" i="13" s="1"/>
  <c r="V22" i="13" s="1"/>
  <c r="V22" i="23"/>
  <c r="J19" i="23"/>
  <c r="J20" i="23" s="1"/>
  <c r="V18" i="29"/>
  <c r="V20" i="29" s="1"/>
  <c r="V19" i="14"/>
  <c r="L16" i="14" s="1"/>
  <c r="L18" i="14" s="1"/>
  <c r="V11" i="33"/>
  <c r="V18" i="33" s="1"/>
  <c r="V20" i="20"/>
  <c r="V12" i="24"/>
  <c r="V18" i="24" s="1"/>
  <c r="V20" i="24" s="1"/>
  <c r="W22" i="24" s="1"/>
  <c r="V11" i="22"/>
  <c r="V19" i="22" s="1"/>
  <c r="V8" i="20"/>
  <c r="V12" i="20" s="1"/>
  <c r="G6" i="8"/>
  <c r="G6" i="20"/>
  <c r="V6" i="10"/>
  <c r="V4" i="8"/>
  <c r="T7" i="10"/>
  <c r="V7" i="10" s="1"/>
  <c r="R14" i="10"/>
  <c r="V14" i="10" s="1"/>
  <c r="V20" i="10" s="1"/>
  <c r="W24" i="29" l="1"/>
  <c r="W25" i="29" s="1"/>
  <c r="V22" i="29"/>
  <c r="U21" i="13"/>
  <c r="U24" i="13" s="1"/>
  <c r="V21" i="13"/>
  <c r="W23" i="24"/>
  <c r="W24" i="24" s="1"/>
  <c r="W20" i="18"/>
  <c r="V21" i="18"/>
  <c r="V22" i="18"/>
  <c r="V21" i="20"/>
  <c r="V7" i="8"/>
  <c r="V11" i="8" s="1"/>
  <c r="V19" i="8" s="1"/>
  <c r="V20" i="14"/>
  <c r="V21" i="14" s="1"/>
  <c r="U23" i="13"/>
  <c r="T21" i="13"/>
  <c r="U21" i="14"/>
  <c r="U25" i="14" s="1"/>
  <c r="V24" i="14" s="1"/>
  <c r="U24" i="23"/>
  <c r="W23" i="23" s="1"/>
  <c r="W26" i="23"/>
  <c r="W27" i="23" s="1"/>
  <c r="W24" i="23"/>
  <c r="V8" i="10"/>
  <c r="V12" i="10" s="1"/>
  <c r="V21" i="10" s="1"/>
  <c r="L17" i="10" s="1"/>
  <c r="L19" i="10" s="1"/>
  <c r="G6" i="10"/>
  <c r="V23" i="29" l="1"/>
  <c r="V25" i="29"/>
  <c r="V22" i="8"/>
  <c r="V23" i="8" s="1"/>
  <c r="W20" i="8"/>
  <c r="V23" i="10"/>
  <c r="W23" i="10" s="1"/>
  <c r="W29" i="10" s="1"/>
  <c r="T24" i="10"/>
  <c r="T25" i="10" s="1"/>
  <c r="V23" i="20"/>
  <c r="W22" i="20"/>
  <c r="W23" i="20" s="1"/>
  <c r="X18" i="8"/>
  <c r="X19" i="8" s="1"/>
  <c r="X23" i="8"/>
  <c r="X24" i="8" s="1"/>
  <c r="U23" i="20"/>
  <c r="T23" i="20" s="1"/>
  <c r="W20" i="14"/>
  <c r="W22" i="29"/>
  <c r="W25" i="10"/>
  <c r="W26" i="10" s="1"/>
  <c r="W27" i="10"/>
  <c r="V23" i="14"/>
  <c r="U23" i="14"/>
  <c r="V24" i="23"/>
  <c r="L16" i="23"/>
  <c r="T23" i="14"/>
  <c r="W28" i="10"/>
  <c r="V22" i="14"/>
  <c r="W23" i="8" l="1"/>
  <c r="W22" i="8"/>
  <c r="W21" i="8"/>
  <c r="W24" i="20"/>
  <c r="V25" i="20"/>
  <c r="V24" i="20"/>
  <c r="T24" i="20"/>
  <c r="V25" i="10"/>
  <c r="W24" i="10"/>
  <c r="S23" i="8"/>
  <c r="V28" i="10" l="1"/>
  <c r="T29" i="40"/>
  <c r="T31" i="40" s="1"/>
  <c r="V24" i="8"/>
  <c r="V26" i="10"/>
  <c r="T24" i="8"/>
  <c r="S24" i="8"/>
  <c r="W26" i="8"/>
  <c r="U24" i="8" l="1"/>
  <c r="V25" i="8"/>
  <c r="T26" i="8"/>
  <c r="T27" i="8" s="1"/>
  <c r="T25" i="8"/>
</calcChain>
</file>

<file path=xl/sharedStrings.xml><?xml version="1.0" encoding="utf-8"?>
<sst xmlns="http://schemas.openxmlformats.org/spreadsheetml/2006/main" count="985" uniqueCount="139">
  <si>
    <t>W</t>
  </si>
  <si>
    <t>H</t>
  </si>
  <si>
    <t>Số lượng</t>
  </si>
  <si>
    <t>Mã</t>
  </si>
  <si>
    <t>Tên</t>
  </si>
  <si>
    <t>Kích thước</t>
  </si>
  <si>
    <t>Ngang</t>
  </si>
  <si>
    <t>Cao</t>
  </si>
  <si>
    <t>THÔNG TIN CÔNG TRÌNH</t>
  </si>
  <si>
    <t>KÍCH THƯỚC SẢN XUẤT</t>
  </si>
  <si>
    <t>Ngang K.B</t>
  </si>
  <si>
    <t>Đứng K.B</t>
  </si>
  <si>
    <t>N. Cánh</t>
  </si>
  <si>
    <t>Đ. Cánh</t>
  </si>
  <si>
    <t>STT</t>
  </si>
  <si>
    <t>Kính</t>
  </si>
  <si>
    <t>Đố động</t>
  </si>
  <si>
    <t>N/Cánh</t>
  </si>
  <si>
    <t>Đ/Cánh</t>
  </si>
  <si>
    <t>01</t>
  </si>
  <si>
    <t>02</t>
  </si>
  <si>
    <t>03</t>
  </si>
  <si>
    <t>04</t>
  </si>
  <si>
    <t xml:space="preserve">Tên </t>
  </si>
  <si>
    <t>05</t>
  </si>
  <si>
    <t>06</t>
  </si>
  <si>
    <t>Trung gian</t>
  </si>
  <si>
    <t>Đố tĩnh</t>
  </si>
  <si>
    <t>07</t>
  </si>
  <si>
    <t>N/trên K.B</t>
  </si>
  <si>
    <t>N/dướiK.B</t>
  </si>
  <si>
    <t>N.cánh dưới</t>
  </si>
  <si>
    <t>Đ.cánh trơn</t>
  </si>
  <si>
    <t>Đ.cánh móc</t>
  </si>
  <si>
    <t>N.cánh trên</t>
  </si>
  <si>
    <t>Nẹp dưới</t>
  </si>
  <si>
    <t>AH</t>
  </si>
  <si>
    <t xml:space="preserve">N.cánh </t>
  </si>
  <si>
    <t>Đ.cánh</t>
  </si>
  <si>
    <t>GHI CHÚ</t>
  </si>
  <si>
    <t xml:space="preserve"> </t>
  </si>
  <si>
    <t>ĐỨNG K.B</t>
  </si>
  <si>
    <t>HỞ NỀN</t>
  </si>
  <si>
    <t>X</t>
  </si>
  <si>
    <t xml:space="preserve">ĐƠN GIÁ </t>
  </si>
  <si>
    <t>THÀNH TIỀN</t>
  </si>
  <si>
    <t>DIỆN TÍCH</t>
  </si>
  <si>
    <t>RON KÍNH</t>
  </si>
  <si>
    <t>CỬA ĐI 1 CÁNH MỞ QUAY</t>
  </si>
  <si>
    <t>ÂM NỀN</t>
  </si>
  <si>
    <t>BẢN SẢN XUẤT</t>
  </si>
  <si>
    <t>SẢN PHẨM</t>
  </si>
  <si>
    <t>MÉT DÀI</t>
  </si>
  <si>
    <t>KHUNG BAO CỬA ĐI</t>
  </si>
  <si>
    <t>CÁNH CỬA ĐI</t>
  </si>
  <si>
    <t>NẸP KÍNH CÁNH</t>
  </si>
  <si>
    <t>ỐP CHÂN CÁNH</t>
  </si>
  <si>
    <t>Ốp dưới</t>
  </si>
  <si>
    <t>SỐ LƯỢNG</t>
  </si>
  <si>
    <t>KE VĨNH CỬU KHUNG BAO</t>
  </si>
  <si>
    <t>KE VĨNH CỬU CÁNH</t>
  </si>
  <si>
    <t>KE TĂNG CỨNG</t>
  </si>
  <si>
    <t>TRỌNG LƯỢNG
MD</t>
  </si>
  <si>
    <t>SỐ LƯỢNG 
TRỌNG LƯỢNG T</t>
  </si>
  <si>
    <t xml:space="preserve">CHÍ PHÍ </t>
  </si>
  <si>
    <t>TỔNG CHI PHÍ VẬT LIỆU CHÍNH</t>
  </si>
  <si>
    <t>RON KHUNG BAO</t>
  </si>
  <si>
    <t>NHỰA ỐP CHÂN</t>
  </si>
  <si>
    <t>ỐC VÍT LIÊN KẾT</t>
  </si>
  <si>
    <t>TỔNG CHI PHÍ VẬT TƯ CỬA</t>
  </si>
  <si>
    <t>GIẤY ĐÓNG GÓI + PE</t>
  </si>
  <si>
    <t>ĐỐ ĐỘNG</t>
  </si>
  <si>
    <t>NHỰA ĐỐ ĐỘNG</t>
  </si>
  <si>
    <t>4 KE VĨNH CỬU 1 CÁNH</t>
  </si>
  <si>
    <t>8 KE TĂNG CỨNG 1 CÁNH</t>
  </si>
  <si>
    <t>1 CẶP CHO 1 CÁNH</t>
  </si>
  <si>
    <t>1 CÁI CHO 1 ĐẦU TRÊN</t>
  </si>
  <si>
    <t>1 BỘ CỬA</t>
  </si>
  <si>
    <t>KHẤU HAO DX NHÔM</t>
  </si>
  <si>
    <t>KÍNH</t>
  </si>
  <si>
    <t xml:space="preserve">KHUNG BAO CỬA SỔ </t>
  </si>
  <si>
    <t>CÁNH CỬA SỔ</t>
  </si>
  <si>
    <t>KE VĨNH CỬU CÁNH - 25*40</t>
  </si>
  <si>
    <t>KE VĨNH CỬU KHUNG BAO - 14*43</t>
  </si>
  <si>
    <t>4 KE VĨNH CỬU 1 KHUNG</t>
  </si>
  <si>
    <t xml:space="preserve">1 CẶP </t>
  </si>
  <si>
    <t>1 BỘ</t>
  </si>
  <si>
    <t>ĐỐ TĨNH</t>
  </si>
  <si>
    <t>`</t>
  </si>
  <si>
    <t xml:space="preserve">ĐỐ ĐỘNG </t>
  </si>
  <si>
    <t>KE KHUNG BAO - 14*43</t>
  </si>
  <si>
    <t>KE CÁNH - 25*40</t>
  </si>
  <si>
    <t>KHUNG BAO LÙA SỔ</t>
  </si>
  <si>
    <t>CÁNH LÙA SỔ</t>
  </si>
  <si>
    <t>ỐP MÓC</t>
  </si>
  <si>
    <t>LONG NHEO</t>
  </si>
  <si>
    <t>CHỐNG VA ĐẠP</t>
  </si>
  <si>
    <t>TRUNG GIAN</t>
  </si>
  <si>
    <t>KHUNG BAO ĐỨNG</t>
  </si>
  <si>
    <t>KHUNG BAO NGANG TRÊN</t>
  </si>
  <si>
    <t>KHUNG BAO NGANG DƯỚI</t>
  </si>
  <si>
    <t>ĐỨNG CÁNH MÓC</t>
  </si>
  <si>
    <t>ĐỨNG CÁNH TRƠN</t>
  </si>
  <si>
    <t xml:space="preserve">NGANG CÁNH TRÊN </t>
  </si>
  <si>
    <t>NGANG CÁNH DƯỚI</t>
  </si>
  <si>
    <t>NHỰA CHỐNG RUNG</t>
  </si>
  <si>
    <t>08</t>
  </si>
  <si>
    <t>09</t>
  </si>
  <si>
    <t>ĐÚNG CÁNH</t>
  </si>
  <si>
    <t>NẸP CÁNH</t>
  </si>
  <si>
    <t>KE  KHUNG BAO</t>
  </si>
  <si>
    <t>KE CÁNH</t>
  </si>
  <si>
    <t>RON CÁNH</t>
  </si>
  <si>
    <t>4 KE TĂNG CỨNG 1 CÁNH</t>
  </si>
  <si>
    <t xml:space="preserve">SỐ LƯỢNG 
TRỌNG LƯỢNG </t>
  </si>
  <si>
    <t>MÉT DÀI
( mm )</t>
  </si>
  <si>
    <t>KHUNG BAO CỬA SỔ</t>
  </si>
  <si>
    <t>KE KHUNG BAO 14*51</t>
  </si>
  <si>
    <t>KE CÁNH 14*25</t>
  </si>
  <si>
    <t>SỐ KG</t>
  </si>
  <si>
    <t>KHUNG BAO NGANG</t>
  </si>
  <si>
    <t>4 KE  1 CÁNH</t>
  </si>
  <si>
    <t>KE  KHUNG BAO VÁCH KÍNH 14*51</t>
  </si>
  <si>
    <t>NẸP NỐI</t>
  </si>
  <si>
    <t xml:space="preserve">NẸP KÍNH </t>
  </si>
  <si>
    <t>C3209</t>
  </si>
  <si>
    <t>C3210</t>
  </si>
  <si>
    <t>C3300</t>
  </si>
  <si>
    <t>N KB</t>
  </si>
  <si>
    <t>D KB</t>
  </si>
  <si>
    <t>LÁ SÁCH</t>
  </si>
  <si>
    <t xml:space="preserve">KHUNG BAO NGANG </t>
  </si>
  <si>
    <t>E1283</t>
  </si>
  <si>
    <t>E192</t>
  </si>
  <si>
    <t>KE KHUNG BAO - 31*41</t>
  </si>
  <si>
    <t>KE CÁNH - 31*41</t>
  </si>
  <si>
    <t>ĐỐ CHIA PANO</t>
  </si>
  <si>
    <t xml:space="preserve">TÔNG CHI PHÍ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</si>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</sst>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0.000%"/>
    <numFmt numFmtId="167" formatCode="0.000"/>
  </numFmts>
  <fonts count="13" x14ac:knownFonts="1">
    <font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b/>
      <u/>
      <sz val="15"/>
      <color theme="1"/>
      <name val="Times New Roman"/>
      <family val="1"/>
    </font>
    <font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5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b/>
      <sz val="14"/>
      <color theme="1"/>
      <name val="Times New Roman"/>
      <family val="1"/>
    </font>
    <font>
      <b/>
      <sz val="22"/>
      <color theme="1"/>
      <name val="Times New Roman"/>
      <family val="1"/>
    </font>
    <font>
      <sz val="16"/>
      <color theme="1"/>
      <name val="Times New Roman"/>
      <family val="1"/>
    </font>
    <font>
      <b/>
      <sz val="2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7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64" fontId="1" fillId="0" borderId="0" xfId="1" applyNumberFormat="1" applyFont="1"/>
    <xf numFmtId="0" fontId="1" fillId="0" borderId="0" xfId="0" applyFont="1" applyAlignment="1">
      <alignment vertical="center"/>
    </xf>
    <xf numFmtId="16" fontId="2" fillId="0" borderId="1" xfId="0" quotePrefix="1" applyNumberFormat="1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164" fontId="5" fillId="0" borderId="0" xfId="1" applyNumberFormat="1" applyFont="1"/>
    <xf numFmtId="164" fontId="9" fillId="0" borderId="0" xfId="1" applyNumberFormat="1" applyFont="1"/>
    <xf numFmtId="0" fontId="1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64" fontId="1" fillId="0" borderId="1" xfId="1" applyNumberFormat="1" applyFont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164" fontId="1" fillId="5" borderId="1" xfId="1" applyNumberFormat="1" applyFont="1" applyFill="1" applyBorder="1" applyAlignment="1">
      <alignment horizontal="right"/>
    </xf>
    <xf numFmtId="164" fontId="1" fillId="5" borderId="1" xfId="0" applyNumberFormat="1" applyFont="1" applyFill="1" applyBorder="1" applyAlignment="1">
      <alignment horizontal="right"/>
    </xf>
    <xf numFmtId="164" fontId="1" fillId="0" borderId="1" xfId="1" applyNumberFormat="1" applyFont="1" applyBorder="1" applyAlignment="1"/>
    <xf numFmtId="164" fontId="1" fillId="0" borderId="1" xfId="0" applyNumberFormat="1" applyFont="1" applyBorder="1" applyAlignment="1">
      <alignment vertic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164" fontId="1" fillId="3" borderId="1" xfId="1" applyNumberFormat="1" applyFont="1" applyFill="1" applyBorder="1" applyAlignment="1">
      <alignment horizontal="right"/>
    </xf>
    <xf numFmtId="164" fontId="1" fillId="3" borderId="0" xfId="1" applyNumberFormat="1" applyFont="1" applyFill="1" applyBorder="1" applyAlignment="1">
      <alignment horizontal="right"/>
    </xf>
    <xf numFmtId="0" fontId="1" fillId="3" borderId="0" xfId="0" applyFont="1" applyFill="1" applyAlignment="1">
      <alignment horizontal="left"/>
    </xf>
    <xf numFmtId="164" fontId="1" fillId="3" borderId="0" xfId="1" applyNumberFormat="1" applyFont="1" applyFill="1" applyBorder="1" applyAlignment="1"/>
    <xf numFmtId="164" fontId="1" fillId="3" borderId="0" xfId="0" applyNumberFormat="1" applyFont="1" applyFill="1" applyAlignment="1">
      <alignment horizontal="right" vertical="center"/>
    </xf>
    <xf numFmtId="164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right"/>
    </xf>
    <xf numFmtId="0" fontId="1" fillId="3" borderId="0" xfId="0" applyFont="1" applyFill="1"/>
    <xf numFmtId="9" fontId="1" fillId="0" borderId="1" xfId="2" applyFont="1" applyBorder="1" applyAlignment="1">
      <alignment horizontal="right"/>
    </xf>
    <xf numFmtId="0" fontId="6" fillId="3" borderId="0" xfId="0" applyFont="1" applyFill="1" applyAlignment="1">
      <alignment horizontal="center"/>
    </xf>
    <xf numFmtId="0" fontId="1" fillId="3" borderId="1" xfId="0" applyFont="1" applyFill="1" applyBorder="1"/>
    <xf numFmtId="0" fontId="1" fillId="0" borderId="9" xfId="0" applyFont="1" applyBorder="1" applyAlignment="1">
      <alignment horizontal="center"/>
    </xf>
    <xf numFmtId="0" fontId="1" fillId="0" borderId="12" xfId="0" applyFont="1" applyBorder="1"/>
    <xf numFmtId="164" fontId="1" fillId="0" borderId="0" xfId="1" applyNumberFormat="1" applyFont="1" applyBorder="1" applyAlignment="1"/>
    <xf numFmtId="164" fontId="1" fillId="0" borderId="0" xfId="1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/>
    </xf>
    <xf numFmtId="3" fontId="1" fillId="3" borderId="0" xfId="1" applyNumberFormat="1" applyFont="1" applyFill="1" applyBorder="1"/>
    <xf numFmtId="164" fontId="1" fillId="3" borderId="0" xfId="1" applyNumberFormat="1" applyFont="1" applyFill="1" applyBorder="1"/>
    <xf numFmtId="164" fontId="1" fillId="3" borderId="0" xfId="1" applyNumberFormat="1" applyFont="1" applyFill="1" applyBorder="1" applyAlignment="1">
      <alignment horizontal="center"/>
    </xf>
    <xf numFmtId="43" fontId="1" fillId="3" borderId="0" xfId="1" applyFont="1" applyFill="1" applyBorder="1" applyAlignment="1">
      <alignment horizontal="center"/>
    </xf>
    <xf numFmtId="3" fontId="1" fillId="3" borderId="0" xfId="0" applyNumberFormat="1" applyFont="1" applyFill="1"/>
    <xf numFmtId="164" fontId="1" fillId="3" borderId="0" xfId="0" applyNumberFormat="1" applyFont="1" applyFill="1"/>
    <xf numFmtId="165" fontId="1" fillId="3" borderId="0" xfId="0" applyNumberFormat="1" applyFont="1" applyFill="1"/>
    <xf numFmtId="165" fontId="1" fillId="3" borderId="0" xfId="1" applyNumberFormat="1" applyFont="1" applyFill="1" applyBorder="1"/>
    <xf numFmtId="164" fontId="8" fillId="3" borderId="0" xfId="1" applyNumberFormat="1" applyFont="1" applyFill="1" applyBorder="1"/>
    <xf numFmtId="0" fontId="7" fillId="3" borderId="0" xfId="0" applyFont="1" applyFill="1"/>
    <xf numFmtId="0" fontId="1" fillId="0" borderId="9" xfId="0" quotePrefix="1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1" fillId="0" borderId="9" xfId="0" applyFont="1" applyBorder="1"/>
    <xf numFmtId="43" fontId="1" fillId="0" borderId="1" xfId="0" applyNumberFormat="1" applyFont="1" applyBorder="1" applyAlignment="1">
      <alignment horizontal="right" vertical="center"/>
    </xf>
    <xf numFmtId="0" fontId="11" fillId="0" borderId="12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164" fontId="1" fillId="0" borderId="1" xfId="1" applyNumberFormat="1" applyFont="1" applyBorder="1" applyAlignment="1">
      <alignment horizontal="center" vertical="center"/>
    </xf>
    <xf numFmtId="164" fontId="1" fillId="3" borderId="1" xfId="1" applyNumberFormat="1" applyFont="1" applyFill="1" applyBorder="1" applyAlignment="1">
      <alignment horizontal="center" vertical="center"/>
    </xf>
    <xf numFmtId="164" fontId="1" fillId="0" borderId="1" xfId="1" quotePrefix="1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center" vertical="center"/>
    </xf>
    <xf numFmtId="0" fontId="1" fillId="5" borderId="10" xfId="0" applyFont="1" applyFill="1" applyBorder="1"/>
    <xf numFmtId="0" fontId="6" fillId="3" borderId="0" xfId="0" applyFont="1" applyFill="1" applyAlignment="1">
      <alignment horizontal="center" vertical="center"/>
    </xf>
    <xf numFmtId="167" fontId="1" fillId="3" borderId="1" xfId="0" applyNumberFormat="1" applyFont="1" applyFill="1" applyBorder="1" applyAlignment="1">
      <alignment horizontal="right"/>
    </xf>
    <xf numFmtId="0" fontId="6" fillId="0" borderId="9" xfId="0" applyFont="1" applyBorder="1" applyAlignment="1">
      <alignment horizontal="center" vertical="center"/>
    </xf>
    <xf numFmtId="43" fontId="1" fillId="0" borderId="0" xfId="1" applyFont="1" applyBorder="1" applyAlignment="1">
      <alignment horizontal="center"/>
    </xf>
    <xf numFmtId="0" fontId="6" fillId="3" borderId="0" xfId="0" applyFont="1" applyFill="1" applyAlignment="1">
      <alignment vertical="center"/>
    </xf>
    <xf numFmtId="0" fontId="6" fillId="3" borderId="0" xfId="0" applyFont="1" applyFill="1"/>
    <xf numFmtId="164" fontId="1" fillId="0" borderId="0" xfId="1" applyNumberFormat="1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4" borderId="1" xfId="0" applyFont="1" applyFill="1" applyBorder="1"/>
    <xf numFmtId="164" fontId="12" fillId="4" borderId="1" xfId="0" applyNumberFormat="1" applyFont="1" applyFill="1" applyBorder="1" applyAlignment="1">
      <alignment horizontal="center"/>
    </xf>
    <xf numFmtId="1" fontId="6" fillId="3" borderId="0" xfId="0" applyNumberFormat="1" applyFont="1" applyFill="1" applyAlignment="1">
      <alignment horizontal="center"/>
    </xf>
    <xf numFmtId="43" fontId="1" fillId="0" borderId="0" xfId="0" applyNumberFormat="1" applyFont="1"/>
    <xf numFmtId="3" fontId="1" fillId="0" borderId="0" xfId="0" applyNumberFormat="1" applyFont="1"/>
    <xf numFmtId="43" fontId="1" fillId="3" borderId="0" xfId="0" applyNumberFormat="1" applyFont="1" applyFill="1"/>
    <xf numFmtId="9" fontId="1" fillId="3" borderId="0" xfId="2" applyFont="1" applyFill="1" applyBorder="1" applyAlignment="1">
      <alignment horizontal="right"/>
    </xf>
    <xf numFmtId="9" fontId="1" fillId="0" borderId="0" xfId="2" applyFont="1"/>
    <xf numFmtId="9" fontId="1" fillId="3" borderId="0" xfId="2" applyFont="1" applyFill="1" applyAlignment="1">
      <alignment horizontal="right" vertical="center"/>
    </xf>
    <xf numFmtId="9" fontId="1" fillId="3" borderId="0" xfId="2" applyFont="1" applyFill="1"/>
    <xf numFmtId="9" fontId="7" fillId="0" borderId="0" xfId="2" applyFont="1"/>
    <xf numFmtId="9" fontId="1" fillId="3" borderId="0" xfId="2" applyFont="1" applyFill="1" applyAlignment="1">
      <alignment horizontal="left"/>
    </xf>
    <xf numFmtId="164" fontId="1" fillId="3" borderId="0" xfId="0" applyNumberFormat="1" applyFont="1" applyFill="1" applyAlignment="1">
      <alignment horizontal="left"/>
    </xf>
    <xf numFmtId="43" fontId="1" fillId="3" borderId="0" xfId="0" applyNumberFormat="1" applyFont="1" applyFill="1" applyAlignment="1">
      <alignment horizontal="left"/>
    </xf>
    <xf numFmtId="9" fontId="1" fillId="3" borderId="0" xfId="2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6" fillId="3" borderId="0" xfId="0" applyFont="1" applyFill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1" fillId="5" borderId="8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164" fontId="1" fillId="0" borderId="8" xfId="0" applyNumberFormat="1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164" fontId="6" fillId="3" borderId="0" xfId="1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5" borderId="1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12" fillId="4" borderId="10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center"/>
    </xf>
    <xf numFmtId="166" fontId="6" fillId="3" borderId="0" xfId="2" applyNumberFormat="1" applyFont="1" applyFill="1" applyBorder="1" applyAlignment="1">
      <alignment horizont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64" fontId="12" fillId="4" borderId="8" xfId="0" applyNumberFormat="1" applyFont="1" applyFill="1" applyBorder="1" applyAlignment="1">
      <alignment horizontal="center"/>
    </xf>
    <xf numFmtId="164" fontId="12" fillId="4" borderId="9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164" fontId="6" fillId="3" borderId="0" xfId="0" applyNumberFormat="1" applyFont="1" applyFill="1" applyAlignment="1">
      <alignment horizontal="center"/>
    </xf>
    <xf numFmtId="43" fontId="6" fillId="3" borderId="0" xfId="0" applyNumberFormat="1" applyFont="1" applyFill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831478</xdr:colOff>
      <xdr:row>2</xdr:row>
      <xdr:rowOff>375398</xdr:rowOff>
    </xdr:from>
    <xdr:to>
      <xdr:col>3</xdr:col>
      <xdr:colOff>510988</xdr:colOff>
      <xdr:row>8</xdr:row>
      <xdr:rowOff>286316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503831" y="1146363"/>
          <a:ext cx="2099981" cy="2988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720977</xdr:colOff>
      <xdr:row>2</xdr:row>
      <xdr:rowOff>467268</xdr:rowOff>
    </xdr:from>
    <xdr:to>
      <xdr:col>3</xdr:col>
      <xdr:colOff>1170</xdr:colOff>
      <xdr:row>8</xdr:row>
      <xdr:rowOff>360317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6441" y="1419768"/>
          <a:ext cx="2081893" cy="2750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217715</xdr:colOff>
      <xdr:row>3</xdr:row>
      <xdr:rowOff>298905</xdr:rowOff>
    </xdr:from>
    <xdr:to>
      <xdr:col>3</xdr:col>
      <xdr:colOff>762000</xdr:colOff>
      <xdr:row>8</xdr:row>
      <xdr:rowOff>290286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1" y="2040619"/>
          <a:ext cx="3156856" cy="2894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309554</xdr:colOff>
      <xdr:row>2</xdr:row>
      <xdr:rowOff>397183</xdr:rowOff>
    </xdr:from>
    <xdr:to>
      <xdr:col>3</xdr:col>
      <xdr:colOff>1044220</xdr:colOff>
      <xdr:row>9</xdr:row>
      <xdr:rowOff>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5887" y="1469627"/>
          <a:ext cx="3867333" cy="3356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1111248</xdr:colOff>
      <xdr:row>2</xdr:row>
      <xdr:rowOff>289169</xdr:rowOff>
    </xdr:from>
    <xdr:ext cx="2815981" cy="2421793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6633" y="1402861"/>
          <a:ext cx="2815981" cy="2421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226484</xdr:colOff>
      <xdr:row>3</xdr:row>
      <xdr:rowOff>103717</xdr:rowOff>
    </xdr:from>
    <xdr:to>
      <xdr:col>3</xdr:col>
      <xdr:colOff>366890</xdr:colOff>
      <xdr:row>7</xdr:row>
      <xdr:rowOff>352777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8817" y="1585384"/>
          <a:ext cx="3131961" cy="2224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200922</xdr:colOff>
      <xdr:row>3</xdr:row>
      <xdr:rowOff>450371</xdr:rowOff>
    </xdr:from>
    <xdr:to>
      <xdr:col>3</xdr:col>
      <xdr:colOff>1092678</xdr:colOff>
      <xdr:row>8</xdr:row>
      <xdr:rowOff>115019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394" y="2132522"/>
          <a:ext cx="3594699" cy="2468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524933</xdr:colOff>
      <xdr:row>2</xdr:row>
      <xdr:rowOff>56091</xdr:rowOff>
    </xdr:from>
    <xdr:to>
      <xdr:col>3</xdr:col>
      <xdr:colOff>728132</xdr:colOff>
      <xdr:row>8</xdr:row>
      <xdr:rowOff>169333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733" y="970491"/>
          <a:ext cx="2844799" cy="2856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548105</xdr:colOff>
      <xdr:row>2</xdr:row>
      <xdr:rowOff>352927</xdr:rowOff>
    </xdr:from>
    <xdr:to>
      <xdr:col>3</xdr:col>
      <xdr:colOff>775369</xdr:colOff>
      <xdr:row>8</xdr:row>
      <xdr:rowOff>347579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947" y="1155032"/>
          <a:ext cx="2900948" cy="2400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556260</xdr:colOff>
      <xdr:row>3</xdr:row>
      <xdr:rowOff>303966</xdr:rowOff>
    </xdr:from>
    <xdr:to>
      <xdr:col>3</xdr:col>
      <xdr:colOff>644236</xdr:colOff>
      <xdr:row>7</xdr:row>
      <xdr:rowOff>427341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1912620" y="1629846"/>
          <a:ext cx="2800696" cy="18912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o\OneDrive\Documents\EX%20PH&#7908;%20KI&#7878;N\BAO%20GIA%20HMA.xls" TargetMode="External"/><Relationship Id="rId1" Type="http://schemas.openxmlformats.org/officeDocument/2006/relationships/externalLinkPath" Target="/Users/Dao/OneDrive/Documents/EX%20PH&#7908;%20KI&#7878;N/BAO%20GIA%20HM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o gia chung phu kien HMA "/>
      <sheetName val="Phoi theo bo - nhom he ranh C"/>
      <sheetName val="Phoi theo bo( XINGFA-OXIDIZED)"/>
      <sheetName val="Phoi theo bo( XINGFA-EUROPEAN)"/>
      <sheetName val="Phoi theo bo - Vat canh 55"/>
      <sheetName val="MAU BAO GIA DON HANG"/>
    </sheetNames>
    <sheetDataSet>
      <sheetData sheetId="0"/>
      <sheetData sheetId="1"/>
      <sheetData sheetId="2">
        <row r="152">
          <cell r="N152">
            <v>1748944.1121428574</v>
          </cell>
        </row>
        <row r="153">
          <cell r="M153">
            <v>1713728.4450000001</v>
          </cell>
        </row>
      </sheetData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X36"/>
  <sheetViews>
    <sheetView zoomScale="46" zoomScaleNormal="46" zoomScaleSheetLayoutView="85" workbookViewId="0">
      <selection activeCell="I9" sqref="I9:I10"/>
    </sheetView>
  </sheetViews>
  <sheetFormatPr defaultColWidth="15.6640625" defaultRowHeight="40.200000000000003" customHeight="1" x14ac:dyDescent="0.35"/>
  <cols>
    <col min="1" max="1" width="2.5546875" style="1" customWidth="1"/>
    <col min="2" max="10" width="15.6640625" style="1"/>
    <col min="11" max="11" width="19.6640625" style="1" bestFit="1" customWidth="1"/>
    <col min="12" max="12" width="15.6640625" style="1"/>
    <col min="13" max="13" width="5.44140625" style="1" customWidth="1"/>
    <col min="14" max="14" width="10.6640625" style="1" customWidth="1"/>
    <col min="15" max="15" width="22.21875" style="1" customWidth="1"/>
    <col min="16" max="16" width="19.109375" style="1" customWidth="1"/>
    <col min="17" max="17" width="22.21875" style="1" hidden="1" customWidth="1"/>
    <col min="18" max="22" width="22.21875" style="1" customWidth="1"/>
    <col min="23" max="23" width="45" style="1" customWidth="1"/>
    <col min="24" max="35" width="22.21875" style="1" customWidth="1"/>
    <col min="36" max="16384" width="15.6640625" style="1"/>
  </cols>
  <sheetData>
    <row r="1" spans="2:24" ht="40.200000000000003" customHeight="1" x14ac:dyDescent="0.45">
      <c r="B1" s="116" t="s">
        <v>50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N1" s="116" t="s">
        <v>64</v>
      </c>
      <c r="O1" s="116"/>
      <c r="P1" s="116"/>
      <c r="Q1" s="116"/>
      <c r="R1" s="116"/>
      <c r="S1" s="116"/>
      <c r="T1" s="116"/>
      <c r="U1" s="116"/>
      <c r="V1" s="116"/>
      <c r="W1" s="116"/>
    </row>
    <row r="2" spans="2:24" ht="78.75" customHeight="1" x14ac:dyDescent="0.35">
      <c r="B2" s="118" t="s">
        <v>48</v>
      </c>
      <c r="C2" s="118"/>
      <c r="D2" s="118"/>
      <c r="E2" s="118"/>
      <c r="F2" s="118"/>
      <c r="G2" s="18"/>
      <c r="H2" s="119" t="s">
        <v>14</v>
      </c>
      <c r="I2" s="118" t="s">
        <v>9</v>
      </c>
      <c r="J2" s="118"/>
      <c r="K2" s="118"/>
      <c r="L2" s="118"/>
      <c r="N2" s="24" t="s">
        <v>14</v>
      </c>
      <c r="O2" s="117" t="s">
        <v>51</v>
      </c>
      <c r="P2" s="117"/>
      <c r="Q2" s="117"/>
      <c r="R2" s="30" t="s">
        <v>115</v>
      </c>
      <c r="S2" s="30" t="s">
        <v>62</v>
      </c>
      <c r="T2" s="30" t="s">
        <v>114</v>
      </c>
      <c r="U2" s="24" t="s">
        <v>44</v>
      </c>
      <c r="V2" s="24" t="s">
        <v>45</v>
      </c>
      <c r="W2" s="24" t="s">
        <v>39</v>
      </c>
    </row>
    <row r="3" spans="2:24" ht="40.200000000000003" customHeight="1" x14ac:dyDescent="0.35">
      <c r="B3" s="120"/>
      <c r="C3" s="121"/>
      <c r="D3" s="121"/>
      <c r="E3" s="3" t="s">
        <v>0</v>
      </c>
      <c r="F3" s="16" t="s">
        <v>1</v>
      </c>
      <c r="G3" s="3" t="s">
        <v>2</v>
      </c>
      <c r="H3" s="119"/>
      <c r="I3" s="5" t="s">
        <v>4</v>
      </c>
      <c r="J3" s="5" t="s">
        <v>3</v>
      </c>
      <c r="K3" s="5" t="s">
        <v>5</v>
      </c>
      <c r="L3" s="5" t="s">
        <v>2</v>
      </c>
      <c r="N3" s="15">
        <v>1</v>
      </c>
      <c r="O3" s="112" t="s">
        <v>53</v>
      </c>
      <c r="P3" s="113"/>
      <c r="Q3" s="113"/>
      <c r="R3" s="34">
        <f>K4*L4+K5*L5</f>
        <v>5425</v>
      </c>
      <c r="S3" s="29">
        <v>1.2569999999999999</v>
      </c>
      <c r="T3" s="32">
        <f>S3*R3</f>
        <v>6819.2249999999995</v>
      </c>
      <c r="U3" s="34">
        <v>128000</v>
      </c>
      <c r="V3" s="31">
        <f>U3*T3/1000</f>
        <v>872860.79999999993</v>
      </c>
      <c r="W3" s="80"/>
    </row>
    <row r="4" spans="2:24" ht="40.200000000000003" customHeight="1" x14ac:dyDescent="0.35">
      <c r="B4" s="120"/>
      <c r="C4" s="121"/>
      <c r="D4" s="121"/>
      <c r="E4" s="3">
        <v>825</v>
      </c>
      <c r="F4" s="3">
        <v>2300</v>
      </c>
      <c r="G4" s="3">
        <v>1</v>
      </c>
      <c r="H4" s="6" t="s">
        <v>19</v>
      </c>
      <c r="I4" s="3" t="s">
        <v>10</v>
      </c>
      <c r="J4" s="6" t="str">
        <f>CONCATENATE($G$2,"-",$D$10,"-","3328","-","1")</f>
        <v>--3328-1</v>
      </c>
      <c r="K4" s="81">
        <f>E4</f>
        <v>825</v>
      </c>
      <c r="L4" s="3">
        <f>G4*1</f>
        <v>1</v>
      </c>
      <c r="N4" s="15">
        <f>N3+1</f>
        <v>2</v>
      </c>
      <c r="O4" s="112" t="s">
        <v>54</v>
      </c>
      <c r="P4" s="113"/>
      <c r="Q4" s="113"/>
      <c r="R4" s="34">
        <f>K6*L6+K7*L7</f>
        <v>6024</v>
      </c>
      <c r="S4" s="29">
        <v>1.4410000000000001</v>
      </c>
      <c r="T4" s="33">
        <f>S4*R4</f>
        <v>8680.5840000000007</v>
      </c>
      <c r="U4" s="34">
        <v>128000</v>
      </c>
      <c r="V4" s="31">
        <f t="shared" ref="V4:V6" si="0">U4*T4/1000</f>
        <v>1111114.7520000001</v>
      </c>
      <c r="W4" s="80"/>
    </row>
    <row r="5" spans="2:24" ht="40.200000000000003" customHeight="1" x14ac:dyDescent="0.35">
      <c r="B5" s="120"/>
      <c r="C5" s="121"/>
      <c r="D5" s="121"/>
      <c r="E5" s="40"/>
      <c r="F5" s="41" t="s">
        <v>46</v>
      </c>
      <c r="G5" s="41" t="s">
        <v>119</v>
      </c>
      <c r="H5" s="6" t="s">
        <v>20</v>
      </c>
      <c r="I5" s="3" t="s">
        <v>41</v>
      </c>
      <c r="J5" s="6" t="str">
        <f>CONCATENATE($G$2,"-",$D$10,"-","3328","-","2")</f>
        <v>--3328-2</v>
      </c>
      <c r="K5" s="81">
        <f>F4</f>
        <v>2300</v>
      </c>
      <c r="L5" s="3">
        <f>G4*2</f>
        <v>2</v>
      </c>
      <c r="N5" s="15">
        <f t="shared" ref="N5:N11" si="1">N4+1</f>
        <v>3</v>
      </c>
      <c r="O5" s="112" t="s">
        <v>55</v>
      </c>
      <c r="P5" s="113"/>
      <c r="Q5" s="113"/>
      <c r="R5" s="34">
        <f>R4</f>
        <v>6024</v>
      </c>
      <c r="S5" s="29">
        <v>0.27100000000000002</v>
      </c>
      <c r="T5" s="32">
        <f t="shared" ref="T5:T6" si="2">S5*R5</f>
        <v>1632.5040000000001</v>
      </c>
      <c r="U5" s="34">
        <v>128000</v>
      </c>
      <c r="V5" s="31">
        <f t="shared" si="0"/>
        <v>208960.51200000002</v>
      </c>
      <c r="W5" s="80"/>
    </row>
    <row r="6" spans="2:24" ht="40.200000000000003" customHeight="1" x14ac:dyDescent="0.35">
      <c r="B6" s="120"/>
      <c r="C6" s="121"/>
      <c r="D6" s="121"/>
      <c r="E6" s="56"/>
      <c r="F6" s="17">
        <f>F4*E4*G4/1000</f>
        <v>1897.5</v>
      </c>
      <c r="G6" s="87">
        <f>SUM(T3:T6)</f>
        <v>17456.945000000003</v>
      </c>
      <c r="H6" s="6" t="s">
        <v>21</v>
      </c>
      <c r="I6" s="3" t="s">
        <v>12</v>
      </c>
      <c r="J6" s="6" t="str">
        <f>CONCATENATE($G$2,"-",$D$10,"-","3332","-","1")</f>
        <v>--3332-1</v>
      </c>
      <c r="K6" s="81">
        <f>K4-72-10</f>
        <v>743</v>
      </c>
      <c r="L6" s="3">
        <f>G4*2</f>
        <v>2</v>
      </c>
      <c r="N6" s="15">
        <f t="shared" si="1"/>
        <v>4</v>
      </c>
      <c r="O6" s="112" t="s">
        <v>56</v>
      </c>
      <c r="P6" s="113"/>
      <c r="Q6" s="113"/>
      <c r="R6" s="34">
        <f>K8*L8</f>
        <v>682</v>
      </c>
      <c r="S6" s="29">
        <v>0.47599999999999998</v>
      </c>
      <c r="T6" s="32">
        <f t="shared" si="2"/>
        <v>324.63200000000001</v>
      </c>
      <c r="U6" s="34">
        <v>128000</v>
      </c>
      <c r="V6" s="31">
        <f t="shared" si="0"/>
        <v>41552.896000000001</v>
      </c>
      <c r="W6" s="80"/>
    </row>
    <row r="7" spans="2:24" ht="40.200000000000003" customHeight="1" x14ac:dyDescent="0.35">
      <c r="B7" s="120"/>
      <c r="C7" s="121"/>
      <c r="D7" s="121"/>
      <c r="E7" s="3"/>
      <c r="F7" s="41" t="s">
        <v>42</v>
      </c>
      <c r="G7" s="41" t="s">
        <v>49</v>
      </c>
      <c r="H7" s="6" t="s">
        <v>22</v>
      </c>
      <c r="I7" s="3" t="s">
        <v>13</v>
      </c>
      <c r="J7" s="6" t="str">
        <f>CONCATENATE($G$2,"-",$D$10,"-","3332","-","2")</f>
        <v>--3332-2</v>
      </c>
      <c r="K7" s="82">
        <f>IF(AND(F9="X",G9=""),K5-F8,0)+IF(AND(G9="X",F9=""),K5-G8,0)</f>
        <v>2269</v>
      </c>
      <c r="L7" s="3">
        <f>G4*2</f>
        <v>2</v>
      </c>
      <c r="N7" s="15">
        <f t="shared" si="1"/>
        <v>5</v>
      </c>
      <c r="O7" s="112" t="s">
        <v>78</v>
      </c>
      <c r="P7" s="113"/>
      <c r="Q7" s="114"/>
      <c r="R7" s="34"/>
      <c r="S7" s="29"/>
      <c r="T7" s="76"/>
      <c r="U7" s="54">
        <v>0.05</v>
      </c>
      <c r="V7" s="34">
        <f>SUM(V3:V6)*U7</f>
        <v>111724.44800000003</v>
      </c>
      <c r="W7" s="42"/>
    </row>
    <row r="8" spans="2:24" ht="40.200000000000003" customHeight="1" x14ac:dyDescent="0.35">
      <c r="B8" s="120"/>
      <c r="C8" s="121"/>
      <c r="D8" s="121"/>
      <c r="E8" s="3"/>
      <c r="F8" s="3">
        <v>56</v>
      </c>
      <c r="G8" s="3">
        <v>31</v>
      </c>
      <c r="H8" s="6" t="s">
        <v>24</v>
      </c>
      <c r="I8" s="3" t="s">
        <v>57</v>
      </c>
      <c r="J8" s="6" t="str">
        <f>CONCATENATE($G$2,"-",$D$10,"-","3329A","-","1")</f>
        <v>--3329A-1</v>
      </c>
      <c r="K8" s="83">
        <f>K6-61</f>
        <v>682</v>
      </c>
      <c r="L8" s="3">
        <f>G4*1</f>
        <v>1</v>
      </c>
      <c r="N8" s="15">
        <f t="shared" si="1"/>
        <v>6</v>
      </c>
      <c r="O8" s="112" t="s">
        <v>134</v>
      </c>
      <c r="P8" s="113"/>
      <c r="Q8" s="113"/>
      <c r="R8" s="29"/>
      <c r="S8" s="29"/>
      <c r="T8" s="33">
        <v>2</v>
      </c>
      <c r="U8" s="34">
        <v>7700</v>
      </c>
      <c r="V8" s="31">
        <f>U8*T8</f>
        <v>15400</v>
      </c>
      <c r="W8" s="15"/>
    </row>
    <row r="9" spans="2:24" ht="40.200000000000003" customHeight="1" x14ac:dyDescent="0.35">
      <c r="B9" s="120"/>
      <c r="C9" s="121"/>
      <c r="D9" s="121"/>
      <c r="E9" s="2" t="s">
        <v>40</v>
      </c>
      <c r="F9" s="3"/>
      <c r="G9" s="3" t="s">
        <v>43</v>
      </c>
      <c r="H9" s="6" t="s">
        <v>25</v>
      </c>
      <c r="I9" s="119" t="s">
        <v>15</v>
      </c>
      <c r="J9" s="3" t="s">
        <v>6</v>
      </c>
      <c r="K9" s="3" t="s">
        <v>7</v>
      </c>
      <c r="L9" s="5" t="s">
        <v>2</v>
      </c>
      <c r="N9" s="15">
        <f t="shared" si="1"/>
        <v>7</v>
      </c>
      <c r="O9" s="112" t="s">
        <v>135</v>
      </c>
      <c r="P9" s="113"/>
      <c r="Q9" s="113"/>
      <c r="R9" s="29"/>
      <c r="S9" s="29"/>
      <c r="T9" s="33">
        <v>4</v>
      </c>
      <c r="U9" s="34">
        <v>7700</v>
      </c>
      <c r="V9" s="31">
        <f t="shared" ref="V9:V10" si="3">U9*T9</f>
        <v>30800</v>
      </c>
      <c r="W9" s="26" t="s">
        <v>73</v>
      </c>
    </row>
    <row r="10" spans="2:24" ht="40.200000000000003" customHeight="1" x14ac:dyDescent="0.35">
      <c r="B10" s="122"/>
      <c r="C10" s="123"/>
      <c r="D10" s="123"/>
      <c r="E10" s="2"/>
      <c r="F10" s="128">
        <f>K5-K7</f>
        <v>31</v>
      </c>
      <c r="G10" s="129"/>
      <c r="H10" s="6" t="s">
        <v>28</v>
      </c>
      <c r="I10" s="119"/>
      <c r="J10" s="3">
        <f>IF(K6-140&gt;0,K6-140,"0")</f>
        <v>603</v>
      </c>
      <c r="K10" s="3">
        <f>IF(K7-140&gt;0,K7-140,"0")</f>
        <v>2129</v>
      </c>
      <c r="L10" s="3">
        <f>G4</f>
        <v>1</v>
      </c>
      <c r="N10" s="15">
        <f t="shared" si="1"/>
        <v>8</v>
      </c>
      <c r="O10" s="112" t="s">
        <v>61</v>
      </c>
      <c r="P10" s="113"/>
      <c r="Q10" s="113"/>
      <c r="R10" s="29"/>
      <c r="S10" s="29"/>
      <c r="T10" s="33">
        <f>T9*2+T8</f>
        <v>10</v>
      </c>
      <c r="U10" s="34">
        <v>100</v>
      </c>
      <c r="V10" s="31">
        <f t="shared" si="3"/>
        <v>1000</v>
      </c>
      <c r="W10" s="26" t="s">
        <v>74</v>
      </c>
    </row>
    <row r="11" spans="2:24" ht="40.200000000000003" customHeight="1" x14ac:dyDescent="0.35">
      <c r="L11" s="1">
        <f>J10*K10*L10/1000000</f>
        <v>1.283787</v>
      </c>
      <c r="N11" s="15">
        <f t="shared" si="1"/>
        <v>9</v>
      </c>
      <c r="O11" s="125" t="s">
        <v>65</v>
      </c>
      <c r="P11" s="126"/>
      <c r="Q11" s="126"/>
      <c r="R11" s="126"/>
      <c r="S11" s="127"/>
      <c r="T11" s="35"/>
      <c r="U11" s="36"/>
      <c r="V11" s="37">
        <f>SUM(V3:V10)</f>
        <v>2393413.4080000003</v>
      </c>
      <c r="W11" s="15"/>
      <c r="X11" s="20"/>
    </row>
    <row r="12" spans="2:24" ht="40.200000000000003" customHeight="1" x14ac:dyDescent="0.35"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89">
        <v>220000</v>
      </c>
      <c r="N12" s="24" t="s">
        <v>14</v>
      </c>
      <c r="O12" s="117" t="s">
        <v>51</v>
      </c>
      <c r="P12" s="117"/>
      <c r="Q12" s="117"/>
      <c r="R12" s="24" t="s">
        <v>52</v>
      </c>
      <c r="S12" s="30" t="s">
        <v>58</v>
      </c>
      <c r="T12" s="30"/>
      <c r="U12" s="24" t="s">
        <v>44</v>
      </c>
      <c r="V12" s="24" t="s">
        <v>45</v>
      </c>
      <c r="W12" s="2"/>
    </row>
    <row r="13" spans="2:24" ht="40.200000000000003" customHeight="1" x14ac:dyDescent="0.35">
      <c r="B13" s="115"/>
      <c r="C13" s="115"/>
      <c r="D13" s="130"/>
      <c r="E13" s="130"/>
      <c r="F13" s="130"/>
      <c r="G13" s="130"/>
      <c r="H13" s="130"/>
      <c r="I13" s="130"/>
      <c r="J13" s="115"/>
      <c r="K13" s="115"/>
      <c r="L13" s="99">
        <f>L11*L12</f>
        <v>282433.14</v>
      </c>
      <c r="N13" s="15">
        <v>1</v>
      </c>
      <c r="O13" s="112" t="s">
        <v>66</v>
      </c>
      <c r="P13" s="113"/>
      <c r="Q13" s="113"/>
      <c r="R13" s="38">
        <f>R3+R4</f>
        <v>11449</v>
      </c>
      <c r="S13" s="2">
        <v>1</v>
      </c>
      <c r="T13" s="25"/>
      <c r="U13" s="38">
        <v>1000</v>
      </c>
      <c r="V13" s="38">
        <f>U13*R13*S13/1000</f>
        <v>11449</v>
      </c>
      <c r="W13" s="2"/>
    </row>
    <row r="14" spans="2:24" ht="40.200000000000003" customHeight="1" x14ac:dyDescent="0.35">
      <c r="B14" s="115"/>
      <c r="C14" s="115"/>
      <c r="D14" s="130"/>
      <c r="E14" s="130"/>
      <c r="F14" s="130"/>
      <c r="G14" s="130"/>
      <c r="H14" s="130"/>
      <c r="I14" s="130"/>
      <c r="J14" s="115"/>
      <c r="K14" s="115"/>
      <c r="L14" s="55">
        <v>780000</v>
      </c>
      <c r="N14" s="15">
        <f>N13+1</f>
        <v>2</v>
      </c>
      <c r="O14" s="112" t="s">
        <v>47</v>
      </c>
      <c r="P14" s="113"/>
      <c r="Q14" s="113"/>
      <c r="R14" s="38">
        <f>R4*2</f>
        <v>12048</v>
      </c>
      <c r="S14" s="2">
        <v>1</v>
      </c>
      <c r="T14" s="25"/>
      <c r="U14" s="38">
        <v>1000</v>
      </c>
      <c r="V14" s="38">
        <f>U14*R14*S14/1000</f>
        <v>12048</v>
      </c>
      <c r="W14" s="2"/>
    </row>
    <row r="15" spans="2:24" ht="40.200000000000003" customHeight="1" x14ac:dyDescent="0.35">
      <c r="B15" s="115"/>
      <c r="C15" s="115"/>
      <c r="D15" s="130"/>
      <c r="E15" s="130"/>
      <c r="F15" s="130"/>
      <c r="G15" s="130"/>
      <c r="H15" s="130"/>
      <c r="I15" s="130"/>
      <c r="J15" s="115"/>
      <c r="K15" s="115"/>
      <c r="L15" s="55"/>
      <c r="N15" s="15">
        <f t="shared" ref="N15:N18" si="4">N14+1</f>
        <v>3</v>
      </c>
      <c r="O15" s="112" t="s">
        <v>67</v>
      </c>
      <c r="P15" s="113"/>
      <c r="Q15" s="113"/>
      <c r="R15" s="38"/>
      <c r="S15" s="2">
        <v>1</v>
      </c>
      <c r="T15" s="25"/>
      <c r="U15" s="38">
        <v>2500</v>
      </c>
      <c r="V15" s="38">
        <f>U15*S15</f>
        <v>2500</v>
      </c>
      <c r="W15" s="26" t="s">
        <v>75</v>
      </c>
    </row>
    <row r="16" spans="2:24" ht="40.200000000000003" customHeight="1" x14ac:dyDescent="0.35">
      <c r="B16" s="115"/>
      <c r="C16" s="115"/>
      <c r="D16" s="115"/>
      <c r="E16" s="115"/>
      <c r="F16" s="115"/>
      <c r="G16" s="115"/>
      <c r="H16" s="130"/>
      <c r="I16" s="130"/>
      <c r="J16" s="115"/>
      <c r="K16" s="115"/>
      <c r="L16" s="55"/>
      <c r="N16" s="15">
        <f t="shared" si="4"/>
        <v>4</v>
      </c>
      <c r="O16" s="112" t="s">
        <v>68</v>
      </c>
      <c r="P16" s="113"/>
      <c r="Q16" s="114"/>
      <c r="R16" s="38"/>
      <c r="S16" s="56">
        <v>1</v>
      </c>
      <c r="T16" s="25"/>
      <c r="U16" s="38">
        <v>1000</v>
      </c>
      <c r="V16" s="38">
        <f t="shared" ref="V16:V17" si="5">U16*S16</f>
        <v>1000</v>
      </c>
      <c r="W16" s="26" t="s">
        <v>86</v>
      </c>
    </row>
    <row r="17" spans="2:24" ht="40.200000000000003" customHeight="1" x14ac:dyDescent="0.35">
      <c r="B17" s="115"/>
      <c r="C17" s="115"/>
      <c r="D17" s="130"/>
      <c r="E17" s="130"/>
      <c r="F17" s="130"/>
      <c r="G17" s="130"/>
      <c r="H17" s="130"/>
      <c r="I17" s="130"/>
      <c r="J17" s="115"/>
      <c r="K17" s="115"/>
      <c r="L17" s="55"/>
      <c r="N17" s="15">
        <f t="shared" si="4"/>
        <v>5</v>
      </c>
      <c r="O17" s="112" t="s">
        <v>70</v>
      </c>
      <c r="P17" s="113"/>
      <c r="Q17" s="114"/>
      <c r="R17" s="38"/>
      <c r="S17" s="2">
        <v>1</v>
      </c>
      <c r="T17" s="25"/>
      <c r="U17" s="38">
        <v>2000</v>
      </c>
      <c r="V17" s="38">
        <f t="shared" si="5"/>
        <v>2000</v>
      </c>
      <c r="W17" s="26" t="s">
        <v>86</v>
      </c>
    </row>
    <row r="18" spans="2:24" ht="40.200000000000003" customHeight="1" x14ac:dyDescent="0.35">
      <c r="B18" s="115"/>
      <c r="C18" s="115"/>
      <c r="D18" s="115"/>
      <c r="E18" s="115"/>
      <c r="F18" s="115"/>
      <c r="G18" s="115"/>
      <c r="H18" s="130"/>
      <c r="I18" s="130"/>
      <c r="J18" s="115"/>
      <c r="K18" s="115"/>
      <c r="L18" s="55"/>
      <c r="N18" s="15">
        <f t="shared" si="4"/>
        <v>6</v>
      </c>
      <c r="O18" s="133" t="s">
        <v>69</v>
      </c>
      <c r="P18" s="133"/>
      <c r="Q18" s="133"/>
      <c r="R18" s="133"/>
      <c r="S18" s="133"/>
      <c r="T18" s="35"/>
      <c r="U18" s="36"/>
      <c r="V18" s="37">
        <f>SUM(V13:V17)</f>
        <v>28997</v>
      </c>
      <c r="W18" s="2"/>
      <c r="X18" s="20">
        <f>V19+V20</f>
        <v>2858835.4080000003</v>
      </c>
    </row>
    <row r="19" spans="2:24" ht="82.2" customHeight="1" x14ac:dyDescent="0.4">
      <c r="B19" s="115"/>
      <c r="C19" s="115"/>
      <c r="D19" s="115"/>
      <c r="E19" s="115"/>
      <c r="F19" s="115"/>
      <c r="G19" s="115"/>
      <c r="H19" s="137"/>
      <c r="I19" s="137"/>
      <c r="J19" s="115"/>
      <c r="K19" s="115"/>
      <c r="L19" s="55"/>
      <c r="N19" s="96"/>
      <c r="O19" s="134" t="s">
        <v>137</v>
      </c>
      <c r="P19" s="135"/>
      <c r="Q19" s="135"/>
      <c r="R19" s="135"/>
      <c r="S19" s="135"/>
      <c r="T19" s="135"/>
      <c r="U19" s="136"/>
      <c r="V19" s="98">
        <f>V11+V18</f>
        <v>2422410.4080000003</v>
      </c>
      <c r="W19" s="97"/>
      <c r="X19" s="100">
        <f>X18/F6</f>
        <v>1506.6326260869566</v>
      </c>
    </row>
    <row r="20" spans="2:24" ht="40.200000000000003" customHeight="1" x14ac:dyDescent="0.35">
      <c r="B20" s="115"/>
      <c r="C20" s="115"/>
      <c r="D20" s="115"/>
      <c r="E20" s="115"/>
      <c r="F20" s="115"/>
      <c r="G20" s="115"/>
      <c r="H20" s="130">
        <f t="shared" ref="H20" si="6">F20</f>
        <v>0</v>
      </c>
      <c r="I20" s="130"/>
      <c r="J20" s="115"/>
      <c r="K20" s="115"/>
      <c r="L20" s="55"/>
      <c r="N20" s="19"/>
      <c r="O20" s="132"/>
      <c r="P20" s="132"/>
      <c r="Q20" s="47"/>
      <c r="R20" s="45"/>
      <c r="S20" s="45"/>
      <c r="T20" s="49"/>
      <c r="U20" s="45"/>
      <c r="V20" s="49">
        <f>F6*230</f>
        <v>436425</v>
      </c>
      <c r="W20" s="20">
        <f>V20+V19+L14+L13+L15</f>
        <v>3921268.5480000004</v>
      </c>
    </row>
    <row r="21" spans="2:24" ht="40.200000000000003" customHeight="1" x14ac:dyDescent="0.35">
      <c r="N21" s="19"/>
      <c r="O21" s="132"/>
      <c r="P21" s="132"/>
      <c r="Q21" s="47"/>
      <c r="R21" s="45"/>
      <c r="S21" s="45">
        <v>1500</v>
      </c>
      <c r="T21" s="48"/>
      <c r="U21" s="45"/>
      <c r="V21" s="49"/>
      <c r="W21" s="20">
        <f>W20/F6</f>
        <v>2066.5446893280637</v>
      </c>
    </row>
    <row r="22" spans="2:24" ht="40.200000000000003" customHeight="1" x14ac:dyDescent="0.4">
      <c r="K22" s="98">
        <f>F6*2600</f>
        <v>4933500</v>
      </c>
      <c r="N22" s="19"/>
      <c r="O22" s="132"/>
      <c r="P22" s="132"/>
      <c r="Q22" s="47"/>
      <c r="R22" s="45">
        <f>S21*1.8</f>
        <v>2700</v>
      </c>
      <c r="S22" s="45">
        <f>S21*F6</f>
        <v>2846250</v>
      </c>
      <c r="T22" s="48"/>
      <c r="U22" s="45">
        <v>721000</v>
      </c>
      <c r="V22" s="49">
        <f>V19+U21+L13+V20+L14</f>
        <v>3921268.5480000004</v>
      </c>
      <c r="W22" s="100">
        <f>W20/F6</f>
        <v>2066.5446893280637</v>
      </c>
      <c r="X22" s="1">
        <v>270000</v>
      </c>
    </row>
    <row r="23" spans="2:24" ht="40.200000000000003" customHeight="1" x14ac:dyDescent="0.35">
      <c r="N23" s="19"/>
      <c r="O23" s="132"/>
      <c r="P23" s="132"/>
      <c r="Q23" s="47"/>
      <c r="R23" s="45"/>
      <c r="S23" s="45">
        <f>S22-V21</f>
        <v>2846250</v>
      </c>
      <c r="T23" s="48"/>
      <c r="U23" s="45">
        <f>K22</f>
        <v>4933500</v>
      </c>
      <c r="V23" s="49">
        <f>V22+U22</f>
        <v>4642268.5480000004</v>
      </c>
      <c r="W23" s="104">
        <f>W20/K22</f>
        <v>0.79482488051079359</v>
      </c>
      <c r="X23" s="100">
        <f>V19+V20</f>
        <v>2858835.4080000003</v>
      </c>
    </row>
    <row r="24" spans="2:24" ht="40.200000000000003" customHeight="1" x14ac:dyDescent="0.35">
      <c r="N24" s="19"/>
      <c r="O24" s="132"/>
      <c r="P24" s="132"/>
      <c r="Q24" s="47"/>
      <c r="R24" s="45"/>
      <c r="S24" s="45">
        <f>S23/1.8</f>
        <v>1581250</v>
      </c>
      <c r="T24" s="48">
        <f>S23-S25</f>
        <v>2703937.5</v>
      </c>
      <c r="U24" s="103">
        <f>V24/U23</f>
        <v>0.84955276132563096</v>
      </c>
      <c r="V24" s="49">
        <f>V22+X22</f>
        <v>4191268.5480000004</v>
      </c>
      <c r="W24" s="100">
        <f>V21*10%</f>
        <v>0</v>
      </c>
      <c r="X24" s="100">
        <f>X23/F6</f>
        <v>1506.6326260869566</v>
      </c>
    </row>
    <row r="25" spans="2:24" ht="40.200000000000003" customHeight="1" x14ac:dyDescent="0.35">
      <c r="N25" s="19"/>
      <c r="O25" s="132"/>
      <c r="P25" s="132"/>
      <c r="Q25" s="47"/>
      <c r="R25" s="45"/>
      <c r="S25" s="45">
        <f>S22*5%</f>
        <v>142312.5</v>
      </c>
      <c r="T25" s="105">
        <f>T24/S22</f>
        <v>0.95</v>
      </c>
      <c r="U25" s="45"/>
      <c r="V25" s="49">
        <f>V24/F6</f>
        <v>2208.8371794466407</v>
      </c>
      <c r="W25" s="100">
        <f>W24+V21</f>
        <v>0</v>
      </c>
    </row>
    <row r="26" spans="2:24" ht="40.200000000000003" customHeight="1" x14ac:dyDescent="0.35">
      <c r="N26" s="19"/>
      <c r="O26" s="132"/>
      <c r="P26" s="132"/>
      <c r="Q26" s="47"/>
      <c r="R26" s="45"/>
      <c r="S26" s="45"/>
      <c r="T26" s="48">
        <f>T24+V20</f>
        <v>3140362.5</v>
      </c>
      <c r="U26" s="45"/>
      <c r="V26" s="49"/>
      <c r="W26" s="100">
        <f>W25/F6</f>
        <v>0</v>
      </c>
    </row>
    <row r="27" spans="2:24" ht="40.200000000000003" customHeight="1" x14ac:dyDescent="0.35">
      <c r="N27" s="19"/>
      <c r="O27" s="132"/>
      <c r="P27" s="132"/>
      <c r="Q27" s="47"/>
      <c r="R27" s="45"/>
      <c r="S27" s="45"/>
      <c r="T27" s="105">
        <f>T26/S22</f>
        <v>1.1033333333333333</v>
      </c>
      <c r="U27" s="45"/>
      <c r="V27" s="49"/>
    </row>
    <row r="28" spans="2:24" ht="40.200000000000003" customHeight="1" x14ac:dyDescent="0.35">
      <c r="N28" s="19"/>
      <c r="O28" s="132"/>
      <c r="P28" s="132"/>
      <c r="Q28" s="47"/>
      <c r="R28" s="45"/>
      <c r="S28" s="45"/>
      <c r="T28" s="50"/>
      <c r="U28" s="45"/>
      <c r="V28" s="49"/>
    </row>
    <row r="29" spans="2:24" ht="40.200000000000003" customHeight="1" x14ac:dyDescent="0.35">
      <c r="N29" s="19"/>
      <c r="O29" s="132"/>
      <c r="P29" s="132"/>
      <c r="Q29" s="47"/>
      <c r="R29" s="45"/>
      <c r="S29" s="45"/>
      <c r="T29" s="50"/>
      <c r="U29" s="45"/>
      <c r="V29" s="49"/>
    </row>
    <row r="30" spans="2:24" ht="40.200000000000003" customHeight="1" x14ac:dyDescent="0.35">
      <c r="N30" s="19"/>
      <c r="O30" s="132"/>
      <c r="P30" s="132"/>
      <c r="Q30" s="47"/>
      <c r="R30" s="45"/>
      <c r="S30" s="45"/>
      <c r="T30" s="50"/>
      <c r="U30" s="45"/>
      <c r="V30" s="49"/>
    </row>
    <row r="31" spans="2:24" ht="40.200000000000003" customHeight="1" x14ac:dyDescent="0.35">
      <c r="N31" s="19"/>
      <c r="O31" s="132"/>
      <c r="P31" s="132"/>
      <c r="Q31" s="47"/>
      <c r="R31" s="45"/>
      <c r="S31" s="45"/>
      <c r="T31" s="50"/>
      <c r="U31" s="45"/>
      <c r="V31" s="49"/>
    </row>
    <row r="32" spans="2:24" ht="40.200000000000003" customHeight="1" x14ac:dyDescent="0.35">
      <c r="N32" s="19"/>
      <c r="O32" s="132"/>
      <c r="P32" s="132"/>
      <c r="Q32" s="47"/>
      <c r="R32" s="45"/>
      <c r="S32" s="45"/>
      <c r="T32" s="50"/>
      <c r="U32" s="45"/>
      <c r="V32" s="49"/>
    </row>
    <row r="33" spans="14:22" ht="40.200000000000003" customHeight="1" x14ac:dyDescent="0.35">
      <c r="N33" s="19"/>
      <c r="O33" s="132"/>
      <c r="P33" s="132"/>
      <c r="Q33" s="47"/>
      <c r="R33" s="45"/>
      <c r="S33" s="45"/>
      <c r="T33" s="50"/>
      <c r="U33" s="45"/>
      <c r="V33" s="49"/>
    </row>
    <row r="34" spans="14:22" ht="40.200000000000003" customHeight="1" x14ac:dyDescent="0.35">
      <c r="N34" s="19"/>
      <c r="O34" s="132"/>
      <c r="P34" s="132"/>
      <c r="Q34" s="47"/>
      <c r="R34" s="45"/>
      <c r="S34" s="45"/>
      <c r="T34" s="50"/>
      <c r="U34" s="45"/>
      <c r="V34" s="49"/>
    </row>
    <row r="35" spans="14:22" ht="40.200000000000003" customHeight="1" x14ac:dyDescent="0.35">
      <c r="N35" s="19"/>
      <c r="O35" s="131"/>
      <c r="P35" s="131"/>
      <c r="Q35" s="131"/>
      <c r="R35" s="131"/>
      <c r="S35" s="131"/>
      <c r="T35" s="52"/>
      <c r="U35" s="45"/>
      <c r="V35" s="49"/>
    </row>
    <row r="36" spans="14:22" ht="40.200000000000003" customHeight="1" x14ac:dyDescent="0.35">
      <c r="O36" s="53"/>
      <c r="P36" s="53"/>
      <c r="Q36" s="53"/>
      <c r="R36" s="53"/>
      <c r="S36" s="53"/>
      <c r="T36" s="53"/>
      <c r="U36" s="53"/>
      <c r="V36" s="53"/>
    </row>
  </sheetData>
  <mergeCells count="81">
    <mergeCell ref="H20:I20"/>
    <mergeCell ref="J20:K20"/>
    <mergeCell ref="B16:G16"/>
    <mergeCell ref="B18:G18"/>
    <mergeCell ref="J17:K17"/>
    <mergeCell ref="J18:K18"/>
    <mergeCell ref="B20:C20"/>
    <mergeCell ref="D20:E20"/>
    <mergeCell ref="F20:G20"/>
    <mergeCell ref="B17:C17"/>
    <mergeCell ref="D17:E17"/>
    <mergeCell ref="F17:G17"/>
    <mergeCell ref="J16:K16"/>
    <mergeCell ref="J19:K19"/>
    <mergeCell ref="H18:I18"/>
    <mergeCell ref="H19:I19"/>
    <mergeCell ref="H17:I17"/>
    <mergeCell ref="J13:K13"/>
    <mergeCell ref="J15:K15"/>
    <mergeCell ref="H14:I14"/>
    <mergeCell ref="J14:K14"/>
    <mergeCell ref="B15:C15"/>
    <mergeCell ref="D15:E15"/>
    <mergeCell ref="F15:G15"/>
    <mergeCell ref="B13:C13"/>
    <mergeCell ref="D13:E13"/>
    <mergeCell ref="F13:G13"/>
    <mergeCell ref="B14:C14"/>
    <mergeCell ref="D14:E14"/>
    <mergeCell ref="F14:G14"/>
    <mergeCell ref="O17:Q17"/>
    <mergeCell ref="O20:P20"/>
    <mergeCell ref="O21:P21"/>
    <mergeCell ref="O22:P22"/>
    <mergeCell ref="O23:P23"/>
    <mergeCell ref="O35:S35"/>
    <mergeCell ref="O24:P24"/>
    <mergeCell ref="O33:P33"/>
    <mergeCell ref="O34:P34"/>
    <mergeCell ref="O18:S18"/>
    <mergeCell ref="O25:P25"/>
    <mergeCell ref="O26:P26"/>
    <mergeCell ref="O27:P27"/>
    <mergeCell ref="O28:P28"/>
    <mergeCell ref="O29:P29"/>
    <mergeCell ref="O30:P30"/>
    <mergeCell ref="O31:P31"/>
    <mergeCell ref="O32:P32"/>
    <mergeCell ref="O19:U19"/>
    <mergeCell ref="O14:Q14"/>
    <mergeCell ref="H12:I12"/>
    <mergeCell ref="J12:K12"/>
    <mergeCell ref="O15:Q15"/>
    <mergeCell ref="O16:Q16"/>
    <mergeCell ref="O12:Q12"/>
    <mergeCell ref="O13:Q13"/>
    <mergeCell ref="H13:I13"/>
    <mergeCell ref="H15:I15"/>
    <mergeCell ref="H16:I16"/>
    <mergeCell ref="D12:E12"/>
    <mergeCell ref="F12:G12"/>
    <mergeCell ref="I9:I10"/>
    <mergeCell ref="O11:S11"/>
    <mergeCell ref="O10:Q10"/>
    <mergeCell ref="F10:G10"/>
    <mergeCell ref="O7:Q7"/>
    <mergeCell ref="B19:G19"/>
    <mergeCell ref="B1:L1"/>
    <mergeCell ref="O2:Q2"/>
    <mergeCell ref="N1:W1"/>
    <mergeCell ref="O3:Q3"/>
    <mergeCell ref="O4:Q4"/>
    <mergeCell ref="B2:F2"/>
    <mergeCell ref="I2:L2"/>
    <mergeCell ref="H2:H3"/>
    <mergeCell ref="B3:D10"/>
    <mergeCell ref="O5:Q5"/>
    <mergeCell ref="O6:Q6"/>
    <mergeCell ref="O8:Q8"/>
    <mergeCell ref="O9:Q9"/>
    <mergeCell ref="B12:C12"/>
  </mergeCells>
  <pageMargins left="0.7" right="0.7" top="0.75" bottom="0.75" header="0.3" footer="0.3"/>
  <pageSetup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29"/>
  <sheetViews>
    <sheetView zoomScale="46" zoomScaleNormal="46" workbookViewId="0">
      <selection activeCell="J14" sqref="J14:K14"/>
    </sheetView>
  </sheetViews>
  <sheetFormatPr defaultColWidth="18.6640625" defaultRowHeight="37.950000000000003" customHeight="1" x14ac:dyDescent="0.35"/>
  <cols>
    <col min="1" max="7" width="18.6640625" style="1"/>
    <col min="8" max="8" width="9.21875" style="1" customWidth="1"/>
    <col min="9" max="11" width="18.6640625" style="1"/>
    <col min="12" max="12" width="19.6640625" style="1" bestFit="1" customWidth="1"/>
    <col min="13" max="13" width="18.6640625" style="1"/>
    <col min="14" max="14" width="9.6640625" style="1" customWidth="1"/>
    <col min="15" max="21" width="18.6640625" style="1"/>
    <col min="22" max="22" width="25.21875" style="1" customWidth="1"/>
    <col min="23" max="23" width="39.6640625" style="43" customWidth="1"/>
    <col min="24" max="16384" width="18.6640625" style="1"/>
  </cols>
  <sheetData>
    <row r="1" spans="2:23" ht="37.950000000000003" customHeight="1" x14ac:dyDescent="0.45">
      <c r="B1" s="116" t="s">
        <v>50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N1" s="116" t="s">
        <v>64</v>
      </c>
      <c r="O1" s="116"/>
      <c r="P1" s="116"/>
      <c r="Q1" s="116"/>
      <c r="R1" s="116"/>
      <c r="S1" s="116"/>
      <c r="T1" s="116"/>
      <c r="U1" s="116"/>
      <c r="V1" s="116"/>
      <c r="W1" s="116"/>
    </row>
    <row r="2" spans="2:23" ht="58.95" customHeight="1" x14ac:dyDescent="0.35">
      <c r="B2" s="118" t="s">
        <v>48</v>
      </c>
      <c r="C2" s="118"/>
      <c r="D2" s="118"/>
      <c r="E2" s="118"/>
      <c r="F2" s="118"/>
      <c r="G2" s="8"/>
      <c r="H2" s="119" t="s">
        <v>14</v>
      </c>
      <c r="I2" s="118" t="s">
        <v>9</v>
      </c>
      <c r="J2" s="118"/>
      <c r="K2" s="118"/>
      <c r="L2" s="118"/>
      <c r="N2" s="24" t="s">
        <v>14</v>
      </c>
      <c r="O2" s="117" t="s">
        <v>51</v>
      </c>
      <c r="P2" s="117"/>
      <c r="Q2" s="117"/>
      <c r="R2" s="24" t="s">
        <v>52</v>
      </c>
      <c r="S2" s="30" t="s">
        <v>62</v>
      </c>
      <c r="T2" s="30" t="s">
        <v>63</v>
      </c>
      <c r="U2" s="24" t="s">
        <v>44</v>
      </c>
      <c r="V2" s="24" t="s">
        <v>45</v>
      </c>
      <c r="W2" s="24" t="s">
        <v>39</v>
      </c>
    </row>
    <row r="3" spans="2:23" ht="37.950000000000003" customHeight="1" x14ac:dyDescent="0.35">
      <c r="B3" s="143"/>
      <c r="C3" s="143"/>
      <c r="D3" s="143"/>
      <c r="E3" s="3" t="s">
        <v>0</v>
      </c>
      <c r="F3" s="3" t="s">
        <v>1</v>
      </c>
      <c r="G3" s="3" t="s">
        <v>2</v>
      </c>
      <c r="H3" s="119"/>
      <c r="I3" s="9" t="s">
        <v>4</v>
      </c>
      <c r="J3" s="9" t="s">
        <v>3</v>
      </c>
      <c r="K3" s="9" t="s">
        <v>5</v>
      </c>
      <c r="L3" s="9" t="s">
        <v>2</v>
      </c>
      <c r="N3" s="15">
        <v>1</v>
      </c>
      <c r="O3" s="112" t="s">
        <v>53</v>
      </c>
      <c r="P3" s="113"/>
      <c r="Q3" s="113"/>
      <c r="R3" s="34">
        <f>K4*L4+K5*L5</f>
        <v>6695</v>
      </c>
      <c r="S3" s="29">
        <v>1.2569999999999999</v>
      </c>
      <c r="T3" s="32">
        <f>S3*R3</f>
        <v>8415.6149999999998</v>
      </c>
      <c r="U3" s="34">
        <v>116000</v>
      </c>
      <c r="V3" s="31">
        <f>U3*T3/1000</f>
        <v>976211.34</v>
      </c>
      <c r="W3" s="138"/>
    </row>
    <row r="4" spans="2:23" ht="37.950000000000003" customHeight="1" x14ac:dyDescent="0.35">
      <c r="B4" s="143"/>
      <c r="C4" s="143"/>
      <c r="D4" s="143"/>
      <c r="E4" s="3">
        <v>1795</v>
      </c>
      <c r="F4" s="3">
        <v>2450</v>
      </c>
      <c r="G4" s="3">
        <v>1</v>
      </c>
      <c r="H4" s="3">
        <v>1</v>
      </c>
      <c r="I4" s="3" t="s">
        <v>10</v>
      </c>
      <c r="J4" s="6" t="str">
        <f>CONCATENATE($G$2,"-",$D$11,"-","3328","-","1")</f>
        <v>--3328-1</v>
      </c>
      <c r="K4" s="3">
        <f>E4</f>
        <v>1795</v>
      </c>
      <c r="L4" s="3">
        <f>G4*1</f>
        <v>1</v>
      </c>
      <c r="N4" s="15">
        <f>N3+1</f>
        <v>2</v>
      </c>
      <c r="O4" s="112" t="s">
        <v>54</v>
      </c>
      <c r="P4" s="113"/>
      <c r="Q4" s="113"/>
      <c r="R4" s="34">
        <f>K6*L6+K7*L7</f>
        <v>13012</v>
      </c>
      <c r="S4" s="29">
        <v>1.4410000000000001</v>
      </c>
      <c r="T4" s="32">
        <f t="shared" ref="T4:T6" si="0">S4*R4</f>
        <v>18750.292000000001</v>
      </c>
      <c r="U4" s="34">
        <v>116000</v>
      </c>
      <c r="V4" s="31">
        <f t="shared" ref="V4:V7" si="1">U4*T4/1000</f>
        <v>2175033.872</v>
      </c>
      <c r="W4" s="139"/>
    </row>
    <row r="5" spans="2:23" ht="37.950000000000003" customHeight="1" x14ac:dyDescent="0.35">
      <c r="B5" s="143"/>
      <c r="C5" s="143"/>
      <c r="D5" s="143"/>
      <c r="E5" s="40"/>
      <c r="F5" s="41" t="s">
        <v>46</v>
      </c>
      <c r="G5" s="41" t="s">
        <v>119</v>
      </c>
      <c r="H5" s="3">
        <f>H4+1</f>
        <v>2</v>
      </c>
      <c r="I5" s="3" t="s">
        <v>11</v>
      </c>
      <c r="J5" s="6" t="str">
        <f>CONCATENATE($G$2,"-",$D$11,"-","3328","-","2")</f>
        <v>--3328-2</v>
      </c>
      <c r="K5" s="3">
        <f>F4</f>
        <v>2450</v>
      </c>
      <c r="L5" s="3">
        <f>G4*2</f>
        <v>2</v>
      </c>
      <c r="N5" s="15">
        <f t="shared" ref="N5:N11" si="2">N4+1</f>
        <v>3</v>
      </c>
      <c r="O5" s="112" t="s">
        <v>55</v>
      </c>
      <c r="P5" s="113"/>
      <c r="Q5" s="113"/>
      <c r="R5" s="34">
        <f>R4</f>
        <v>13012</v>
      </c>
      <c r="S5" s="29">
        <v>0.27100000000000002</v>
      </c>
      <c r="T5" s="32">
        <f t="shared" si="0"/>
        <v>3526.2520000000004</v>
      </c>
      <c r="U5" s="34">
        <v>116000</v>
      </c>
      <c r="V5" s="31">
        <f t="shared" si="1"/>
        <v>409045.23200000008</v>
      </c>
      <c r="W5" s="139"/>
    </row>
    <row r="6" spans="2:23" ht="37.950000000000003" customHeight="1" x14ac:dyDescent="0.35">
      <c r="B6" s="143"/>
      <c r="C6" s="143"/>
      <c r="D6" s="143"/>
      <c r="E6" s="56"/>
      <c r="F6" s="17">
        <f>F4*E4*G4/1000</f>
        <v>4397.75</v>
      </c>
      <c r="G6" s="87">
        <f>SUM(T3:T7)</f>
        <v>33554.31</v>
      </c>
      <c r="H6" s="3">
        <f t="shared" ref="H6:H11" si="3">H5+1</f>
        <v>3</v>
      </c>
      <c r="I6" s="3" t="s">
        <v>17</v>
      </c>
      <c r="J6" s="6" t="str">
        <f>CONCATENATE($G$2,"-",$D$11,"-","3332","-","1")</f>
        <v>--3332-1</v>
      </c>
      <c r="K6" s="14">
        <f>IF(ROUNDDOWN((E4-36*2-15),0)/2&lt;0,"0",ROUNDDOWN((E4-72-15)/2,0))</f>
        <v>854</v>
      </c>
      <c r="L6" s="3">
        <f>G4*4</f>
        <v>4</v>
      </c>
      <c r="N6" s="15">
        <f t="shared" si="2"/>
        <v>4</v>
      </c>
      <c r="O6" s="112" t="s">
        <v>56</v>
      </c>
      <c r="P6" s="113"/>
      <c r="Q6" s="113"/>
      <c r="R6" s="34">
        <f>K9*L9</f>
        <v>1586</v>
      </c>
      <c r="S6" s="29">
        <v>0.47599999999999998</v>
      </c>
      <c r="T6" s="32">
        <f t="shared" si="0"/>
        <v>754.93599999999992</v>
      </c>
      <c r="U6" s="34">
        <v>116000</v>
      </c>
      <c r="V6" s="31">
        <f t="shared" si="1"/>
        <v>87572.575999999986</v>
      </c>
      <c r="W6" s="139"/>
    </row>
    <row r="7" spans="2:23" ht="37.950000000000003" customHeight="1" x14ac:dyDescent="0.35">
      <c r="B7" s="143"/>
      <c r="C7" s="143"/>
      <c r="D7" s="143"/>
      <c r="E7" s="3"/>
      <c r="F7" s="41" t="s">
        <v>42</v>
      </c>
      <c r="G7" s="41" t="s">
        <v>49</v>
      </c>
      <c r="H7" s="3">
        <f t="shared" si="3"/>
        <v>4</v>
      </c>
      <c r="I7" s="3" t="s">
        <v>18</v>
      </c>
      <c r="J7" s="6" t="str">
        <f>CONCATENATE($G$2,"-",$D$11,"-","3332","-","2")</f>
        <v>--3332-2</v>
      </c>
      <c r="K7" s="17">
        <f>IF(AND(F9="X",G9=""),K5-F8,0)+IF(AND(G9="X",F9=""),K5-G8,0)</f>
        <v>2399</v>
      </c>
      <c r="L7" s="3">
        <f>G4*4</f>
        <v>4</v>
      </c>
      <c r="N7" s="15">
        <f t="shared" si="2"/>
        <v>5</v>
      </c>
      <c r="O7" s="112" t="s">
        <v>71</v>
      </c>
      <c r="P7" s="113"/>
      <c r="Q7" s="114"/>
      <c r="R7" s="34">
        <f>K8*L8</f>
        <v>2365</v>
      </c>
      <c r="S7" s="29">
        <v>0.89100000000000001</v>
      </c>
      <c r="T7" s="32">
        <f t="shared" ref="T7" si="4">S7*R7</f>
        <v>2107.2150000000001</v>
      </c>
      <c r="U7" s="34">
        <v>116000</v>
      </c>
      <c r="V7" s="31">
        <f t="shared" si="1"/>
        <v>244436.94000000003</v>
      </c>
      <c r="W7" s="140"/>
    </row>
    <row r="8" spans="2:23" ht="37.950000000000003" customHeight="1" x14ac:dyDescent="0.35">
      <c r="B8" s="143"/>
      <c r="C8" s="143"/>
      <c r="D8" s="143"/>
      <c r="E8" s="3"/>
      <c r="F8" s="3">
        <v>51</v>
      </c>
      <c r="G8" s="3">
        <v>31</v>
      </c>
      <c r="H8" s="3">
        <f t="shared" si="3"/>
        <v>5</v>
      </c>
      <c r="I8" s="3" t="s">
        <v>16</v>
      </c>
      <c r="J8" s="6" t="str">
        <f>CONCATENATE($G$2,"-",$D$11,"-","3323A","-","1")</f>
        <v>--3323A-1</v>
      </c>
      <c r="K8" s="6">
        <f>IF(F9="x",ROUNDDOWN(K7-30-4,0),ROUNDDOWN(K7-34-19,0))</f>
        <v>2365</v>
      </c>
      <c r="L8" s="3">
        <f>G4</f>
        <v>1</v>
      </c>
      <c r="N8" s="15">
        <f t="shared" si="2"/>
        <v>6</v>
      </c>
      <c r="O8" s="112" t="s">
        <v>78</v>
      </c>
      <c r="P8" s="113"/>
      <c r="Q8" s="114"/>
      <c r="R8" s="34"/>
      <c r="S8" s="29"/>
      <c r="T8" s="76"/>
      <c r="U8" s="54">
        <v>0.05</v>
      </c>
      <c r="V8" s="34">
        <f>SUM(V3:V7)*U8</f>
        <v>194614.99800000002</v>
      </c>
      <c r="W8" s="42"/>
    </row>
    <row r="9" spans="2:23" ht="37.950000000000003" customHeight="1" x14ac:dyDescent="0.35">
      <c r="B9" s="143"/>
      <c r="C9" s="143"/>
      <c r="D9" s="143"/>
      <c r="E9" s="3"/>
      <c r="F9" s="3" t="s">
        <v>138</v>
      </c>
      <c r="G9" s="3"/>
      <c r="H9" s="3">
        <f t="shared" si="3"/>
        <v>6</v>
      </c>
      <c r="I9" s="3" t="s">
        <v>35</v>
      </c>
      <c r="J9" s="6" t="str">
        <f>CONCATENATE($G$2,"-",$D$11,"-","3329A","-","1")</f>
        <v>--3329A-1</v>
      </c>
      <c r="K9" s="6">
        <f>K6-61</f>
        <v>793</v>
      </c>
      <c r="L9" s="3">
        <f>G4*2</f>
        <v>2</v>
      </c>
      <c r="N9" s="15">
        <f t="shared" si="2"/>
        <v>7</v>
      </c>
      <c r="O9" s="112" t="s">
        <v>59</v>
      </c>
      <c r="P9" s="113"/>
      <c r="Q9" s="113"/>
      <c r="R9" s="29"/>
      <c r="S9" s="29"/>
      <c r="T9" s="33">
        <v>2</v>
      </c>
      <c r="U9" s="44">
        <v>7700</v>
      </c>
      <c r="V9" s="31">
        <f t="shared" ref="V9:V11" si="5">U9*T9</f>
        <v>15400</v>
      </c>
      <c r="W9" s="26"/>
    </row>
    <row r="10" spans="2:23" ht="37.950000000000003" customHeight="1" x14ac:dyDescent="0.35">
      <c r="B10" s="143"/>
      <c r="C10" s="143"/>
      <c r="D10" s="143"/>
      <c r="E10" s="3"/>
      <c r="F10" s="3"/>
      <c r="G10" s="3"/>
      <c r="H10" s="3">
        <f t="shared" si="3"/>
        <v>7</v>
      </c>
      <c r="I10" s="119" t="s">
        <v>15</v>
      </c>
      <c r="J10" s="3" t="s">
        <v>6</v>
      </c>
      <c r="K10" s="3" t="s">
        <v>7</v>
      </c>
      <c r="L10" s="5" t="s">
        <v>2</v>
      </c>
      <c r="N10" s="15">
        <f t="shared" si="2"/>
        <v>8</v>
      </c>
      <c r="O10" s="112" t="s">
        <v>60</v>
      </c>
      <c r="P10" s="113"/>
      <c r="Q10" s="113"/>
      <c r="R10" s="29"/>
      <c r="S10" s="29"/>
      <c r="T10" s="33">
        <v>8</v>
      </c>
      <c r="U10" s="44">
        <v>7700</v>
      </c>
      <c r="V10" s="31">
        <f t="shared" si="5"/>
        <v>61600</v>
      </c>
      <c r="W10" s="26" t="s">
        <v>73</v>
      </c>
    </row>
    <row r="11" spans="2:23" ht="37.950000000000003" customHeight="1" x14ac:dyDescent="0.35">
      <c r="B11" s="143"/>
      <c r="C11" s="143"/>
      <c r="D11" s="143"/>
      <c r="E11" s="3"/>
      <c r="F11" s="144">
        <f>K5-K7</f>
        <v>51</v>
      </c>
      <c r="G11" s="145"/>
      <c r="H11" s="3">
        <f t="shared" si="3"/>
        <v>8</v>
      </c>
      <c r="I11" s="119"/>
      <c r="J11" s="17">
        <f>IF(K6-140&gt;0,K6-140,"0")</f>
        <v>714</v>
      </c>
      <c r="K11" s="17">
        <f>IF(K7-140&gt;0,K7-140,"0")</f>
        <v>2259</v>
      </c>
      <c r="L11" s="17">
        <f>G4*2</f>
        <v>2</v>
      </c>
      <c r="N11" s="15">
        <f t="shared" si="2"/>
        <v>9</v>
      </c>
      <c r="O11" s="112" t="s">
        <v>61</v>
      </c>
      <c r="P11" s="113"/>
      <c r="Q11" s="113"/>
      <c r="R11" s="29"/>
      <c r="S11" s="29"/>
      <c r="T11" s="33">
        <f>T10*2+T9</f>
        <v>18</v>
      </c>
      <c r="U11" s="44">
        <v>100</v>
      </c>
      <c r="V11" s="31">
        <f t="shared" si="5"/>
        <v>1800</v>
      </c>
      <c r="W11" s="26" t="s">
        <v>74</v>
      </c>
    </row>
    <row r="12" spans="2:23" ht="37.950000000000003" customHeight="1" x14ac:dyDescent="0.35"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>
        <f>J11*K11*L11/1000000</f>
        <v>3.2258520000000002</v>
      </c>
      <c r="N12" s="15">
        <f>N11+1</f>
        <v>10</v>
      </c>
      <c r="O12" s="125" t="s">
        <v>65</v>
      </c>
      <c r="P12" s="126"/>
      <c r="Q12" s="126"/>
      <c r="R12" s="126"/>
      <c r="S12" s="127"/>
      <c r="T12" s="35"/>
      <c r="U12" s="36"/>
      <c r="V12" s="86">
        <f>SUM(V3:V11)</f>
        <v>4165714.9580000001</v>
      </c>
      <c r="W12" s="26"/>
    </row>
    <row r="13" spans="2:23" ht="37.950000000000003" customHeight="1" x14ac:dyDescent="0.35"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53">
        <v>225000</v>
      </c>
      <c r="N13" s="24" t="s">
        <v>14</v>
      </c>
      <c r="O13" s="117" t="s">
        <v>51</v>
      </c>
      <c r="P13" s="117"/>
      <c r="Q13" s="117"/>
      <c r="R13" s="24" t="s">
        <v>52</v>
      </c>
      <c r="S13" s="30" t="s">
        <v>58</v>
      </c>
      <c r="T13" s="30"/>
      <c r="U13" s="24" t="s">
        <v>44</v>
      </c>
      <c r="V13" s="24" t="s">
        <v>45</v>
      </c>
      <c r="W13" s="26"/>
    </row>
    <row r="14" spans="2:23" ht="37.950000000000003" customHeight="1" x14ac:dyDescent="0.4">
      <c r="B14" s="115"/>
      <c r="C14" s="115"/>
      <c r="D14" s="130"/>
      <c r="E14" s="130"/>
      <c r="F14" s="130"/>
      <c r="G14" s="130"/>
      <c r="H14" s="130"/>
      <c r="I14" s="130"/>
      <c r="J14" s="115"/>
      <c r="K14" s="115"/>
      <c r="L14" s="98">
        <f>L12*L13</f>
        <v>725816.70000000007</v>
      </c>
      <c r="N14" s="15">
        <v>1</v>
      </c>
      <c r="O14" s="112" t="s">
        <v>66</v>
      </c>
      <c r="P14" s="113"/>
      <c r="Q14" s="113"/>
      <c r="R14" s="38">
        <f>R3+R4+R7</f>
        <v>22072</v>
      </c>
      <c r="S14" s="2">
        <v>1</v>
      </c>
      <c r="T14" s="39"/>
      <c r="U14" s="38">
        <v>1000</v>
      </c>
      <c r="V14" s="38">
        <f>U14*R14*S14/1000</f>
        <v>22072</v>
      </c>
      <c r="W14" s="26"/>
    </row>
    <row r="15" spans="2:23" ht="37.950000000000003" customHeight="1" x14ac:dyDescent="0.4">
      <c r="B15" s="115"/>
      <c r="C15" s="115"/>
      <c r="D15" s="130"/>
      <c r="E15" s="130"/>
      <c r="F15" s="130"/>
      <c r="G15" s="130"/>
      <c r="H15" s="130"/>
      <c r="I15" s="130"/>
      <c r="J15" s="115"/>
      <c r="K15" s="115"/>
      <c r="L15" s="98">
        <v>1200000</v>
      </c>
      <c r="N15" s="15">
        <f>N14+1</f>
        <v>2</v>
      </c>
      <c r="O15" s="112" t="s">
        <v>47</v>
      </c>
      <c r="P15" s="113"/>
      <c r="Q15" s="113"/>
      <c r="R15" s="38">
        <f>R4*2</f>
        <v>26024</v>
      </c>
      <c r="S15" s="2">
        <v>1</v>
      </c>
      <c r="T15" s="39"/>
      <c r="U15" s="38">
        <v>1000</v>
      </c>
      <c r="V15" s="38">
        <f>U15*R15*S15/1000</f>
        <v>26024</v>
      </c>
      <c r="W15" s="26"/>
    </row>
    <row r="16" spans="2:23" ht="37.950000000000003" customHeight="1" x14ac:dyDescent="0.35">
      <c r="B16" s="115"/>
      <c r="C16" s="115"/>
      <c r="D16" s="130"/>
      <c r="E16" s="130"/>
      <c r="F16" s="130"/>
      <c r="G16" s="130"/>
      <c r="H16" s="130"/>
      <c r="I16" s="130"/>
      <c r="J16" s="115"/>
      <c r="K16" s="115"/>
      <c r="L16" s="53"/>
      <c r="N16" s="15">
        <f t="shared" ref="N16:N20" si="6">N15+1</f>
        <v>3</v>
      </c>
      <c r="O16" s="112" t="s">
        <v>67</v>
      </c>
      <c r="P16" s="113"/>
      <c r="Q16" s="113"/>
      <c r="R16" s="38"/>
      <c r="S16" s="2">
        <v>2</v>
      </c>
      <c r="T16" s="39"/>
      <c r="U16" s="38">
        <v>2500</v>
      </c>
      <c r="V16" s="38">
        <f>U16*S16</f>
        <v>5000</v>
      </c>
      <c r="W16" s="26" t="s">
        <v>75</v>
      </c>
    </row>
    <row r="17" spans="2:23" ht="37.950000000000003" customHeight="1" x14ac:dyDescent="0.35">
      <c r="B17" s="115"/>
      <c r="C17" s="115"/>
      <c r="D17" s="115"/>
      <c r="E17" s="115"/>
      <c r="F17" s="115"/>
      <c r="G17" s="115"/>
      <c r="H17" s="130"/>
      <c r="I17" s="130"/>
      <c r="J17" s="115"/>
      <c r="K17" s="115"/>
      <c r="L17" s="53"/>
      <c r="N17" s="15">
        <f t="shared" si="6"/>
        <v>4</v>
      </c>
      <c r="O17" s="112" t="s">
        <v>72</v>
      </c>
      <c r="P17" s="113"/>
      <c r="Q17" s="113"/>
      <c r="R17" s="38"/>
      <c r="S17" s="2">
        <v>1</v>
      </c>
      <c r="T17" s="39"/>
      <c r="U17" s="38">
        <v>2500</v>
      </c>
      <c r="V17" s="38">
        <f>U17*S17</f>
        <v>2500</v>
      </c>
      <c r="W17" s="26" t="s">
        <v>76</v>
      </c>
    </row>
    <row r="18" spans="2:23" ht="37.950000000000003" customHeight="1" x14ac:dyDescent="0.35">
      <c r="B18" s="115"/>
      <c r="C18" s="115"/>
      <c r="D18" s="130"/>
      <c r="E18" s="130"/>
      <c r="F18" s="130"/>
      <c r="G18" s="130"/>
      <c r="H18" s="130"/>
      <c r="I18" s="130"/>
      <c r="J18" s="115"/>
      <c r="K18" s="115"/>
      <c r="L18" s="53"/>
      <c r="N18" s="15">
        <f t="shared" si="6"/>
        <v>5</v>
      </c>
      <c r="O18" s="112" t="s">
        <v>68</v>
      </c>
      <c r="P18" s="113"/>
      <c r="Q18" s="114"/>
      <c r="R18" s="38"/>
      <c r="S18" s="56">
        <v>1</v>
      </c>
      <c r="T18" s="39"/>
      <c r="U18" s="38">
        <v>1000</v>
      </c>
      <c r="V18" s="38">
        <f t="shared" ref="V18:V19" si="7">U18*S18</f>
        <v>1000</v>
      </c>
      <c r="W18" s="26"/>
    </row>
    <row r="19" spans="2:23" ht="37.950000000000003" customHeight="1" x14ac:dyDescent="0.35">
      <c r="B19" s="115"/>
      <c r="C19" s="115"/>
      <c r="D19" s="115"/>
      <c r="E19" s="115"/>
      <c r="F19" s="115"/>
      <c r="G19" s="115"/>
      <c r="H19" s="130"/>
      <c r="I19" s="130"/>
      <c r="J19" s="115"/>
      <c r="K19" s="115"/>
      <c r="L19" s="53"/>
      <c r="N19" s="15">
        <f t="shared" si="6"/>
        <v>6</v>
      </c>
      <c r="O19" s="112" t="s">
        <v>70</v>
      </c>
      <c r="P19" s="113"/>
      <c r="Q19" s="114"/>
      <c r="R19" s="38"/>
      <c r="S19" s="2">
        <v>1</v>
      </c>
      <c r="T19" s="39"/>
      <c r="U19" s="38">
        <v>2000</v>
      </c>
      <c r="V19" s="38">
        <f t="shared" si="7"/>
        <v>2000</v>
      </c>
      <c r="W19" s="26" t="s">
        <v>77</v>
      </c>
    </row>
    <row r="20" spans="2:23" ht="37.950000000000003" customHeight="1" x14ac:dyDescent="0.35">
      <c r="B20" s="115"/>
      <c r="C20" s="115"/>
      <c r="D20" s="115"/>
      <c r="E20" s="115"/>
      <c r="F20" s="115"/>
      <c r="G20" s="115"/>
      <c r="H20" s="137"/>
      <c r="I20" s="137"/>
      <c r="J20" s="115"/>
      <c r="K20" s="115"/>
      <c r="L20" s="53"/>
      <c r="N20" s="15">
        <f t="shared" si="6"/>
        <v>7</v>
      </c>
      <c r="O20" s="133" t="s">
        <v>69</v>
      </c>
      <c r="P20" s="133"/>
      <c r="Q20" s="133"/>
      <c r="R20" s="133"/>
      <c r="S20" s="133"/>
      <c r="T20" s="35"/>
      <c r="U20" s="36"/>
      <c r="V20" s="37">
        <f>SUM(V14:V19)</f>
        <v>58596</v>
      </c>
      <c r="W20" s="26"/>
    </row>
    <row r="21" spans="2:23" ht="75" customHeight="1" x14ac:dyDescent="0.4">
      <c r="B21" s="115"/>
      <c r="C21" s="115"/>
      <c r="D21" s="115"/>
      <c r="E21" s="115"/>
      <c r="F21" s="115"/>
      <c r="G21" s="115"/>
      <c r="H21" s="130"/>
      <c r="I21" s="130"/>
      <c r="J21" s="115"/>
      <c r="K21" s="115"/>
      <c r="L21" s="53"/>
      <c r="N21" s="96"/>
      <c r="O21" s="134" t="s">
        <v>137</v>
      </c>
      <c r="P21" s="135"/>
      <c r="Q21" s="135"/>
      <c r="R21" s="135"/>
      <c r="S21" s="135"/>
      <c r="T21" s="135"/>
      <c r="U21" s="136"/>
      <c r="V21" s="98">
        <f>V12+V20</f>
        <v>4224310.9580000006</v>
      </c>
      <c r="W21" s="97"/>
    </row>
    <row r="22" spans="2:23" ht="37.950000000000003" customHeight="1" x14ac:dyDescent="0.35">
      <c r="N22" s="51"/>
      <c r="O22" s="132"/>
      <c r="P22" s="132"/>
      <c r="Q22" s="47"/>
      <c r="R22" s="45"/>
      <c r="S22" s="45"/>
      <c r="T22" s="48"/>
      <c r="U22" s="45"/>
      <c r="V22" s="49">
        <f>F6*250</f>
        <v>1099437.5</v>
      </c>
      <c r="W22" s="109">
        <f>V22+V21+L16+L15+L14</f>
        <v>7249565.1580000008</v>
      </c>
    </row>
    <row r="23" spans="2:23" ht="37.950000000000003" customHeight="1" x14ac:dyDescent="0.4">
      <c r="N23" s="51"/>
      <c r="O23" s="141">
        <f>F6*2400</f>
        <v>10554600</v>
      </c>
      <c r="P23" s="142"/>
      <c r="Q23" s="47"/>
      <c r="R23" s="45"/>
      <c r="S23" s="45"/>
      <c r="T23" s="48">
        <f>U23/F6</f>
        <v>1210.5618686828493</v>
      </c>
      <c r="U23" s="45">
        <f>V22+V21</f>
        <v>5323748.4580000006</v>
      </c>
      <c r="V23" s="49">
        <f>V22+V21+U24+L14</f>
        <v>7318565.1580000008</v>
      </c>
      <c r="W23" s="110">
        <f>W22/F6</f>
        <v>1648.4714133363655</v>
      </c>
    </row>
    <row r="24" spans="2:23" ht="37.950000000000003" customHeight="1" x14ac:dyDescent="0.35">
      <c r="N24" s="51"/>
      <c r="O24" s="132"/>
      <c r="P24" s="132"/>
      <c r="Q24" s="47"/>
      <c r="R24" s="45"/>
      <c r="S24" s="45"/>
      <c r="T24" s="48">
        <f>V23+L14</f>
        <v>8044381.8580000009</v>
      </c>
      <c r="U24" s="45">
        <v>1269000</v>
      </c>
      <c r="V24" s="49">
        <f>V23</f>
        <v>7318565.1580000008</v>
      </c>
      <c r="W24" s="108">
        <f>V23/V26</f>
        <v>0.66566450189301352</v>
      </c>
    </row>
    <row r="25" spans="2:23" ht="37.950000000000003" customHeight="1" x14ac:dyDescent="0.35">
      <c r="N25" s="51"/>
      <c r="O25" s="132"/>
      <c r="P25" s="132"/>
      <c r="Q25" s="47"/>
      <c r="R25" s="45"/>
      <c r="S25" s="45"/>
      <c r="T25" s="48"/>
      <c r="U25" s="45">
        <f>F6*3700</f>
        <v>16271675</v>
      </c>
      <c r="V25" s="49">
        <f>V23*10%</f>
        <v>731856.51580000017</v>
      </c>
      <c r="W25" s="46"/>
    </row>
    <row r="26" spans="2:23" ht="37.950000000000003" customHeight="1" x14ac:dyDescent="0.35">
      <c r="N26" s="51"/>
      <c r="O26" s="132"/>
      <c r="P26" s="132"/>
      <c r="Q26" s="47"/>
      <c r="R26" s="45"/>
      <c r="S26" s="45"/>
      <c r="T26" s="50"/>
      <c r="U26" s="45"/>
      <c r="V26" s="49">
        <f>F6*2500</f>
        <v>10994375</v>
      </c>
      <c r="W26" s="46"/>
    </row>
    <row r="27" spans="2:23" ht="37.950000000000003" customHeight="1" x14ac:dyDescent="0.35">
      <c r="N27" s="51"/>
      <c r="O27" s="132"/>
      <c r="P27" s="132"/>
      <c r="Q27" s="47"/>
      <c r="R27" s="45"/>
      <c r="S27" s="45"/>
      <c r="T27" s="50"/>
      <c r="U27" s="45"/>
      <c r="V27" s="49"/>
      <c r="W27" s="46"/>
    </row>
    <row r="28" spans="2:23" ht="37.950000000000003" customHeight="1" x14ac:dyDescent="0.35">
      <c r="N28" s="51"/>
      <c r="O28" s="132"/>
      <c r="P28" s="132"/>
      <c r="Q28" s="47"/>
      <c r="R28" s="45"/>
      <c r="S28" s="45"/>
      <c r="T28" s="50"/>
      <c r="U28" s="45"/>
      <c r="V28" s="49"/>
      <c r="W28" s="46"/>
    </row>
    <row r="29" spans="2:23" ht="37.950000000000003" customHeight="1" x14ac:dyDescent="0.35">
      <c r="N29" s="51"/>
      <c r="O29" s="131"/>
      <c r="P29" s="131"/>
      <c r="Q29" s="131"/>
      <c r="R29" s="131"/>
      <c r="S29" s="131"/>
      <c r="T29" s="52"/>
      <c r="U29" s="45"/>
      <c r="V29" s="49"/>
      <c r="W29" s="46"/>
    </row>
  </sheetData>
  <mergeCells count="76">
    <mergeCell ref="B1:L1"/>
    <mergeCell ref="H2:H3"/>
    <mergeCell ref="I10:I11"/>
    <mergeCell ref="O7:Q7"/>
    <mergeCell ref="O9:Q9"/>
    <mergeCell ref="O10:Q10"/>
    <mergeCell ref="O11:Q11"/>
    <mergeCell ref="B2:F2"/>
    <mergeCell ref="I2:L2"/>
    <mergeCell ref="B3:D11"/>
    <mergeCell ref="F11:G11"/>
    <mergeCell ref="O25:P25"/>
    <mergeCell ref="O26:P26"/>
    <mergeCell ref="O27:P27"/>
    <mergeCell ref="O28:P28"/>
    <mergeCell ref="O29:S29"/>
    <mergeCell ref="O20:S20"/>
    <mergeCell ref="O22:P22"/>
    <mergeCell ref="O23:P23"/>
    <mergeCell ref="O24:P24"/>
    <mergeCell ref="O21:U21"/>
    <mergeCell ref="O14:Q14"/>
    <mergeCell ref="O15:Q15"/>
    <mergeCell ref="O16:Q16"/>
    <mergeCell ref="O18:Q18"/>
    <mergeCell ref="O19:Q19"/>
    <mergeCell ref="O17:Q17"/>
    <mergeCell ref="O13:Q13"/>
    <mergeCell ref="N1:W1"/>
    <mergeCell ref="O2:Q2"/>
    <mergeCell ref="O3:Q3"/>
    <mergeCell ref="O4:Q4"/>
    <mergeCell ref="O5:Q5"/>
    <mergeCell ref="O6:Q6"/>
    <mergeCell ref="W3:W7"/>
    <mergeCell ref="O8:Q8"/>
    <mergeCell ref="O12:S12"/>
    <mergeCell ref="B13:C13"/>
    <mergeCell ref="D13:E13"/>
    <mergeCell ref="F13:G13"/>
    <mergeCell ref="H13:I13"/>
    <mergeCell ref="J13:K13"/>
    <mergeCell ref="B14:C14"/>
    <mergeCell ref="D14:E14"/>
    <mergeCell ref="F14:G14"/>
    <mergeCell ref="H14:I14"/>
    <mergeCell ref="J14:K14"/>
    <mergeCell ref="B15:C15"/>
    <mergeCell ref="D15:E15"/>
    <mergeCell ref="F15:G15"/>
    <mergeCell ref="H15:I15"/>
    <mergeCell ref="J15:K15"/>
    <mergeCell ref="B16:C16"/>
    <mergeCell ref="D16:E16"/>
    <mergeCell ref="F16:G16"/>
    <mergeCell ref="H16:I16"/>
    <mergeCell ref="J16:K16"/>
    <mergeCell ref="B17:G17"/>
    <mergeCell ref="H17:I17"/>
    <mergeCell ref="J17:K17"/>
    <mergeCell ref="B18:C18"/>
    <mergeCell ref="D18:E18"/>
    <mergeCell ref="F18:G18"/>
    <mergeCell ref="H18:I18"/>
    <mergeCell ref="J18:K18"/>
    <mergeCell ref="B19:G19"/>
    <mergeCell ref="H19:I19"/>
    <mergeCell ref="J19:K19"/>
    <mergeCell ref="B20:G20"/>
    <mergeCell ref="H20:I20"/>
    <mergeCell ref="J20:K20"/>
    <mergeCell ref="B21:C21"/>
    <mergeCell ref="D21:E21"/>
    <mergeCell ref="F21:G21"/>
    <mergeCell ref="H21:I21"/>
    <mergeCell ref="J21:K2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W37"/>
  <sheetViews>
    <sheetView zoomScale="40" zoomScaleNormal="40" zoomScalePageLayoutView="75" workbookViewId="0">
      <selection activeCell="O16" sqref="O16:Q16"/>
    </sheetView>
  </sheetViews>
  <sheetFormatPr defaultColWidth="17.109375" defaultRowHeight="46.2" customHeight="1" x14ac:dyDescent="0.35"/>
  <cols>
    <col min="1" max="11" width="17.109375" style="1"/>
    <col min="12" max="12" width="19.88671875" style="1" customWidth="1"/>
    <col min="13" max="13" width="17.109375" style="1"/>
    <col min="14" max="14" width="12" style="1" customWidth="1"/>
    <col min="15" max="19" width="17.109375" style="1"/>
    <col min="20" max="20" width="19.88671875" style="1" customWidth="1"/>
    <col min="21" max="21" width="17.109375" style="1"/>
    <col min="22" max="22" width="24.21875" style="1" customWidth="1"/>
    <col min="23" max="23" width="34.21875" style="1" customWidth="1"/>
    <col min="24" max="16384" width="17.109375" style="1"/>
  </cols>
  <sheetData>
    <row r="1" spans="2:23" ht="46.2" customHeight="1" x14ac:dyDescent="0.45">
      <c r="B1" s="116" t="s">
        <v>50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N1" s="116" t="s">
        <v>64</v>
      </c>
      <c r="O1" s="116"/>
      <c r="P1" s="116"/>
      <c r="Q1" s="116"/>
      <c r="R1" s="116"/>
      <c r="S1" s="116"/>
      <c r="T1" s="116"/>
      <c r="U1" s="116"/>
      <c r="V1" s="116"/>
      <c r="W1" s="116"/>
    </row>
    <row r="2" spans="2:23" ht="66" customHeight="1" x14ac:dyDescent="0.35">
      <c r="B2" s="118"/>
      <c r="C2" s="118"/>
      <c r="D2" s="118"/>
      <c r="E2" s="118"/>
      <c r="F2" s="118"/>
      <c r="G2" s="8"/>
      <c r="H2" s="119" t="s">
        <v>14</v>
      </c>
      <c r="I2" s="118" t="s">
        <v>9</v>
      </c>
      <c r="J2" s="118"/>
      <c r="K2" s="118"/>
      <c r="L2" s="118"/>
      <c r="N2" s="24" t="s">
        <v>14</v>
      </c>
      <c r="O2" s="117" t="s">
        <v>51</v>
      </c>
      <c r="P2" s="117"/>
      <c r="Q2" s="117"/>
      <c r="R2" s="24" t="s">
        <v>52</v>
      </c>
      <c r="S2" s="30" t="s">
        <v>62</v>
      </c>
      <c r="T2" s="30" t="s">
        <v>63</v>
      </c>
      <c r="U2" s="24" t="s">
        <v>44</v>
      </c>
      <c r="V2" s="24" t="s">
        <v>45</v>
      </c>
      <c r="W2" s="24" t="s">
        <v>39</v>
      </c>
    </row>
    <row r="3" spans="2:23" ht="46.2" customHeight="1" x14ac:dyDescent="0.35">
      <c r="B3" s="143"/>
      <c r="C3" s="143"/>
      <c r="D3" s="143"/>
      <c r="E3" s="3" t="s">
        <v>0</v>
      </c>
      <c r="F3" s="3" t="s">
        <v>1</v>
      </c>
      <c r="G3" s="3" t="s">
        <v>2</v>
      </c>
      <c r="H3" s="119"/>
      <c r="I3" s="9" t="s">
        <v>4</v>
      </c>
      <c r="J3" s="9" t="s">
        <v>3</v>
      </c>
      <c r="K3" s="9" t="s">
        <v>5</v>
      </c>
      <c r="L3" s="9" t="s">
        <v>2</v>
      </c>
      <c r="N3" s="15">
        <v>1</v>
      </c>
      <c r="O3" s="112" t="s">
        <v>53</v>
      </c>
      <c r="P3" s="113"/>
      <c r="Q3" s="113"/>
      <c r="R3" s="34">
        <f>K4*L4+K5*L5</f>
        <v>8720</v>
      </c>
      <c r="S3" s="29">
        <v>1.2569999999999999</v>
      </c>
      <c r="T3" s="32">
        <f>S3*R3</f>
        <v>10961.039999999999</v>
      </c>
      <c r="U3" s="34">
        <v>122000</v>
      </c>
      <c r="V3" s="31">
        <f>U3*T3/1000</f>
        <v>1337246.8799999999</v>
      </c>
      <c r="W3" s="80"/>
    </row>
    <row r="4" spans="2:23" ht="46.2" customHeight="1" x14ac:dyDescent="0.35">
      <c r="B4" s="143"/>
      <c r="C4" s="143"/>
      <c r="D4" s="143"/>
      <c r="E4" s="3">
        <v>2950</v>
      </c>
      <c r="F4" s="3">
        <v>2885</v>
      </c>
      <c r="G4" s="3">
        <v>1</v>
      </c>
      <c r="H4" s="6">
        <v>1</v>
      </c>
      <c r="I4" s="3" t="s">
        <v>10</v>
      </c>
      <c r="J4" s="6" t="str">
        <f>CONCATENATE($G$2,"-",$D$11,"-","3328","-","1")</f>
        <v>--3328-1</v>
      </c>
      <c r="K4" s="3">
        <f>E4</f>
        <v>2950</v>
      </c>
      <c r="L4" s="3">
        <f>G4*1</f>
        <v>1</v>
      </c>
      <c r="N4" s="15">
        <f>N3+1</f>
        <v>2</v>
      </c>
      <c r="O4" s="112" t="s">
        <v>54</v>
      </c>
      <c r="P4" s="113"/>
      <c r="Q4" s="113"/>
      <c r="R4" s="34">
        <f>K6*L6+K7*L7</f>
        <v>28376</v>
      </c>
      <c r="S4" s="29">
        <v>1.4410000000000001</v>
      </c>
      <c r="T4" s="32">
        <f t="shared" ref="T4:T7" si="0">S4*R4</f>
        <v>40889.815999999999</v>
      </c>
      <c r="U4" s="34">
        <v>122000</v>
      </c>
      <c r="V4" s="31">
        <f>U4*T4/1000</f>
        <v>4988557.5520000001</v>
      </c>
      <c r="W4" s="80"/>
    </row>
    <row r="5" spans="2:23" ht="46.2" customHeight="1" x14ac:dyDescent="0.35">
      <c r="B5" s="143"/>
      <c r="C5" s="143"/>
      <c r="D5" s="143"/>
      <c r="E5" s="88"/>
      <c r="F5" s="41" t="s">
        <v>46</v>
      </c>
      <c r="G5" s="41" t="s">
        <v>119</v>
      </c>
      <c r="H5" s="6">
        <f>H4+1</f>
        <v>2</v>
      </c>
      <c r="I5" s="3" t="s">
        <v>11</v>
      </c>
      <c r="J5" s="6" t="str">
        <f>CONCATENATE($G$2,"-",$D$11,"-","3328","-","2")</f>
        <v>--3328-2</v>
      </c>
      <c r="K5" s="3">
        <f>F4</f>
        <v>2885</v>
      </c>
      <c r="L5" s="3">
        <f>G4*2</f>
        <v>2</v>
      </c>
      <c r="N5" s="15">
        <f t="shared" ref="N5:N12" si="1">N4+1</f>
        <v>3</v>
      </c>
      <c r="O5" s="112" t="s">
        <v>55</v>
      </c>
      <c r="P5" s="113"/>
      <c r="Q5" s="113"/>
      <c r="R5" s="34">
        <f>R4</f>
        <v>28376</v>
      </c>
      <c r="S5" s="29">
        <v>0.27100000000000002</v>
      </c>
      <c r="T5" s="32">
        <f t="shared" si="0"/>
        <v>7689.8960000000006</v>
      </c>
      <c r="U5" s="34">
        <v>122000</v>
      </c>
      <c r="V5" s="31">
        <f t="shared" ref="V5:V7" si="2">U5*T5/1000</f>
        <v>938167.31200000015</v>
      </c>
      <c r="W5" s="80"/>
    </row>
    <row r="6" spans="2:23" ht="46.2" customHeight="1" x14ac:dyDescent="0.35">
      <c r="B6" s="143"/>
      <c r="C6" s="143"/>
      <c r="D6" s="143"/>
      <c r="E6" s="56"/>
      <c r="F6" s="17">
        <f>F4*E4/1000</f>
        <v>8510.75</v>
      </c>
      <c r="G6" s="87">
        <f>SUM(T3:T7)</f>
        <v>71023.551999999996</v>
      </c>
      <c r="H6" s="6">
        <f t="shared" ref="H6:H11" si="3">H5+1</f>
        <v>3</v>
      </c>
      <c r="I6" s="3" t="s">
        <v>17</v>
      </c>
      <c r="J6" s="6" t="str">
        <f>CONCATENATE($G$2,"-",$D$11,"-","3332","-","1")</f>
        <v>--3332-1</v>
      </c>
      <c r="K6" s="3">
        <f>IF((E4-36*2-25)/4&lt;0,"0",ROUNDDOWN((E4-72-25)/4,0))</f>
        <v>713</v>
      </c>
      <c r="L6" s="3">
        <f>G4*8</f>
        <v>8</v>
      </c>
      <c r="N6" s="15">
        <f t="shared" si="1"/>
        <v>4</v>
      </c>
      <c r="O6" s="112" t="s">
        <v>56</v>
      </c>
      <c r="P6" s="113"/>
      <c r="Q6" s="113"/>
      <c r="R6" s="34">
        <f>K8*L8</f>
        <v>8400</v>
      </c>
      <c r="S6" s="29">
        <v>0.47599999999999998</v>
      </c>
      <c r="T6" s="32">
        <f t="shared" si="0"/>
        <v>3998.3999999999996</v>
      </c>
      <c r="U6" s="34">
        <v>122000</v>
      </c>
      <c r="V6" s="31">
        <f t="shared" si="2"/>
        <v>487804.79999999993</v>
      </c>
      <c r="W6" s="80"/>
    </row>
    <row r="7" spans="2:23" ht="46.2" customHeight="1" x14ac:dyDescent="0.35">
      <c r="B7" s="143"/>
      <c r="C7" s="143"/>
      <c r="D7" s="143"/>
      <c r="E7" s="3"/>
      <c r="F7" s="41" t="s">
        <v>42</v>
      </c>
      <c r="G7" s="41" t="s">
        <v>49</v>
      </c>
      <c r="H7" s="6">
        <f t="shared" si="3"/>
        <v>4</v>
      </c>
      <c r="I7" s="3" t="s">
        <v>18</v>
      </c>
      <c r="J7" s="6" t="str">
        <f>CONCATENATE($G$2,"-",$D$11,"-","3332","-","2")</f>
        <v>--3332-2</v>
      </c>
      <c r="K7" s="17">
        <f>IF(AND(F9="X",G9=""),K5-F8,0)+IF(AND(G9="X",F9=""),K5-G8,0)</f>
        <v>2834</v>
      </c>
      <c r="L7" s="3">
        <f>G4*8</f>
        <v>8</v>
      </c>
      <c r="N7" s="15">
        <f t="shared" si="1"/>
        <v>5</v>
      </c>
      <c r="O7" s="112" t="s">
        <v>71</v>
      </c>
      <c r="P7" s="113"/>
      <c r="Q7" s="114"/>
      <c r="R7" s="34">
        <f>K8*L8</f>
        <v>8400</v>
      </c>
      <c r="S7" s="29">
        <v>0.89100000000000001</v>
      </c>
      <c r="T7" s="32">
        <f t="shared" si="0"/>
        <v>7484.4000000000005</v>
      </c>
      <c r="U7" s="34">
        <v>122000</v>
      </c>
      <c r="V7" s="31">
        <f t="shared" si="2"/>
        <v>913096.80000000016</v>
      </c>
      <c r="W7" s="42"/>
    </row>
    <row r="8" spans="2:23" ht="46.2" customHeight="1" x14ac:dyDescent="0.35">
      <c r="B8" s="143"/>
      <c r="C8" s="143"/>
      <c r="D8" s="143"/>
      <c r="E8" s="3"/>
      <c r="F8" s="3">
        <v>51</v>
      </c>
      <c r="G8" s="3">
        <v>31</v>
      </c>
      <c r="H8" s="6">
        <f t="shared" si="3"/>
        <v>5</v>
      </c>
      <c r="I8" s="3" t="s">
        <v>16</v>
      </c>
      <c r="J8" s="6" t="str">
        <f>CONCATENATE($G$2,"-",$D$11,"-","3323A","-","1")</f>
        <v>--3323A-1</v>
      </c>
      <c r="K8" s="6">
        <f>IF(F9="x",ROUNDDOWN(K7-30-4,0),ROUNDDOWN(K7-34-19,0))</f>
        <v>2800</v>
      </c>
      <c r="L8" s="3">
        <f>G4*3</f>
        <v>3</v>
      </c>
      <c r="N8" s="15">
        <f t="shared" si="1"/>
        <v>6</v>
      </c>
      <c r="O8" s="112" t="s">
        <v>78</v>
      </c>
      <c r="P8" s="113"/>
      <c r="Q8" s="114"/>
      <c r="R8" s="34"/>
      <c r="S8" s="29"/>
      <c r="T8" s="76"/>
      <c r="U8" s="54">
        <v>0.05</v>
      </c>
      <c r="V8" s="34">
        <f>SUM(V3:V7)*U8</f>
        <v>433243.66720000003</v>
      </c>
      <c r="W8" s="42"/>
    </row>
    <row r="9" spans="2:23" ht="46.2" customHeight="1" x14ac:dyDescent="0.35">
      <c r="B9" s="143"/>
      <c r="C9" s="143"/>
      <c r="D9" s="143"/>
      <c r="E9" s="3"/>
      <c r="F9" s="3" t="s">
        <v>43</v>
      </c>
      <c r="G9" s="3"/>
      <c r="H9" s="6">
        <f t="shared" si="3"/>
        <v>6</v>
      </c>
      <c r="I9" s="3" t="s">
        <v>35</v>
      </c>
      <c r="J9" s="6" t="str">
        <f>CONCATENATE($G$2,"-",$D$11,"-","3329A","-","1")</f>
        <v>--3329A-1</v>
      </c>
      <c r="K9" s="6">
        <f>K6-61</f>
        <v>652</v>
      </c>
      <c r="L9" s="3">
        <f>G4*4</f>
        <v>4</v>
      </c>
      <c r="N9" s="15">
        <f t="shared" si="1"/>
        <v>7</v>
      </c>
      <c r="O9" s="112" t="s">
        <v>59</v>
      </c>
      <c r="P9" s="113"/>
      <c r="Q9" s="113"/>
      <c r="R9" s="29"/>
      <c r="S9" s="29"/>
      <c r="T9" s="33">
        <v>2</v>
      </c>
      <c r="U9" s="34">
        <v>7700</v>
      </c>
      <c r="V9" s="31">
        <f t="shared" ref="V9:V11" si="4">U9*T9</f>
        <v>15400</v>
      </c>
      <c r="W9" s="15"/>
    </row>
    <row r="10" spans="2:23" ht="46.2" customHeight="1" x14ac:dyDescent="0.35">
      <c r="B10" s="143"/>
      <c r="C10" s="143"/>
      <c r="D10" s="143"/>
      <c r="E10" s="3"/>
      <c r="F10" s="3"/>
      <c r="G10" s="3"/>
      <c r="H10" s="6">
        <f t="shared" si="3"/>
        <v>7</v>
      </c>
      <c r="I10" s="146" t="s">
        <v>15</v>
      </c>
      <c r="J10" s="3" t="s">
        <v>6</v>
      </c>
      <c r="K10" s="3" t="s">
        <v>7</v>
      </c>
      <c r="L10" s="5" t="s">
        <v>2</v>
      </c>
      <c r="N10" s="15">
        <f t="shared" si="1"/>
        <v>8</v>
      </c>
      <c r="O10" s="112" t="s">
        <v>60</v>
      </c>
      <c r="P10" s="113"/>
      <c r="Q10" s="113"/>
      <c r="R10" s="29"/>
      <c r="S10" s="29"/>
      <c r="T10" s="33">
        <v>16</v>
      </c>
      <c r="U10" s="34">
        <v>7700</v>
      </c>
      <c r="V10" s="31">
        <f t="shared" si="4"/>
        <v>123200</v>
      </c>
      <c r="W10" s="26" t="s">
        <v>73</v>
      </c>
    </row>
    <row r="11" spans="2:23" ht="46.2" customHeight="1" x14ac:dyDescent="0.35">
      <c r="B11" s="143"/>
      <c r="C11" s="143"/>
      <c r="D11" s="143"/>
      <c r="E11" s="3"/>
      <c r="F11" s="144">
        <f>K5-K7</f>
        <v>51</v>
      </c>
      <c r="G11" s="145"/>
      <c r="H11" s="6">
        <f t="shared" si="3"/>
        <v>8</v>
      </c>
      <c r="I11" s="146"/>
      <c r="J11" s="17">
        <f>IF(K6-145&gt;0,K6-145,"0")</f>
        <v>568</v>
      </c>
      <c r="K11" s="17">
        <f>IF(K7-140&gt;0,K7-140,"0")</f>
        <v>2694</v>
      </c>
      <c r="L11" s="17">
        <f>G4*4</f>
        <v>4</v>
      </c>
      <c r="N11" s="15">
        <f t="shared" si="1"/>
        <v>9</v>
      </c>
      <c r="O11" s="112" t="s">
        <v>61</v>
      </c>
      <c r="P11" s="113"/>
      <c r="Q11" s="113"/>
      <c r="R11" s="29"/>
      <c r="S11" s="29"/>
      <c r="T11" s="33">
        <f>T10*2+T9</f>
        <v>34</v>
      </c>
      <c r="U11" s="34">
        <v>100</v>
      </c>
      <c r="V11" s="31">
        <f t="shared" si="4"/>
        <v>3400</v>
      </c>
      <c r="W11" s="26" t="s">
        <v>74</v>
      </c>
    </row>
    <row r="12" spans="2:23" ht="46.2" customHeight="1" x14ac:dyDescent="0.35">
      <c r="L12" s="1">
        <f>J11*K11*L11/1000000</f>
        <v>6.120768</v>
      </c>
      <c r="N12" s="15">
        <f t="shared" si="1"/>
        <v>10</v>
      </c>
      <c r="O12" s="125" t="s">
        <v>65</v>
      </c>
      <c r="P12" s="126"/>
      <c r="Q12" s="126"/>
      <c r="R12" s="126"/>
      <c r="S12" s="127"/>
      <c r="T12" s="35"/>
      <c r="U12" s="36"/>
      <c r="V12" s="37">
        <f>SUM(V3:V11)</f>
        <v>9240117.0111999996</v>
      </c>
      <c r="W12" s="15"/>
    </row>
    <row r="13" spans="2:23" s="23" customFormat="1" ht="46.2" customHeight="1" x14ac:dyDescent="0.35"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89">
        <v>220000</v>
      </c>
      <c r="N13" s="91" t="s">
        <v>14</v>
      </c>
      <c r="O13" s="117" t="s">
        <v>51</v>
      </c>
      <c r="P13" s="117"/>
      <c r="Q13" s="117"/>
      <c r="R13" s="24" t="s">
        <v>52</v>
      </c>
      <c r="S13" s="30" t="s">
        <v>58</v>
      </c>
      <c r="T13" s="30"/>
      <c r="U13" s="24" t="s">
        <v>44</v>
      </c>
      <c r="V13" s="24" t="s">
        <v>45</v>
      </c>
      <c r="W13" s="2"/>
    </row>
    <row r="14" spans="2:23" ht="46.2" customHeight="1" x14ac:dyDescent="0.35">
      <c r="B14" s="115"/>
      <c r="C14" s="115"/>
      <c r="D14" s="130"/>
      <c r="E14" s="130"/>
      <c r="F14" s="130"/>
      <c r="G14" s="130"/>
      <c r="H14" s="130"/>
      <c r="I14" s="130"/>
      <c r="J14" s="124"/>
      <c r="K14" s="124"/>
      <c r="L14" s="65">
        <f>L12*L13</f>
        <v>1346568.96</v>
      </c>
      <c r="M14" s="95"/>
      <c r="N14" s="57">
        <v>1</v>
      </c>
      <c r="O14" s="112" t="s">
        <v>66</v>
      </c>
      <c r="P14" s="113"/>
      <c r="Q14" s="113"/>
      <c r="R14" s="38">
        <f>R3+R4+R7</f>
        <v>45496</v>
      </c>
      <c r="S14" s="2">
        <v>1</v>
      </c>
      <c r="T14" s="39"/>
      <c r="U14" s="38">
        <v>1000</v>
      </c>
      <c r="V14" s="38">
        <f>U14*R14*S14/1000</f>
        <v>45496</v>
      </c>
      <c r="W14" s="2"/>
    </row>
    <row r="15" spans="2:23" ht="46.2" customHeight="1" x14ac:dyDescent="0.35">
      <c r="B15" s="115"/>
      <c r="C15" s="115"/>
      <c r="D15" s="130"/>
      <c r="E15" s="130"/>
      <c r="F15" s="130"/>
      <c r="G15" s="130"/>
      <c r="H15" s="130"/>
      <c r="I15" s="130"/>
      <c r="J15" s="124"/>
      <c r="K15" s="124"/>
      <c r="L15" s="65">
        <f>F6*350</f>
        <v>2978762.5</v>
      </c>
      <c r="M15" s="92"/>
      <c r="N15" s="57">
        <f>N14+1</f>
        <v>2</v>
      </c>
      <c r="O15" s="112" t="s">
        <v>47</v>
      </c>
      <c r="P15" s="113"/>
      <c r="Q15" s="113"/>
      <c r="R15" s="38">
        <f>R4*2</f>
        <v>56752</v>
      </c>
      <c r="S15" s="2">
        <v>1</v>
      </c>
      <c r="T15" s="39"/>
      <c r="U15" s="38">
        <v>1000</v>
      </c>
      <c r="V15" s="38">
        <f>U15*R15*S15/1000</f>
        <v>56752</v>
      </c>
      <c r="W15" s="26" t="s">
        <v>75</v>
      </c>
    </row>
    <row r="16" spans="2:23" ht="46.2" customHeight="1" x14ac:dyDescent="0.35">
      <c r="B16" s="115"/>
      <c r="C16" s="115"/>
      <c r="D16" s="130"/>
      <c r="E16" s="130"/>
      <c r="F16" s="130"/>
      <c r="G16" s="130"/>
      <c r="H16" s="130"/>
      <c r="I16" s="130"/>
      <c r="J16" s="124"/>
      <c r="K16" s="124"/>
      <c r="L16" s="65">
        <v>1770000</v>
      </c>
      <c r="M16" s="92"/>
      <c r="N16" s="57">
        <f t="shared" ref="N16:N20" si="5">N15+1</f>
        <v>3</v>
      </c>
      <c r="O16" s="112" t="s">
        <v>67</v>
      </c>
      <c r="P16" s="113"/>
      <c r="Q16" s="113"/>
      <c r="R16" s="38"/>
      <c r="S16" s="2">
        <v>1</v>
      </c>
      <c r="T16" s="39"/>
      <c r="U16" s="38">
        <v>2500</v>
      </c>
      <c r="V16" s="38">
        <f>U16*S16</f>
        <v>2500</v>
      </c>
      <c r="W16" s="26" t="s">
        <v>76</v>
      </c>
    </row>
    <row r="17" spans="2:23" ht="46.2" customHeight="1" x14ac:dyDescent="0.35">
      <c r="B17" s="115"/>
      <c r="C17" s="115"/>
      <c r="D17" s="115"/>
      <c r="E17" s="115"/>
      <c r="F17" s="115"/>
      <c r="G17" s="115"/>
      <c r="H17" s="130"/>
      <c r="I17" s="130"/>
      <c r="J17" s="124"/>
      <c r="K17" s="124"/>
      <c r="L17" s="65">
        <f>V21+L16+L15+L14</f>
        <v>15450696.4712</v>
      </c>
      <c r="M17" s="92"/>
      <c r="N17" s="57">
        <f t="shared" si="5"/>
        <v>4</v>
      </c>
      <c r="O17" s="112" t="s">
        <v>72</v>
      </c>
      <c r="P17" s="113"/>
      <c r="Q17" s="113"/>
      <c r="R17" s="38"/>
      <c r="S17" s="2">
        <v>3</v>
      </c>
      <c r="T17" s="39"/>
      <c r="U17" s="38">
        <v>2500</v>
      </c>
      <c r="V17" s="38">
        <f>U17*S17</f>
        <v>7500</v>
      </c>
      <c r="W17" s="26"/>
    </row>
    <row r="18" spans="2:23" ht="46.2" customHeight="1" x14ac:dyDescent="0.35">
      <c r="B18" s="115"/>
      <c r="C18" s="115"/>
      <c r="D18" s="130"/>
      <c r="E18" s="130"/>
      <c r="F18" s="130"/>
      <c r="G18" s="130"/>
      <c r="H18" s="130"/>
      <c r="I18" s="130"/>
      <c r="J18" s="124"/>
      <c r="K18" s="124"/>
      <c r="L18" s="65">
        <f>F6*2600</f>
        <v>22127950</v>
      </c>
      <c r="M18" s="92"/>
      <c r="N18" s="57">
        <f t="shared" si="5"/>
        <v>5</v>
      </c>
      <c r="O18" s="112" t="s">
        <v>68</v>
      </c>
      <c r="P18" s="113"/>
      <c r="Q18" s="114"/>
      <c r="R18" s="38"/>
      <c r="S18" s="2">
        <v>1</v>
      </c>
      <c r="T18" s="39"/>
      <c r="U18" s="38">
        <v>1000</v>
      </c>
      <c r="V18" s="38">
        <f t="shared" ref="V18:V19" si="6">U18*S18</f>
        <v>1000</v>
      </c>
      <c r="W18" s="26" t="s">
        <v>77</v>
      </c>
    </row>
    <row r="19" spans="2:23" ht="46.2" customHeight="1" x14ac:dyDescent="0.35">
      <c r="B19" s="115"/>
      <c r="C19" s="115"/>
      <c r="D19" s="115"/>
      <c r="E19" s="115"/>
      <c r="F19" s="115"/>
      <c r="G19" s="115"/>
      <c r="H19" s="130"/>
      <c r="I19" s="130"/>
      <c r="J19" s="124"/>
      <c r="K19" s="124"/>
      <c r="L19" s="111">
        <f>L17/L18</f>
        <v>0.69824346454145103</v>
      </c>
      <c r="M19" s="92"/>
      <c r="N19" s="57">
        <f t="shared" si="5"/>
        <v>6</v>
      </c>
      <c r="O19" s="112" t="s">
        <v>70</v>
      </c>
      <c r="P19" s="113"/>
      <c r="Q19" s="114"/>
      <c r="R19" s="38"/>
      <c r="S19" s="2">
        <v>1</v>
      </c>
      <c r="T19" s="39"/>
      <c r="U19" s="38">
        <v>2000</v>
      </c>
      <c r="V19" s="38">
        <f t="shared" si="6"/>
        <v>2000</v>
      </c>
      <c r="W19" s="26" t="s">
        <v>77</v>
      </c>
    </row>
    <row r="20" spans="2:23" ht="46.2" customHeight="1" x14ac:dyDescent="0.35">
      <c r="B20" s="115"/>
      <c r="C20" s="115"/>
      <c r="D20" s="115"/>
      <c r="E20" s="115"/>
      <c r="F20" s="115"/>
      <c r="G20" s="115"/>
      <c r="H20" s="137"/>
      <c r="I20" s="137"/>
      <c r="J20" s="124"/>
      <c r="K20" s="124"/>
      <c r="L20" s="65"/>
      <c r="M20" s="92"/>
      <c r="N20" s="57">
        <f t="shared" si="5"/>
        <v>7</v>
      </c>
      <c r="O20" s="133" t="s">
        <v>69</v>
      </c>
      <c r="P20" s="133"/>
      <c r="Q20" s="133"/>
      <c r="R20" s="133"/>
      <c r="S20" s="133"/>
      <c r="T20" s="35"/>
      <c r="U20" s="36"/>
      <c r="V20" s="37">
        <f>SUM(V14:V19)</f>
        <v>115248</v>
      </c>
      <c r="W20" s="58"/>
    </row>
    <row r="21" spans="2:23" ht="96" customHeight="1" x14ac:dyDescent="0.4">
      <c r="B21" s="115"/>
      <c r="C21" s="115"/>
      <c r="D21" s="115"/>
      <c r="E21" s="115"/>
      <c r="F21" s="115"/>
      <c r="G21" s="115"/>
      <c r="H21" s="130">
        <f t="shared" ref="H21" si="7">F21</f>
        <v>0</v>
      </c>
      <c r="I21" s="130"/>
      <c r="J21" s="55"/>
      <c r="K21" s="53"/>
      <c r="L21" s="65"/>
      <c r="M21" s="66"/>
      <c r="N21" s="96"/>
      <c r="O21" s="134" t="s">
        <v>137</v>
      </c>
      <c r="P21" s="135"/>
      <c r="Q21" s="135"/>
      <c r="R21" s="135"/>
      <c r="S21" s="135"/>
      <c r="T21" s="135"/>
      <c r="U21" s="136"/>
      <c r="V21" s="98">
        <f>V12+V20</f>
        <v>9355365.0111999996</v>
      </c>
      <c r="W21" s="97"/>
    </row>
    <row r="22" spans="2:23" ht="46.2" customHeight="1" x14ac:dyDescent="0.35">
      <c r="B22" s="51"/>
      <c r="C22" s="132"/>
      <c r="D22" s="132"/>
      <c r="E22" s="132"/>
      <c r="F22" s="63"/>
      <c r="G22" s="53"/>
      <c r="H22" s="53"/>
      <c r="I22" s="64"/>
      <c r="J22" s="64"/>
      <c r="K22" s="53"/>
      <c r="L22" s="65"/>
      <c r="M22" s="66"/>
      <c r="N22" s="19"/>
      <c r="O22" s="149"/>
      <c r="P22" s="149"/>
      <c r="Q22" s="59"/>
      <c r="R22" s="60"/>
      <c r="S22" s="60"/>
      <c r="T22" s="61"/>
      <c r="U22" s="60"/>
      <c r="V22" s="62">
        <f>F6*200</f>
        <v>1702150</v>
      </c>
      <c r="W22" s="1">
        <f>F6*1980</f>
        <v>16851285</v>
      </c>
    </row>
    <row r="23" spans="2:23" ht="46.2" customHeight="1" x14ac:dyDescent="0.35">
      <c r="B23" s="51"/>
      <c r="C23" s="132"/>
      <c r="D23" s="132"/>
      <c r="E23" s="132"/>
      <c r="F23" s="67"/>
      <c r="G23" s="53"/>
      <c r="H23" s="53"/>
      <c r="I23" s="53"/>
      <c r="J23" s="68"/>
      <c r="K23" s="53"/>
      <c r="L23" s="51"/>
      <c r="M23" s="53"/>
      <c r="N23" s="19"/>
      <c r="O23" s="132"/>
      <c r="P23" s="132"/>
      <c r="Q23" s="47"/>
      <c r="R23" s="45"/>
      <c r="S23" s="45"/>
      <c r="T23" s="48">
        <f>F6*250</f>
        <v>2127687.5</v>
      </c>
      <c r="U23" s="45"/>
      <c r="V23" s="49">
        <f>V21+V22+L14</f>
        <v>12404083.9712</v>
      </c>
      <c r="W23" s="106">
        <f>V23/W22</f>
        <v>0.73609128153728343</v>
      </c>
    </row>
    <row r="24" spans="2:23" ht="46.2" customHeight="1" x14ac:dyDescent="0.35">
      <c r="B24" s="51"/>
      <c r="C24" s="132"/>
      <c r="D24" s="132"/>
      <c r="E24" s="132"/>
      <c r="F24" s="67"/>
      <c r="G24" s="53"/>
      <c r="H24" s="53"/>
      <c r="I24" s="53"/>
      <c r="J24" s="69"/>
      <c r="K24" s="53"/>
      <c r="L24" s="51"/>
      <c r="M24" s="53"/>
      <c r="N24" s="19"/>
      <c r="O24" s="132"/>
      <c r="P24" s="132"/>
      <c r="Q24" s="47"/>
      <c r="R24" s="45"/>
      <c r="S24" s="45"/>
      <c r="T24" s="48">
        <f>T23+V21</f>
        <v>11483052.5112</v>
      </c>
      <c r="U24" s="45"/>
      <c r="V24" s="49">
        <v>3500000</v>
      </c>
      <c r="W24" s="102">
        <f>V23/F6</f>
        <v>1457.460737443821</v>
      </c>
    </row>
    <row r="25" spans="2:23" ht="46.2" customHeight="1" x14ac:dyDescent="0.35">
      <c r="B25" s="51"/>
      <c r="C25" s="132"/>
      <c r="D25" s="132"/>
      <c r="E25" s="132"/>
      <c r="F25" s="67"/>
      <c r="G25" s="53"/>
      <c r="H25" s="53"/>
      <c r="I25" s="53"/>
      <c r="J25" s="69"/>
      <c r="K25" s="53"/>
      <c r="L25" s="51"/>
      <c r="M25" s="53"/>
      <c r="N25" s="19"/>
      <c r="O25" s="132"/>
      <c r="P25" s="132"/>
      <c r="Q25" s="47"/>
      <c r="R25" s="45"/>
      <c r="S25" s="45"/>
      <c r="T25" s="48">
        <f>T24/F6</f>
        <v>1349.2409612783831</v>
      </c>
      <c r="U25" s="45"/>
      <c r="V25" s="49">
        <f>V23+V24</f>
        <v>15904083.9712</v>
      </c>
      <c r="W25" s="68">
        <f>V21+W22</f>
        <v>26206650.0112</v>
      </c>
    </row>
    <row r="26" spans="2:23" ht="46.2" customHeight="1" x14ac:dyDescent="0.35">
      <c r="B26" s="51"/>
      <c r="C26" s="132"/>
      <c r="D26" s="132"/>
      <c r="E26" s="132"/>
      <c r="F26" s="67"/>
      <c r="G26" s="53"/>
      <c r="H26" s="53"/>
      <c r="I26" s="53"/>
      <c r="J26" s="69"/>
      <c r="K26" s="53"/>
      <c r="L26" s="51"/>
      <c r="M26" s="53"/>
      <c r="N26" s="19"/>
      <c r="O26" s="132"/>
      <c r="P26" s="132"/>
      <c r="Q26" s="47"/>
      <c r="R26" s="45"/>
      <c r="S26" s="45"/>
      <c r="T26" s="50"/>
      <c r="U26" s="45"/>
      <c r="V26" s="49">
        <f>V25/F6</f>
        <v>1868.7053398584144</v>
      </c>
      <c r="W26" s="102">
        <f>W25/F6</f>
        <v>3079.2409612783831</v>
      </c>
    </row>
    <row r="27" spans="2:23" ht="46.2" customHeight="1" x14ac:dyDescent="0.35">
      <c r="B27" s="51"/>
      <c r="C27" s="132"/>
      <c r="D27" s="132"/>
      <c r="E27" s="132"/>
      <c r="F27" s="67"/>
      <c r="G27" s="53"/>
      <c r="H27" s="53"/>
      <c r="I27" s="64"/>
      <c r="J27" s="70"/>
      <c r="K27" s="53"/>
      <c r="L27" s="51"/>
      <c r="M27" s="53"/>
      <c r="N27" s="19"/>
      <c r="O27" s="132"/>
      <c r="P27" s="132"/>
      <c r="Q27" s="47"/>
      <c r="R27" s="45"/>
      <c r="S27" s="45"/>
      <c r="T27" s="50"/>
      <c r="U27" s="45"/>
      <c r="V27" s="49">
        <f>F6*200</f>
        <v>1702150</v>
      </c>
      <c r="W27" s="68">
        <f>W22-V21-L14</f>
        <v>6149351.0288000004</v>
      </c>
    </row>
    <row r="28" spans="2:23" ht="46.2" customHeight="1" x14ac:dyDescent="0.35">
      <c r="B28" s="51"/>
      <c r="C28" s="131"/>
      <c r="D28" s="131"/>
      <c r="E28" s="131"/>
      <c r="F28" s="67"/>
      <c r="G28" s="53"/>
      <c r="H28" s="53"/>
      <c r="I28" s="64"/>
      <c r="J28" s="70"/>
      <c r="K28" s="53"/>
      <c r="L28" s="51"/>
      <c r="M28" s="53"/>
      <c r="N28" s="19"/>
      <c r="O28" s="132"/>
      <c r="P28" s="132"/>
      <c r="Q28" s="47"/>
      <c r="R28" s="45"/>
      <c r="S28" s="45"/>
      <c r="T28" s="50"/>
      <c r="U28" s="45"/>
      <c r="V28" s="49">
        <f>V27+V25</f>
        <v>17606233.9712</v>
      </c>
      <c r="W28" s="106">
        <f>V21/V29</f>
        <v>0.92811160825396821</v>
      </c>
    </row>
    <row r="29" spans="2:23" ht="46.2" customHeight="1" x14ac:dyDescent="0.35">
      <c r="B29" s="51"/>
      <c r="C29" s="131"/>
      <c r="D29" s="131"/>
      <c r="E29" s="131"/>
      <c r="F29" s="67"/>
      <c r="G29" s="53"/>
      <c r="H29" s="53"/>
      <c r="I29" s="64"/>
      <c r="J29" s="70"/>
      <c r="K29" s="53"/>
      <c r="L29" s="51"/>
      <c r="M29" s="53"/>
      <c r="N29" s="19"/>
      <c r="O29" s="131"/>
      <c r="P29" s="131"/>
      <c r="Q29" s="131"/>
      <c r="R29" s="131"/>
      <c r="S29" s="131"/>
      <c r="T29" s="52"/>
      <c r="U29" s="45"/>
      <c r="V29" s="49">
        <f>1400*7200</f>
        <v>10080000</v>
      </c>
      <c r="W29" s="106">
        <f>W23/V29</f>
        <v>7.3024928723936849E-8</v>
      </c>
    </row>
    <row r="30" spans="2:23" ht="46.2" customHeight="1" x14ac:dyDescent="0.35">
      <c r="B30" s="51"/>
      <c r="C30" s="132"/>
      <c r="D30" s="132"/>
      <c r="E30" s="132"/>
      <c r="F30" s="67"/>
      <c r="G30" s="53"/>
      <c r="H30" s="53"/>
      <c r="I30" s="64"/>
      <c r="J30" s="64"/>
      <c r="K30" s="53"/>
      <c r="L30" s="53"/>
      <c r="M30" s="53"/>
      <c r="O30" s="53"/>
      <c r="P30" s="53"/>
      <c r="Q30" s="53"/>
      <c r="R30" s="53"/>
      <c r="S30" s="53"/>
      <c r="T30" s="53"/>
      <c r="U30" s="53"/>
      <c r="V30" s="53"/>
      <c r="W30" s="53"/>
    </row>
    <row r="31" spans="2:23" s="22" customFormat="1" ht="46.2" customHeight="1" x14ac:dyDescent="0.35">
      <c r="B31" s="148"/>
      <c r="C31" s="148"/>
      <c r="D31" s="148"/>
      <c r="E31" s="148"/>
      <c r="F31" s="148"/>
      <c r="G31" s="148"/>
      <c r="H31" s="148"/>
      <c r="I31" s="148"/>
      <c r="J31" s="71"/>
      <c r="K31" s="72"/>
      <c r="L31" s="72"/>
      <c r="M31" s="72"/>
      <c r="N31" s="1"/>
      <c r="O31" s="53"/>
      <c r="P31" s="53"/>
      <c r="Q31" s="53"/>
      <c r="R31" s="53"/>
      <c r="S31" s="53"/>
      <c r="T31" s="53"/>
      <c r="U31" s="53"/>
      <c r="V31" s="53"/>
      <c r="W31" s="53"/>
    </row>
    <row r="32" spans="2:23" ht="46.2" customHeight="1" x14ac:dyDescent="0.35">
      <c r="B32" s="53"/>
      <c r="C32" s="131"/>
      <c r="D32" s="131"/>
      <c r="E32" s="131"/>
      <c r="F32" s="131"/>
      <c r="G32" s="53"/>
      <c r="H32" s="53"/>
      <c r="I32" s="64"/>
      <c r="J32" s="53"/>
      <c r="K32" s="53"/>
      <c r="L32" s="53"/>
      <c r="M32" s="53"/>
      <c r="O32" s="53"/>
      <c r="P32" s="53"/>
      <c r="Q32" s="53"/>
      <c r="R32" s="53"/>
      <c r="S32" s="53"/>
      <c r="T32" s="53"/>
      <c r="U32" s="53"/>
      <c r="V32" s="53"/>
      <c r="W32" s="53"/>
    </row>
    <row r="33" spans="3:23" ht="46.2" customHeight="1" x14ac:dyDescent="0.35">
      <c r="C33" s="121"/>
      <c r="D33" s="121"/>
      <c r="E33" s="121"/>
      <c r="F33" s="121"/>
      <c r="I33" s="10"/>
      <c r="L33" s="20"/>
      <c r="O33" s="53"/>
      <c r="P33" s="53"/>
      <c r="Q33" s="53"/>
      <c r="R33" s="53"/>
      <c r="S33" s="53"/>
      <c r="T33" s="53"/>
      <c r="U33" s="53"/>
      <c r="V33" s="53"/>
      <c r="W33" s="53"/>
    </row>
    <row r="34" spans="3:23" ht="46.2" customHeight="1" x14ac:dyDescent="0.35">
      <c r="C34" s="121"/>
      <c r="D34" s="121"/>
      <c r="E34" s="121"/>
      <c r="F34" s="121"/>
      <c r="I34" s="27"/>
      <c r="O34" s="53"/>
      <c r="P34" s="53"/>
      <c r="Q34" s="53"/>
      <c r="R34" s="53"/>
      <c r="S34" s="53"/>
      <c r="T34" s="53"/>
      <c r="U34" s="53"/>
      <c r="V34" s="53"/>
      <c r="W34" s="53"/>
    </row>
    <row r="35" spans="3:23" ht="46.2" customHeight="1" x14ac:dyDescent="0.35">
      <c r="C35" s="147"/>
      <c r="D35" s="147"/>
      <c r="E35" s="147"/>
      <c r="F35" s="147"/>
      <c r="G35" s="21"/>
      <c r="H35" s="21"/>
      <c r="I35" s="28"/>
    </row>
    <row r="36" spans="3:23" ht="46.2" customHeight="1" x14ac:dyDescent="0.35">
      <c r="I36" s="10"/>
    </row>
    <row r="37" spans="3:23" ht="46.2" customHeight="1" x14ac:dyDescent="0.35">
      <c r="I37" s="20"/>
    </row>
  </sheetData>
  <mergeCells count="88">
    <mergeCell ref="F11:G11"/>
    <mergeCell ref="O28:P28"/>
    <mergeCell ref="O29:S29"/>
    <mergeCell ref="O19:Q19"/>
    <mergeCell ref="O20:S20"/>
    <mergeCell ref="O22:P22"/>
    <mergeCell ref="O23:P23"/>
    <mergeCell ref="O24:P24"/>
    <mergeCell ref="O25:P25"/>
    <mergeCell ref="O26:P26"/>
    <mergeCell ref="O27:P27"/>
    <mergeCell ref="B17:G17"/>
    <mergeCell ref="H17:I17"/>
    <mergeCell ref="J17:K17"/>
    <mergeCell ref="C29:E29"/>
    <mergeCell ref="C24:E24"/>
    <mergeCell ref="C32:F32"/>
    <mergeCell ref="C33:F33"/>
    <mergeCell ref="C34:F34"/>
    <mergeCell ref="C35:F35"/>
    <mergeCell ref="B31:I31"/>
    <mergeCell ref="N1:W1"/>
    <mergeCell ref="O2:Q2"/>
    <mergeCell ref="O3:Q3"/>
    <mergeCell ref="O4:Q4"/>
    <mergeCell ref="O5:Q5"/>
    <mergeCell ref="O6:Q6"/>
    <mergeCell ref="O9:Q9"/>
    <mergeCell ref="O10:Q10"/>
    <mergeCell ref="O11:Q11"/>
    <mergeCell ref="O12:S12"/>
    <mergeCell ref="C30:E30"/>
    <mergeCell ref="C28:E28"/>
    <mergeCell ref="C22:E22"/>
    <mergeCell ref="B19:G19"/>
    <mergeCell ref="H19:I19"/>
    <mergeCell ref="C25:E25"/>
    <mergeCell ref="C26:E26"/>
    <mergeCell ref="C27:E27"/>
    <mergeCell ref="C23:E23"/>
    <mergeCell ref="B21:C21"/>
    <mergeCell ref="B20:G20"/>
    <mergeCell ref="H20:I20"/>
    <mergeCell ref="B16:C16"/>
    <mergeCell ref="D16:E16"/>
    <mergeCell ref="F16:G16"/>
    <mergeCell ref="H16:I16"/>
    <mergeCell ref="J16:K16"/>
    <mergeCell ref="B15:C15"/>
    <mergeCell ref="D15:E15"/>
    <mergeCell ref="F15:G15"/>
    <mergeCell ref="H15:I15"/>
    <mergeCell ref="J15:K15"/>
    <mergeCell ref="F13:G13"/>
    <mergeCell ref="J13:K13"/>
    <mergeCell ref="B14:C14"/>
    <mergeCell ref="D14:E14"/>
    <mergeCell ref="F14:G14"/>
    <mergeCell ref="H14:I14"/>
    <mergeCell ref="J14:K14"/>
    <mergeCell ref="O21:U21"/>
    <mergeCell ref="O17:Q17"/>
    <mergeCell ref="O8:Q8"/>
    <mergeCell ref="O7:Q7"/>
    <mergeCell ref="J18:K18"/>
    <mergeCell ref="J19:K19"/>
    <mergeCell ref="O13:Q13"/>
    <mergeCell ref="O14:Q14"/>
    <mergeCell ref="O15:Q15"/>
    <mergeCell ref="O16:Q16"/>
    <mergeCell ref="O18:Q18"/>
    <mergeCell ref="J20:K20"/>
    <mergeCell ref="B3:D11"/>
    <mergeCell ref="I2:L2"/>
    <mergeCell ref="B1:L1"/>
    <mergeCell ref="D21:E21"/>
    <mergeCell ref="F21:G21"/>
    <mergeCell ref="H21:I21"/>
    <mergeCell ref="I10:I11"/>
    <mergeCell ref="B18:C18"/>
    <mergeCell ref="D18:E18"/>
    <mergeCell ref="F18:G18"/>
    <mergeCell ref="H18:I18"/>
    <mergeCell ref="B2:F2"/>
    <mergeCell ref="H2:H3"/>
    <mergeCell ref="H13:I13"/>
    <mergeCell ref="B13:C13"/>
    <mergeCell ref="D13:E13"/>
  </mergeCells>
  <pageMargins left="0.7" right="0.7" top="0.75" bottom="0.75" header="0.3" footer="0.3"/>
  <pageSetup scale="32" orientation="portrait" r:id="rId1"/>
  <colBreaks count="1" manualBreakCount="1">
    <brk id="12" max="1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W25"/>
  <sheetViews>
    <sheetView zoomScale="47" zoomScaleNormal="47" zoomScaleSheetLayoutView="36" workbookViewId="0">
      <selection activeCell="G4" sqref="G4"/>
    </sheetView>
  </sheetViews>
  <sheetFormatPr defaultColWidth="20.44140625" defaultRowHeight="42" customHeight="1" x14ac:dyDescent="0.35"/>
  <cols>
    <col min="1" max="21" width="20.44140625" style="1"/>
    <col min="22" max="22" width="24.21875" style="1" customWidth="1"/>
    <col min="23" max="23" width="42.44140625" style="1" customWidth="1"/>
    <col min="24" max="16384" width="20.44140625" style="1"/>
  </cols>
  <sheetData>
    <row r="1" spans="2:23" ht="42" customHeight="1" x14ac:dyDescent="0.45">
      <c r="B1" s="116" t="s">
        <v>50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N1" s="116" t="s">
        <v>64</v>
      </c>
      <c r="O1" s="116"/>
      <c r="P1" s="116"/>
      <c r="Q1" s="116"/>
      <c r="R1" s="116"/>
      <c r="S1" s="116"/>
      <c r="T1" s="116"/>
      <c r="U1" s="116"/>
      <c r="V1" s="116"/>
      <c r="W1" s="116"/>
    </row>
    <row r="2" spans="2:23" ht="55.2" customHeight="1" x14ac:dyDescent="0.35">
      <c r="B2" s="157" t="s">
        <v>8</v>
      </c>
      <c r="C2" s="158"/>
      <c r="D2" s="158"/>
      <c r="E2" s="158"/>
      <c r="F2" s="158"/>
      <c r="G2" s="8"/>
      <c r="H2" s="7"/>
      <c r="I2" s="157" t="s">
        <v>9</v>
      </c>
      <c r="J2" s="158"/>
      <c r="K2" s="158"/>
      <c r="L2" s="158"/>
      <c r="N2" s="24" t="s">
        <v>14</v>
      </c>
      <c r="O2" s="117" t="s">
        <v>51</v>
      </c>
      <c r="P2" s="117"/>
      <c r="Q2" s="117"/>
      <c r="R2" s="24" t="s">
        <v>52</v>
      </c>
      <c r="S2" s="30" t="s">
        <v>62</v>
      </c>
      <c r="T2" s="30" t="s">
        <v>63</v>
      </c>
      <c r="U2" s="24" t="s">
        <v>44</v>
      </c>
      <c r="V2" s="24" t="s">
        <v>45</v>
      </c>
      <c r="W2" s="24" t="s">
        <v>39</v>
      </c>
    </row>
    <row r="3" spans="2:23" ht="42" customHeight="1" x14ac:dyDescent="0.35">
      <c r="B3" s="152"/>
      <c r="C3" s="153"/>
      <c r="D3" s="154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12" t="s">
        <v>80</v>
      </c>
      <c r="P3" s="113"/>
      <c r="Q3" s="113"/>
      <c r="R3" s="34">
        <f>K4*L4+K5*L5</f>
        <v>5212</v>
      </c>
      <c r="S3" s="29">
        <v>0.876</v>
      </c>
      <c r="T3" s="32">
        <f>S3*R3</f>
        <v>4565.7120000000004</v>
      </c>
      <c r="U3" s="34">
        <v>122000</v>
      </c>
      <c r="V3" s="31">
        <f>U3*T3/1000</f>
        <v>557016.86399999994</v>
      </c>
      <c r="W3" s="77"/>
    </row>
    <row r="4" spans="2:23" ht="42" customHeight="1" x14ac:dyDescent="0.35">
      <c r="B4" s="120"/>
      <c r="C4" s="121"/>
      <c r="D4" s="155"/>
      <c r="E4" s="3">
        <v>1203</v>
      </c>
      <c r="F4" s="3">
        <v>1403</v>
      </c>
      <c r="G4" s="3">
        <v>1</v>
      </c>
      <c r="H4" s="6">
        <v>1</v>
      </c>
      <c r="I4" s="3" t="s">
        <v>10</v>
      </c>
      <c r="J4" s="6"/>
      <c r="K4" s="3">
        <f>E4</f>
        <v>1203</v>
      </c>
      <c r="L4" s="3">
        <f>G4*2</f>
        <v>2</v>
      </c>
      <c r="N4" s="15">
        <f>N3+1</f>
        <v>2</v>
      </c>
      <c r="O4" s="112" t="s">
        <v>81</v>
      </c>
      <c r="P4" s="113"/>
      <c r="Q4" s="113"/>
      <c r="R4" s="34">
        <f>K6*L6+K7*L7</f>
        <v>7704</v>
      </c>
      <c r="S4" s="29">
        <v>1.0640000000000001</v>
      </c>
      <c r="T4" s="32">
        <f t="shared" ref="T4:T5" si="0">S4*R4</f>
        <v>8197.0560000000005</v>
      </c>
      <c r="U4" s="34">
        <v>122000</v>
      </c>
      <c r="V4" s="31">
        <f t="shared" ref="V4:V6" si="1">U4*T4/1000</f>
        <v>1000040.8320000002</v>
      </c>
      <c r="W4" s="78"/>
    </row>
    <row r="5" spans="2:23" ht="42" customHeight="1" x14ac:dyDescent="0.35">
      <c r="B5" s="120"/>
      <c r="C5" s="121"/>
      <c r="D5" s="155"/>
      <c r="E5" s="88"/>
      <c r="F5" s="41" t="s">
        <v>46</v>
      </c>
      <c r="G5" s="41" t="s">
        <v>119</v>
      </c>
      <c r="H5" s="6">
        <f>H4+1</f>
        <v>2</v>
      </c>
      <c r="I5" s="3" t="s">
        <v>11</v>
      </c>
      <c r="J5" s="6"/>
      <c r="K5" s="3">
        <f>F4</f>
        <v>1403</v>
      </c>
      <c r="L5" s="3">
        <f>G4*2</f>
        <v>2</v>
      </c>
      <c r="N5" s="15">
        <f t="shared" ref="N5:N11" si="2">N4+1</f>
        <v>3</v>
      </c>
      <c r="O5" s="112" t="s">
        <v>55</v>
      </c>
      <c r="P5" s="113"/>
      <c r="Q5" s="113"/>
      <c r="R5" s="34">
        <f>R4</f>
        <v>7704</v>
      </c>
      <c r="S5" s="29">
        <v>0.27100000000000002</v>
      </c>
      <c r="T5" s="32">
        <f t="shared" si="0"/>
        <v>2087.7840000000001</v>
      </c>
      <c r="U5" s="34">
        <v>122000</v>
      </c>
      <c r="V5" s="31">
        <f t="shared" si="1"/>
        <v>254709.64799999999</v>
      </c>
      <c r="W5" s="78"/>
    </row>
    <row r="6" spans="2:23" ht="42" customHeight="1" x14ac:dyDescent="0.35">
      <c r="B6" s="120"/>
      <c r="C6" s="121"/>
      <c r="D6" s="155"/>
      <c r="E6" s="56"/>
      <c r="F6" s="17">
        <f>F4*E4*G4/1000</f>
        <v>1687.809</v>
      </c>
      <c r="G6" s="87">
        <f>SUM(T3:T6)</f>
        <v>15999.941999999999</v>
      </c>
      <c r="H6" s="6">
        <f t="shared" ref="H6:H10" si="3">H5+1</f>
        <v>3</v>
      </c>
      <c r="I6" s="3" t="s">
        <v>17</v>
      </c>
      <c r="J6" s="6"/>
      <c r="K6" s="3">
        <f>IF(ROUNDDOWN((E4-40-16)/2,0)&lt;0,"0",ROUNDDOWN((E4-40-16)/2,0))</f>
        <v>573</v>
      </c>
      <c r="L6" s="3">
        <f>G4*4</f>
        <v>4</v>
      </c>
      <c r="N6" s="15">
        <f t="shared" si="2"/>
        <v>4</v>
      </c>
      <c r="O6" s="112" t="s">
        <v>71</v>
      </c>
      <c r="P6" s="113"/>
      <c r="Q6" s="113"/>
      <c r="R6" s="34">
        <f>K8*L8</f>
        <v>1290</v>
      </c>
      <c r="S6" s="29">
        <v>0.89100000000000001</v>
      </c>
      <c r="T6" s="32">
        <f>S6*R6</f>
        <v>1149.3900000000001</v>
      </c>
      <c r="U6" s="34">
        <v>122000</v>
      </c>
      <c r="V6" s="31">
        <f t="shared" si="1"/>
        <v>140225.57999999999</v>
      </c>
      <c r="W6" s="79"/>
    </row>
    <row r="7" spans="2:23" ht="42" customHeight="1" x14ac:dyDescent="0.35">
      <c r="B7" s="120"/>
      <c r="C7" s="121"/>
      <c r="D7" s="155"/>
      <c r="E7" s="2"/>
      <c r="F7" s="2"/>
      <c r="G7" s="2"/>
      <c r="H7" s="6">
        <f t="shared" si="3"/>
        <v>4</v>
      </c>
      <c r="I7" s="3" t="s">
        <v>18</v>
      </c>
      <c r="J7" s="6"/>
      <c r="K7" s="3">
        <f>IF(F4-40-10&lt;0,"0",ROUNDDOWN(F4-40-10,0))</f>
        <v>1353</v>
      </c>
      <c r="L7" s="3">
        <f>G4*4</f>
        <v>4</v>
      </c>
      <c r="N7" s="15">
        <f t="shared" si="2"/>
        <v>5</v>
      </c>
      <c r="O7" s="112" t="s">
        <v>78</v>
      </c>
      <c r="P7" s="113"/>
      <c r="Q7" s="114"/>
      <c r="R7" s="34"/>
      <c r="S7" s="29"/>
      <c r="T7" s="76"/>
      <c r="U7" s="54">
        <v>0.05</v>
      </c>
      <c r="V7" s="34">
        <f>SUM(V3:V6)*U7</f>
        <v>97599.646200000017</v>
      </c>
      <c r="W7" s="42"/>
    </row>
    <row r="8" spans="2:23" ht="42" customHeight="1" x14ac:dyDescent="0.35">
      <c r="B8" s="120"/>
      <c r="C8" s="121"/>
      <c r="D8" s="155"/>
      <c r="E8" s="2"/>
      <c r="F8" s="2"/>
      <c r="G8" s="2"/>
      <c r="H8" s="6">
        <f t="shared" si="3"/>
        <v>5</v>
      </c>
      <c r="I8" s="3" t="s">
        <v>16</v>
      </c>
      <c r="J8" s="6"/>
      <c r="K8" s="6">
        <f>K7-63</f>
        <v>1290</v>
      </c>
      <c r="L8" s="3">
        <f>G4*1</f>
        <v>1</v>
      </c>
      <c r="N8" s="15">
        <f t="shared" si="2"/>
        <v>6</v>
      </c>
      <c r="O8" s="112" t="s">
        <v>90</v>
      </c>
      <c r="P8" s="113"/>
      <c r="Q8" s="113"/>
      <c r="R8" s="29"/>
      <c r="S8" s="29"/>
      <c r="T8" s="33">
        <v>4</v>
      </c>
      <c r="U8" s="34">
        <v>4400</v>
      </c>
      <c r="V8" s="31">
        <f t="shared" ref="V8:V10" si="4">U8*T8</f>
        <v>17600</v>
      </c>
      <c r="W8" s="15"/>
    </row>
    <row r="9" spans="2:23" ht="42" customHeight="1" x14ac:dyDescent="0.35">
      <c r="B9" s="120"/>
      <c r="C9" s="121"/>
      <c r="D9" s="155"/>
      <c r="E9" s="3"/>
      <c r="F9" s="3"/>
      <c r="G9" s="3"/>
      <c r="H9" s="6">
        <f t="shared" si="3"/>
        <v>6</v>
      </c>
      <c r="I9" s="150" t="s">
        <v>79</v>
      </c>
      <c r="J9" s="3" t="s">
        <v>6</v>
      </c>
      <c r="K9" s="3" t="s">
        <v>7</v>
      </c>
      <c r="L9" s="5" t="s">
        <v>2</v>
      </c>
      <c r="N9" s="15">
        <f t="shared" si="2"/>
        <v>7</v>
      </c>
      <c r="O9" s="112" t="s">
        <v>91</v>
      </c>
      <c r="P9" s="113"/>
      <c r="Q9" s="113"/>
      <c r="R9" s="29"/>
      <c r="S9" s="29"/>
      <c r="T9" s="33">
        <v>8</v>
      </c>
      <c r="U9" s="34">
        <v>5100</v>
      </c>
      <c r="V9" s="31">
        <f t="shared" si="4"/>
        <v>40800</v>
      </c>
      <c r="W9" s="26" t="s">
        <v>73</v>
      </c>
    </row>
    <row r="10" spans="2:23" ht="42" customHeight="1" x14ac:dyDescent="0.35">
      <c r="B10" s="122"/>
      <c r="C10" s="123"/>
      <c r="D10" s="156"/>
      <c r="E10" s="3"/>
      <c r="F10" s="3"/>
      <c r="G10" s="3"/>
      <c r="H10" s="6">
        <f t="shared" si="3"/>
        <v>7</v>
      </c>
      <c r="I10" s="151"/>
      <c r="J10" s="3">
        <f>IF(K6-120&gt;0,K6-120,"0")</f>
        <v>453</v>
      </c>
      <c r="K10" s="3">
        <f>IF(K7-120&gt;0,K7-120,"0")</f>
        <v>1233</v>
      </c>
      <c r="L10" s="3">
        <f>G4*2</f>
        <v>2</v>
      </c>
      <c r="N10" s="15">
        <f t="shared" si="2"/>
        <v>8</v>
      </c>
      <c r="O10" s="112" t="s">
        <v>61</v>
      </c>
      <c r="P10" s="113"/>
      <c r="Q10" s="113"/>
      <c r="R10" s="29"/>
      <c r="S10" s="29"/>
      <c r="T10" s="33">
        <f>T9*2+T8</f>
        <v>20</v>
      </c>
      <c r="U10" s="34">
        <v>100</v>
      </c>
      <c r="V10" s="31">
        <f t="shared" si="4"/>
        <v>2000</v>
      </c>
      <c r="W10" s="26" t="s">
        <v>74</v>
      </c>
    </row>
    <row r="11" spans="2:23" ht="42" customHeight="1" x14ac:dyDescent="0.35">
      <c r="L11" s="1">
        <f>J10*K10*L10/1000000</f>
        <v>1.1170979999999999</v>
      </c>
      <c r="N11" s="15">
        <f t="shared" si="2"/>
        <v>9</v>
      </c>
      <c r="O11" s="125" t="s">
        <v>65</v>
      </c>
      <c r="P11" s="126"/>
      <c r="Q11" s="126"/>
      <c r="R11" s="126"/>
      <c r="S11" s="127"/>
      <c r="T11" s="35"/>
      <c r="U11" s="36"/>
      <c r="V11" s="37">
        <f>SUM(V3:V10)</f>
        <v>2109992.5702</v>
      </c>
      <c r="W11" s="15"/>
    </row>
    <row r="12" spans="2:23" ht="42" customHeight="1" x14ac:dyDescent="0.35"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">
        <v>220000</v>
      </c>
      <c r="N12" s="24" t="s">
        <v>14</v>
      </c>
      <c r="O12" s="117" t="s">
        <v>51</v>
      </c>
      <c r="P12" s="117"/>
      <c r="Q12" s="117"/>
      <c r="R12" s="24" t="s">
        <v>52</v>
      </c>
      <c r="S12" s="30" t="s">
        <v>58</v>
      </c>
      <c r="T12" s="30"/>
      <c r="U12" s="24" t="s">
        <v>44</v>
      </c>
      <c r="V12" s="24" t="s">
        <v>45</v>
      </c>
      <c r="W12" s="2"/>
    </row>
    <row r="13" spans="2:23" ht="42" customHeight="1" x14ac:dyDescent="0.4">
      <c r="B13" s="115"/>
      <c r="C13" s="115"/>
      <c r="D13" s="130"/>
      <c r="E13" s="130"/>
      <c r="F13" s="130"/>
      <c r="G13" s="130"/>
      <c r="H13" s="130"/>
      <c r="I13" s="130"/>
      <c r="J13" s="115"/>
      <c r="K13" s="115"/>
      <c r="L13" s="98">
        <f>L11*L12</f>
        <v>245761.56</v>
      </c>
      <c r="N13" s="15">
        <v>1</v>
      </c>
      <c r="O13" s="112" t="s">
        <v>66</v>
      </c>
      <c r="P13" s="113"/>
      <c r="Q13" s="113"/>
      <c r="R13" s="38">
        <f>R3+R4+R6</f>
        <v>14206</v>
      </c>
      <c r="S13" s="2">
        <v>1</v>
      </c>
      <c r="T13" s="25"/>
      <c r="U13" s="38">
        <v>1000</v>
      </c>
      <c r="V13" s="38">
        <f>U13*R13*S13/1000</f>
        <v>14206</v>
      </c>
      <c r="W13" s="2"/>
    </row>
    <row r="14" spans="2:23" ht="42" customHeight="1" x14ac:dyDescent="0.35">
      <c r="B14" s="115"/>
      <c r="C14" s="115"/>
      <c r="D14" s="130"/>
      <c r="E14" s="130"/>
      <c r="F14" s="130"/>
      <c r="G14" s="130"/>
      <c r="H14" s="130"/>
      <c r="I14" s="130"/>
      <c r="J14" s="115"/>
      <c r="K14" s="115"/>
      <c r="L14" s="1">
        <f>F6*350</f>
        <v>590733.15</v>
      </c>
      <c r="N14" s="15">
        <f>N13+1</f>
        <v>2</v>
      </c>
      <c r="O14" s="112" t="s">
        <v>47</v>
      </c>
      <c r="P14" s="113"/>
      <c r="Q14" s="113"/>
      <c r="R14" s="38">
        <f>R4*2</f>
        <v>15408</v>
      </c>
      <c r="S14" s="2">
        <v>1</v>
      </c>
      <c r="T14" s="25"/>
      <c r="U14" s="38">
        <v>1000</v>
      </c>
      <c r="V14" s="38">
        <f>U14*R14*S14/1000</f>
        <v>15408</v>
      </c>
      <c r="W14" s="2"/>
    </row>
    <row r="15" spans="2:23" ht="42" customHeight="1" x14ac:dyDescent="0.35">
      <c r="B15" s="115"/>
      <c r="C15" s="115"/>
      <c r="D15" s="130"/>
      <c r="E15" s="130"/>
      <c r="F15" s="130"/>
      <c r="G15" s="130"/>
      <c r="H15" s="130"/>
      <c r="I15" s="130"/>
      <c r="J15" s="115"/>
      <c r="K15" s="115"/>
      <c r="L15" s="101">
        <v>482000</v>
      </c>
      <c r="N15" s="15">
        <f t="shared" ref="N15:N18" si="5">N14+1</f>
        <v>3</v>
      </c>
      <c r="O15" s="112" t="s">
        <v>72</v>
      </c>
      <c r="P15" s="113"/>
      <c r="Q15" s="113"/>
      <c r="R15" s="38"/>
      <c r="S15" s="2">
        <v>1</v>
      </c>
      <c r="T15" s="25"/>
      <c r="U15" s="38">
        <v>2500</v>
      </c>
      <c r="V15" s="38">
        <f>U15*S15</f>
        <v>2500</v>
      </c>
      <c r="W15" s="26" t="s">
        <v>85</v>
      </c>
    </row>
    <row r="16" spans="2:23" ht="42" customHeight="1" x14ac:dyDescent="0.35">
      <c r="B16" s="115"/>
      <c r="C16" s="115"/>
      <c r="D16" s="115"/>
      <c r="E16" s="115"/>
      <c r="F16" s="115"/>
      <c r="G16" s="115"/>
      <c r="H16" s="130"/>
      <c r="I16" s="130"/>
      <c r="J16" s="115"/>
      <c r="K16" s="115"/>
      <c r="L16" s="100">
        <f>L15+L14+L13+V19</f>
        <v>3463601.2801999999</v>
      </c>
      <c r="N16" s="15">
        <f t="shared" si="5"/>
        <v>4</v>
      </c>
      <c r="O16" s="112" t="s">
        <v>68</v>
      </c>
      <c r="P16" s="113"/>
      <c r="Q16" s="114"/>
      <c r="R16" s="38"/>
      <c r="S16" s="56">
        <v>1</v>
      </c>
      <c r="T16" s="25"/>
      <c r="U16" s="38">
        <v>1000</v>
      </c>
      <c r="V16" s="38">
        <f t="shared" ref="V16:V17" si="6">U16*S16</f>
        <v>1000</v>
      </c>
      <c r="W16" s="26" t="s">
        <v>86</v>
      </c>
    </row>
    <row r="17" spans="2:23" ht="42" customHeight="1" x14ac:dyDescent="0.35">
      <c r="B17" s="115"/>
      <c r="C17" s="115"/>
      <c r="D17" s="130"/>
      <c r="E17" s="130"/>
      <c r="F17" s="130"/>
      <c r="G17" s="130"/>
      <c r="H17" s="130"/>
      <c r="I17" s="130"/>
      <c r="J17" s="115"/>
      <c r="K17" s="115"/>
      <c r="L17" s="1">
        <f>1600*2500</f>
        <v>4000000</v>
      </c>
      <c r="N17" s="15">
        <f t="shared" si="5"/>
        <v>5</v>
      </c>
      <c r="O17" s="112" t="s">
        <v>70</v>
      </c>
      <c r="P17" s="113"/>
      <c r="Q17" s="114"/>
      <c r="R17" s="38"/>
      <c r="S17" s="2">
        <v>1</v>
      </c>
      <c r="T17" s="25"/>
      <c r="U17" s="38">
        <v>2000</v>
      </c>
      <c r="V17" s="38">
        <f t="shared" si="6"/>
        <v>2000</v>
      </c>
      <c r="W17" s="2" t="s">
        <v>86</v>
      </c>
    </row>
    <row r="18" spans="2:23" ht="42" customHeight="1" x14ac:dyDescent="0.35">
      <c r="B18" s="115"/>
      <c r="C18" s="115"/>
      <c r="D18" s="115"/>
      <c r="E18" s="115"/>
      <c r="F18" s="115"/>
      <c r="G18" s="115"/>
      <c r="H18" s="130"/>
      <c r="I18" s="130"/>
      <c r="J18" s="115"/>
      <c r="K18" s="115"/>
      <c r="L18" s="104">
        <f>L16/L17</f>
        <v>0.86590032004999995</v>
      </c>
      <c r="N18" s="15">
        <f t="shared" si="5"/>
        <v>6</v>
      </c>
      <c r="O18" s="133" t="s">
        <v>69</v>
      </c>
      <c r="P18" s="133"/>
      <c r="Q18" s="133"/>
      <c r="R18" s="133"/>
      <c r="S18" s="133"/>
      <c r="T18" s="35"/>
      <c r="U18" s="36"/>
      <c r="V18" s="37">
        <f>SUM(V13:V17)</f>
        <v>35114</v>
      </c>
      <c r="W18" s="2"/>
    </row>
    <row r="19" spans="2:23" ht="42" customHeight="1" x14ac:dyDescent="0.4">
      <c r="B19" s="115"/>
      <c r="C19" s="115"/>
      <c r="D19" s="115"/>
      <c r="E19" s="115"/>
      <c r="F19" s="115"/>
      <c r="G19" s="115"/>
      <c r="H19" s="137"/>
      <c r="I19" s="137"/>
      <c r="J19" s="115"/>
      <c r="K19" s="115"/>
      <c r="N19" s="96"/>
      <c r="O19" s="134" t="s">
        <v>137</v>
      </c>
      <c r="P19" s="135"/>
      <c r="Q19" s="135"/>
      <c r="R19" s="135"/>
      <c r="S19" s="135"/>
      <c r="T19" s="135"/>
      <c r="U19" s="136"/>
      <c r="V19" s="98">
        <f>V11+V18</f>
        <v>2145106.5702</v>
      </c>
      <c r="W19" s="97"/>
    </row>
    <row r="20" spans="2:23" ht="42" customHeight="1" x14ac:dyDescent="0.4">
      <c r="B20" s="115"/>
      <c r="C20" s="115"/>
      <c r="D20" s="115"/>
      <c r="E20" s="115"/>
      <c r="F20" s="115"/>
      <c r="G20" s="115"/>
      <c r="H20" s="130"/>
      <c r="I20" s="130"/>
      <c r="J20" s="115"/>
      <c r="K20" s="115"/>
      <c r="U20" s="98">
        <f>F6*250</f>
        <v>421952.25</v>
      </c>
      <c r="V20" s="20">
        <f>U20+V19</f>
        <v>2567058.8202</v>
      </c>
      <c r="W20" s="100">
        <f>V20/F6</f>
        <v>1520.9415403046198</v>
      </c>
    </row>
    <row r="21" spans="2:23" ht="42" customHeight="1" x14ac:dyDescent="0.35">
      <c r="T21" s="1">
        <v>461000</v>
      </c>
      <c r="U21" s="20">
        <f>U20+V19+T21+L13</f>
        <v>3273820.3802</v>
      </c>
      <c r="V21" s="100">
        <f>V20/F6</f>
        <v>1520.9415403046198</v>
      </c>
    </row>
    <row r="22" spans="2:23" ht="42" customHeight="1" x14ac:dyDescent="0.35">
      <c r="S22" s="1">
        <f>F6*2300</f>
        <v>3881960.6999999997</v>
      </c>
      <c r="T22" s="1">
        <f>1500*1800</f>
        <v>2700000</v>
      </c>
      <c r="U22" s="1">
        <v>380000</v>
      </c>
      <c r="V22" s="20">
        <f>V19+U20+L13</f>
        <v>2812820.3802</v>
      </c>
    </row>
    <row r="23" spans="2:23" ht="42" customHeight="1" x14ac:dyDescent="0.35">
      <c r="T23" s="104">
        <f>U21/T22</f>
        <v>1.2125260667407407</v>
      </c>
      <c r="U23" s="100">
        <f>L13+U22+U21</f>
        <v>3899581.9402000001</v>
      </c>
      <c r="V23" s="104">
        <f>U21/U24</f>
        <v>0.83034526054354474</v>
      </c>
    </row>
    <row r="24" spans="2:23" ht="42" customHeight="1" x14ac:dyDescent="0.35">
      <c r="T24" s="1">
        <v>702000</v>
      </c>
      <c r="U24" s="1">
        <f>F6*2336</f>
        <v>3942721.824</v>
      </c>
      <c r="V24" s="104">
        <f>U25/T25</f>
        <v>0.74736837379881804</v>
      </c>
    </row>
    <row r="25" spans="2:23" ht="42" customHeight="1" x14ac:dyDescent="0.35">
      <c r="T25" s="1">
        <f>2320*2293</f>
        <v>5319760</v>
      </c>
      <c r="U25" s="20">
        <f>U21+T24</f>
        <v>3975820.3802</v>
      </c>
    </row>
  </sheetData>
  <mergeCells count="63">
    <mergeCell ref="O19:U19"/>
    <mergeCell ref="O17:Q17"/>
    <mergeCell ref="O18:S18"/>
    <mergeCell ref="O12:Q12"/>
    <mergeCell ref="O13:Q13"/>
    <mergeCell ref="O14:Q14"/>
    <mergeCell ref="O15:Q15"/>
    <mergeCell ref="O16:Q16"/>
    <mergeCell ref="O7:Q7"/>
    <mergeCell ref="O8:Q8"/>
    <mergeCell ref="O9:Q9"/>
    <mergeCell ref="O10:Q10"/>
    <mergeCell ref="O11:S11"/>
    <mergeCell ref="N1:W1"/>
    <mergeCell ref="O2:Q2"/>
    <mergeCell ref="O3:Q3"/>
    <mergeCell ref="O4:Q4"/>
    <mergeCell ref="O5:Q5"/>
    <mergeCell ref="O6:Q6"/>
    <mergeCell ref="B19:G19"/>
    <mergeCell ref="H19:I19"/>
    <mergeCell ref="B20:C20"/>
    <mergeCell ref="D20:E20"/>
    <mergeCell ref="F20:G20"/>
    <mergeCell ref="H20:I20"/>
    <mergeCell ref="B17:C17"/>
    <mergeCell ref="D17:E17"/>
    <mergeCell ref="F17:G17"/>
    <mergeCell ref="H17:I17"/>
    <mergeCell ref="B18:G18"/>
    <mergeCell ref="H18:I18"/>
    <mergeCell ref="B15:C15"/>
    <mergeCell ref="D15:E15"/>
    <mergeCell ref="F15:G15"/>
    <mergeCell ref="H15:I15"/>
    <mergeCell ref="B16:G16"/>
    <mergeCell ref="H16:I16"/>
    <mergeCell ref="B13:C13"/>
    <mergeCell ref="D13:E13"/>
    <mergeCell ref="F13:G13"/>
    <mergeCell ref="H13:I13"/>
    <mergeCell ref="B14:C14"/>
    <mergeCell ref="D14:E14"/>
    <mergeCell ref="F14:G14"/>
    <mergeCell ref="H14:I14"/>
    <mergeCell ref="B12:C12"/>
    <mergeCell ref="D12:E12"/>
    <mergeCell ref="F12:G12"/>
    <mergeCell ref="H12:I12"/>
    <mergeCell ref="J12:K12"/>
    <mergeCell ref="I9:I10"/>
    <mergeCell ref="B3:D10"/>
    <mergeCell ref="B1:L1"/>
    <mergeCell ref="I2:L2"/>
    <mergeCell ref="B2:F2"/>
    <mergeCell ref="J18:K18"/>
    <mergeCell ref="J19:K19"/>
    <mergeCell ref="J20:K20"/>
    <mergeCell ref="J13:K13"/>
    <mergeCell ref="J14:K14"/>
    <mergeCell ref="J15:K15"/>
    <mergeCell ref="J16:K16"/>
    <mergeCell ref="J17:K17"/>
  </mergeCells>
  <pageMargins left="0.7" right="0.7" top="0.75" bottom="0.75" header="0.3" footer="0.3"/>
  <pageSetup scale="5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24"/>
  <sheetViews>
    <sheetView zoomScale="42" zoomScaleNormal="42" zoomScaleSheetLayoutView="37" workbookViewId="0">
      <selection activeCell="G4" sqref="G4"/>
    </sheetView>
  </sheetViews>
  <sheetFormatPr defaultColWidth="19.21875" defaultRowHeight="44.4" customHeight="1" x14ac:dyDescent="0.35"/>
  <cols>
    <col min="1" max="22" width="19.21875" style="1"/>
    <col min="23" max="23" width="39.5546875" style="1" customWidth="1"/>
    <col min="24" max="16384" width="19.21875" style="1"/>
  </cols>
  <sheetData>
    <row r="1" spans="2:23" ht="43.2" customHeight="1" x14ac:dyDescent="0.45">
      <c r="B1" s="116" t="s">
        <v>50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N1" s="116" t="s">
        <v>64</v>
      </c>
      <c r="O1" s="116"/>
      <c r="P1" s="116"/>
      <c r="Q1" s="116"/>
      <c r="R1" s="116"/>
      <c r="S1" s="116"/>
      <c r="T1" s="116"/>
      <c r="U1" s="116"/>
      <c r="V1" s="116"/>
      <c r="W1" s="116"/>
    </row>
    <row r="2" spans="2:23" ht="60.6" customHeight="1" x14ac:dyDescent="0.35">
      <c r="B2" s="157" t="s">
        <v>8</v>
      </c>
      <c r="C2" s="158"/>
      <c r="D2" s="158"/>
      <c r="E2" s="158"/>
      <c r="F2" s="158"/>
      <c r="G2" s="18"/>
      <c r="H2" s="150" t="s">
        <v>14</v>
      </c>
      <c r="I2" s="118" t="s">
        <v>9</v>
      </c>
      <c r="J2" s="118"/>
      <c r="K2" s="118"/>
      <c r="L2" s="118"/>
      <c r="N2" s="24" t="s">
        <v>14</v>
      </c>
      <c r="O2" s="117" t="s">
        <v>51</v>
      </c>
      <c r="P2" s="117"/>
      <c r="Q2" s="117"/>
      <c r="R2" s="24" t="s">
        <v>52</v>
      </c>
      <c r="S2" s="30" t="s">
        <v>62</v>
      </c>
      <c r="T2" s="30" t="s">
        <v>63</v>
      </c>
      <c r="U2" s="24" t="s">
        <v>44</v>
      </c>
      <c r="V2" s="24" t="s">
        <v>45</v>
      </c>
      <c r="W2" s="24" t="s">
        <v>39</v>
      </c>
    </row>
    <row r="3" spans="2:23" ht="44.4" customHeight="1" x14ac:dyDescent="0.35">
      <c r="B3" s="152"/>
      <c r="C3" s="153"/>
      <c r="D3" s="154"/>
      <c r="E3" s="3" t="s">
        <v>0</v>
      </c>
      <c r="F3" s="3" t="s">
        <v>1</v>
      </c>
      <c r="G3" s="3" t="s">
        <v>2</v>
      </c>
      <c r="H3" s="151"/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12" t="s">
        <v>80</v>
      </c>
      <c r="P3" s="113"/>
      <c r="Q3" s="113"/>
      <c r="R3" s="34">
        <f>K4*L4+K5*L5</f>
        <v>3994</v>
      </c>
      <c r="S3" s="29">
        <v>0.876</v>
      </c>
      <c r="T3" s="32">
        <f>S3*R3</f>
        <v>3498.7440000000001</v>
      </c>
      <c r="U3" s="34">
        <v>115000</v>
      </c>
      <c r="V3" s="31">
        <f>U3*T3/1000</f>
        <v>402355.56</v>
      </c>
      <c r="W3" s="80"/>
    </row>
    <row r="4" spans="2:23" ht="44.4" customHeight="1" x14ac:dyDescent="0.35">
      <c r="B4" s="120"/>
      <c r="C4" s="121"/>
      <c r="D4" s="155"/>
      <c r="E4" s="3">
        <v>800</v>
      </c>
      <c r="F4" s="3">
        <v>1197</v>
      </c>
      <c r="G4" s="3">
        <v>1</v>
      </c>
      <c r="H4" s="73" t="s">
        <v>19</v>
      </c>
      <c r="I4" s="3" t="s">
        <v>10</v>
      </c>
      <c r="J4" s="6"/>
      <c r="K4" s="3">
        <f>E4</f>
        <v>800</v>
      </c>
      <c r="L4" s="3">
        <f>G4*2</f>
        <v>2</v>
      </c>
      <c r="N4" s="15">
        <f>N3+1</f>
        <v>2</v>
      </c>
      <c r="O4" s="112" t="s">
        <v>81</v>
      </c>
      <c r="P4" s="113"/>
      <c r="Q4" s="113"/>
      <c r="R4" s="34">
        <f>K6*L6+K7*L7</f>
        <v>3794</v>
      </c>
      <c r="S4" s="29">
        <v>1.0640000000000001</v>
      </c>
      <c r="T4" s="32">
        <f t="shared" ref="T4:T5" si="0">S4*R4</f>
        <v>4036.8160000000003</v>
      </c>
      <c r="U4" s="34">
        <v>115000</v>
      </c>
      <c r="V4" s="31">
        <f t="shared" ref="V4:V5" si="1">U4*T4/1000</f>
        <v>464233.84</v>
      </c>
      <c r="W4" s="80"/>
    </row>
    <row r="5" spans="2:23" ht="44.4" customHeight="1" x14ac:dyDescent="0.35">
      <c r="B5" s="120"/>
      <c r="C5" s="121"/>
      <c r="D5" s="155"/>
      <c r="E5" s="88"/>
      <c r="F5" s="41" t="s">
        <v>46</v>
      </c>
      <c r="G5" s="41" t="s">
        <v>119</v>
      </c>
      <c r="H5" s="73" t="s">
        <v>20</v>
      </c>
      <c r="I5" s="3" t="s">
        <v>11</v>
      </c>
      <c r="J5" s="6"/>
      <c r="K5" s="3">
        <f>F4</f>
        <v>1197</v>
      </c>
      <c r="L5" s="3">
        <f>G4*2</f>
        <v>2</v>
      </c>
      <c r="N5" s="15">
        <f t="shared" ref="N5:N10" si="2">N4+1</f>
        <v>3</v>
      </c>
      <c r="O5" s="112" t="s">
        <v>55</v>
      </c>
      <c r="P5" s="113"/>
      <c r="Q5" s="113"/>
      <c r="R5" s="34">
        <f>R4</f>
        <v>3794</v>
      </c>
      <c r="S5" s="29">
        <v>0.27100000000000002</v>
      </c>
      <c r="T5" s="32">
        <f t="shared" si="0"/>
        <v>1028.174</v>
      </c>
      <c r="U5" s="34">
        <v>115000</v>
      </c>
      <c r="V5" s="31">
        <f t="shared" si="1"/>
        <v>118240.01</v>
      </c>
      <c r="W5" s="80"/>
    </row>
    <row r="6" spans="2:23" ht="44.4" customHeight="1" x14ac:dyDescent="0.35">
      <c r="B6" s="120"/>
      <c r="C6" s="121"/>
      <c r="D6" s="155"/>
      <c r="E6" s="56"/>
      <c r="F6" s="17">
        <f>F4*E4*G4/1000</f>
        <v>957.6</v>
      </c>
      <c r="G6" s="87">
        <f>SUM(T3:T5)</f>
        <v>8563.7340000000004</v>
      </c>
      <c r="H6" s="73" t="s">
        <v>21</v>
      </c>
      <c r="I6" s="3" t="s">
        <v>12</v>
      </c>
      <c r="J6" s="6"/>
      <c r="K6" s="3">
        <f>IF(E4-40-10&lt;0,"0",E4-40-10)</f>
        <v>750</v>
      </c>
      <c r="L6" s="3">
        <f>G4*2</f>
        <v>2</v>
      </c>
      <c r="N6" s="15">
        <f t="shared" si="2"/>
        <v>4</v>
      </c>
      <c r="O6" s="112" t="s">
        <v>78</v>
      </c>
      <c r="P6" s="113"/>
      <c r="Q6" s="114"/>
      <c r="R6" s="34"/>
      <c r="S6" s="29"/>
      <c r="T6" s="76"/>
      <c r="U6" s="54">
        <v>0.05</v>
      </c>
      <c r="V6" s="34">
        <f>SUM(V3:V5)*U6</f>
        <v>49241.470500000003</v>
      </c>
      <c r="W6" s="42"/>
    </row>
    <row r="7" spans="2:23" ht="44.4" customHeight="1" x14ac:dyDescent="0.35">
      <c r="B7" s="120"/>
      <c r="C7" s="121"/>
      <c r="D7" s="155"/>
      <c r="E7" s="2"/>
      <c r="F7" s="2"/>
      <c r="G7" s="2"/>
      <c r="H7" s="73" t="s">
        <v>22</v>
      </c>
      <c r="I7" s="3" t="s">
        <v>13</v>
      </c>
      <c r="J7" s="6"/>
      <c r="K7" s="3">
        <f>IF(F4-40-10&lt;0,"0",F4-40-10)</f>
        <v>1147</v>
      </c>
      <c r="L7" s="3">
        <f>G4*2</f>
        <v>2</v>
      </c>
      <c r="N7" s="15">
        <f t="shared" si="2"/>
        <v>5</v>
      </c>
      <c r="O7" s="112" t="s">
        <v>90</v>
      </c>
      <c r="P7" s="113"/>
      <c r="Q7" s="113"/>
      <c r="R7" s="29"/>
      <c r="S7" s="29"/>
      <c r="T7" s="33">
        <v>4</v>
      </c>
      <c r="U7" s="34">
        <v>4400</v>
      </c>
      <c r="V7" s="31">
        <f t="shared" ref="V7:V9" si="3">U7*T7</f>
        <v>17600</v>
      </c>
      <c r="W7" s="26" t="s">
        <v>84</v>
      </c>
    </row>
    <row r="8" spans="2:23" ht="44.4" customHeight="1" x14ac:dyDescent="0.35">
      <c r="B8" s="120"/>
      <c r="C8" s="121"/>
      <c r="D8" s="155"/>
      <c r="E8" s="3"/>
      <c r="F8" s="3"/>
      <c r="G8" s="3"/>
      <c r="H8" s="73" t="s">
        <v>24</v>
      </c>
      <c r="I8" s="150" t="s">
        <v>79</v>
      </c>
      <c r="J8" s="3" t="s">
        <v>6</v>
      </c>
      <c r="K8" s="3" t="s">
        <v>7</v>
      </c>
      <c r="L8" s="5" t="s">
        <v>2</v>
      </c>
      <c r="N8" s="15">
        <f t="shared" si="2"/>
        <v>6</v>
      </c>
      <c r="O8" s="112" t="s">
        <v>91</v>
      </c>
      <c r="P8" s="113"/>
      <c r="Q8" s="113"/>
      <c r="R8" s="29"/>
      <c r="S8" s="29"/>
      <c r="T8" s="33">
        <v>4</v>
      </c>
      <c r="U8" s="34">
        <v>5100</v>
      </c>
      <c r="V8" s="31">
        <f t="shared" si="3"/>
        <v>20400</v>
      </c>
      <c r="W8" s="26" t="s">
        <v>73</v>
      </c>
    </row>
    <row r="9" spans="2:23" ht="44.4" customHeight="1" x14ac:dyDescent="0.35">
      <c r="B9" s="122"/>
      <c r="C9" s="123"/>
      <c r="D9" s="156"/>
      <c r="E9" s="3"/>
      <c r="F9" s="3"/>
      <c r="G9" s="3"/>
      <c r="H9" s="73" t="s">
        <v>25</v>
      </c>
      <c r="I9" s="151"/>
      <c r="J9" s="17">
        <f>IF(K6-120&gt;0,K6-120,"0")</f>
        <v>630</v>
      </c>
      <c r="K9" s="17">
        <f>IF(K7-120&gt;0,K7-120,"0")</f>
        <v>1027</v>
      </c>
      <c r="L9" s="17">
        <f>G4</f>
        <v>1</v>
      </c>
      <c r="N9" s="15">
        <f t="shared" si="2"/>
        <v>7</v>
      </c>
      <c r="O9" s="112" t="s">
        <v>61</v>
      </c>
      <c r="P9" s="113"/>
      <c r="Q9" s="113"/>
      <c r="R9" s="29"/>
      <c r="S9" s="29"/>
      <c r="T9" s="33">
        <f>T8*2+T7</f>
        <v>12</v>
      </c>
      <c r="U9" s="34">
        <v>100</v>
      </c>
      <c r="V9" s="31">
        <f t="shared" si="3"/>
        <v>1200</v>
      </c>
      <c r="W9" s="26" t="s">
        <v>74</v>
      </c>
    </row>
    <row r="10" spans="2:23" ht="44.4" customHeight="1" x14ac:dyDescent="0.35">
      <c r="L10" s="1">
        <f>J9*K9*L9/1000000</f>
        <v>0.64700999999999997</v>
      </c>
      <c r="N10" s="15">
        <f t="shared" si="2"/>
        <v>8</v>
      </c>
      <c r="O10" s="125" t="s">
        <v>65</v>
      </c>
      <c r="P10" s="126"/>
      <c r="Q10" s="126"/>
      <c r="R10" s="126"/>
      <c r="S10" s="127"/>
      <c r="T10" s="35"/>
      <c r="U10" s="36"/>
      <c r="V10" s="37">
        <f>SUM(V3:V9)</f>
        <v>1073270.8805</v>
      </c>
      <c r="W10" s="15"/>
    </row>
    <row r="11" spans="2:23" ht="44.4" customHeight="1" x14ac:dyDescent="0.35">
      <c r="L11" s="1">
        <v>220000</v>
      </c>
      <c r="N11" s="24" t="s">
        <v>14</v>
      </c>
      <c r="O11" s="117" t="s">
        <v>51</v>
      </c>
      <c r="P11" s="117"/>
      <c r="Q11" s="117"/>
      <c r="R11" s="24" t="s">
        <v>52</v>
      </c>
      <c r="S11" s="30" t="s">
        <v>58</v>
      </c>
      <c r="T11" s="30"/>
      <c r="U11" s="24" t="s">
        <v>44</v>
      </c>
      <c r="V11" s="24" t="s">
        <v>45</v>
      </c>
      <c r="W11" s="2"/>
    </row>
    <row r="12" spans="2:23" ht="44.4" customHeight="1" x14ac:dyDescent="0.35"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89">
        <f>L10*L11</f>
        <v>142342.19999999998</v>
      </c>
      <c r="N12" s="15">
        <v>1</v>
      </c>
      <c r="O12" s="112" t="s">
        <v>66</v>
      </c>
      <c r="P12" s="113"/>
      <c r="Q12" s="113"/>
      <c r="R12" s="38">
        <f>R3+R4</f>
        <v>7788</v>
      </c>
      <c r="S12" s="2">
        <v>1</v>
      </c>
      <c r="T12" s="25"/>
      <c r="U12" s="38">
        <v>1000</v>
      </c>
      <c r="V12" s="38">
        <f>U12*R12*S12/1000</f>
        <v>7788</v>
      </c>
      <c r="W12" s="2"/>
    </row>
    <row r="13" spans="2:23" ht="44.4" customHeight="1" x14ac:dyDescent="0.35">
      <c r="B13" s="115"/>
      <c r="C13" s="115"/>
      <c r="D13" s="130"/>
      <c r="E13" s="130"/>
      <c r="F13" s="130"/>
      <c r="G13" s="130"/>
      <c r="H13" s="130"/>
      <c r="I13" s="130"/>
      <c r="J13" s="55"/>
      <c r="K13" s="55"/>
      <c r="L13" s="55"/>
      <c r="N13" s="15">
        <f>N12+1</f>
        <v>2</v>
      </c>
      <c r="O13" s="112" t="s">
        <v>47</v>
      </c>
      <c r="P13" s="113"/>
      <c r="Q13" s="113"/>
      <c r="R13" s="38">
        <f>R4*2</f>
        <v>7588</v>
      </c>
      <c r="S13" s="2">
        <v>1</v>
      </c>
      <c r="T13" s="25"/>
      <c r="U13" s="38">
        <v>1000</v>
      </c>
      <c r="V13" s="38">
        <f>U13*R13*S13/1000</f>
        <v>7588</v>
      </c>
      <c r="W13" s="2"/>
    </row>
    <row r="14" spans="2:23" ht="44.4" customHeight="1" x14ac:dyDescent="0.35">
      <c r="B14" s="115"/>
      <c r="C14" s="115"/>
      <c r="D14" s="130"/>
      <c r="E14" s="130"/>
      <c r="F14" s="130"/>
      <c r="G14" s="130"/>
      <c r="H14" s="130"/>
      <c r="I14" s="130"/>
      <c r="J14" s="55"/>
      <c r="K14" s="55"/>
      <c r="L14" s="55"/>
      <c r="N14" s="15">
        <f t="shared" ref="N14:N16" si="4">N13+1</f>
        <v>3</v>
      </c>
      <c r="O14" s="112" t="s">
        <v>68</v>
      </c>
      <c r="P14" s="113"/>
      <c r="Q14" s="114"/>
      <c r="R14" s="38"/>
      <c r="S14" s="56">
        <v>1</v>
      </c>
      <c r="T14" s="25"/>
      <c r="U14" s="38">
        <v>1000</v>
      </c>
      <c r="V14" s="38">
        <f t="shared" ref="V14:V15" si="5">U14*S14</f>
        <v>1000</v>
      </c>
      <c r="W14" s="26" t="s">
        <v>86</v>
      </c>
    </row>
    <row r="15" spans="2:23" ht="44.4" customHeight="1" x14ac:dyDescent="0.35">
      <c r="B15" s="115"/>
      <c r="C15" s="115"/>
      <c r="D15" s="130"/>
      <c r="E15" s="130"/>
      <c r="F15" s="130"/>
      <c r="G15" s="130"/>
      <c r="H15" s="130"/>
      <c r="I15" s="130"/>
      <c r="J15" s="55"/>
      <c r="K15" s="55"/>
      <c r="L15" s="55"/>
      <c r="N15" s="15">
        <f t="shared" si="4"/>
        <v>4</v>
      </c>
      <c r="O15" s="112" t="s">
        <v>70</v>
      </c>
      <c r="P15" s="113"/>
      <c r="Q15" s="114"/>
      <c r="R15" s="38"/>
      <c r="S15" s="2">
        <v>1</v>
      </c>
      <c r="T15" s="25"/>
      <c r="U15" s="38">
        <v>2000</v>
      </c>
      <c r="V15" s="38">
        <f t="shared" si="5"/>
        <v>2000</v>
      </c>
      <c r="W15" s="26" t="s">
        <v>86</v>
      </c>
    </row>
    <row r="16" spans="2:23" ht="44.4" customHeight="1" x14ac:dyDescent="0.35">
      <c r="B16" s="115"/>
      <c r="C16" s="115"/>
      <c r="D16" s="115"/>
      <c r="E16" s="115"/>
      <c r="F16" s="115"/>
      <c r="G16" s="115"/>
      <c r="H16" s="130"/>
      <c r="I16" s="130"/>
      <c r="J16" s="55"/>
      <c r="K16" s="55"/>
      <c r="L16" s="55"/>
      <c r="N16" s="15">
        <f t="shared" si="4"/>
        <v>5</v>
      </c>
      <c r="O16" s="133" t="s">
        <v>69</v>
      </c>
      <c r="P16" s="133"/>
      <c r="Q16" s="133"/>
      <c r="R16" s="133"/>
      <c r="S16" s="133"/>
      <c r="T16" s="35"/>
      <c r="U16" s="36"/>
      <c r="V16" s="37">
        <f>SUM(V12:V15)</f>
        <v>18376</v>
      </c>
      <c r="W16" s="2"/>
    </row>
    <row r="17" spans="2:23" ht="44.4" customHeight="1" x14ac:dyDescent="0.4">
      <c r="B17" s="115"/>
      <c r="C17" s="115"/>
      <c r="D17" s="130"/>
      <c r="E17" s="130"/>
      <c r="F17" s="130"/>
      <c r="G17" s="130"/>
      <c r="H17" s="130"/>
      <c r="I17" s="130"/>
      <c r="J17" s="55"/>
      <c r="K17" s="55"/>
      <c r="L17" s="55"/>
      <c r="N17" s="96"/>
      <c r="O17" s="134" t="s">
        <v>137</v>
      </c>
      <c r="P17" s="135"/>
      <c r="Q17" s="135"/>
      <c r="R17" s="135"/>
      <c r="S17" s="135"/>
      <c r="T17" s="135"/>
      <c r="U17" s="136"/>
      <c r="V17" s="98">
        <f>V8+V16</f>
        <v>38776</v>
      </c>
      <c r="W17" s="97"/>
    </row>
    <row r="18" spans="2:23" ht="44.4" customHeight="1" x14ac:dyDescent="0.35">
      <c r="B18" s="115"/>
      <c r="C18" s="115"/>
      <c r="D18" s="115"/>
      <c r="E18" s="115"/>
      <c r="F18" s="115"/>
      <c r="G18" s="115"/>
      <c r="H18" s="130"/>
      <c r="I18" s="130"/>
      <c r="J18" s="55"/>
      <c r="K18" s="55"/>
      <c r="L18" s="55"/>
      <c r="O18" s="19"/>
      <c r="P18" s="132"/>
      <c r="Q18" s="132"/>
      <c r="R18" s="47"/>
      <c r="S18" s="45"/>
      <c r="T18" s="45"/>
      <c r="U18" s="49">
        <f>V10+V17</f>
        <v>1112046.8805</v>
      </c>
      <c r="V18" s="45"/>
      <c r="W18" s="49"/>
    </row>
    <row r="19" spans="2:23" ht="44.4" customHeight="1" x14ac:dyDescent="0.35">
      <c r="B19" s="115"/>
      <c r="C19" s="115"/>
      <c r="D19" s="115"/>
      <c r="E19" s="115"/>
      <c r="F19" s="115"/>
      <c r="G19" s="115"/>
      <c r="H19" s="137"/>
      <c r="I19" s="137"/>
      <c r="J19" s="55"/>
      <c r="K19" s="55"/>
      <c r="L19" s="55"/>
      <c r="O19" s="19"/>
      <c r="P19" s="132"/>
      <c r="Q19" s="132"/>
      <c r="R19" s="47"/>
      <c r="S19" s="45"/>
      <c r="T19" s="45"/>
      <c r="U19" s="48">
        <f>F6*250</f>
        <v>239400</v>
      </c>
      <c r="V19" s="45"/>
      <c r="W19" s="49"/>
    </row>
    <row r="20" spans="2:23" ht="44.4" customHeight="1" x14ac:dyDescent="0.35">
      <c r="B20" s="115"/>
      <c r="C20" s="115"/>
      <c r="D20" s="115"/>
      <c r="E20" s="115"/>
      <c r="F20" s="115"/>
      <c r="G20" s="115"/>
      <c r="H20" s="130"/>
      <c r="I20" s="130"/>
      <c r="J20" s="55"/>
      <c r="K20" s="55"/>
      <c r="T20" s="1">
        <f>F6*300000/1000</f>
        <v>287280</v>
      </c>
      <c r="U20" s="20">
        <f>U19+U18</f>
        <v>1351446.8805</v>
      </c>
      <c r="V20" s="1">
        <f>F6*1900</f>
        <v>1819440</v>
      </c>
    </row>
    <row r="21" spans="2:23" ht="44.4" customHeight="1" x14ac:dyDescent="0.35">
      <c r="T21" s="20">
        <f>T20+U20+L12</f>
        <v>1781069.0804999999</v>
      </c>
      <c r="U21" s="20">
        <f>U20/F6</f>
        <v>1411.2853806390976</v>
      </c>
      <c r="V21" s="100">
        <f>U20/F6</f>
        <v>1411.2853806390976</v>
      </c>
    </row>
    <row r="22" spans="2:23" ht="44.4" customHeight="1" x14ac:dyDescent="0.4">
      <c r="U22" s="98">
        <f>800*1600</f>
        <v>1280000</v>
      </c>
      <c r="V22" s="100">
        <f>U20/V20</f>
        <v>0.74278177928373568</v>
      </c>
    </row>
    <row r="23" spans="2:23" ht="44.4" customHeight="1" x14ac:dyDescent="0.35">
      <c r="U23" s="104">
        <f>U18/U22</f>
        <v>0.86878662539062501</v>
      </c>
    </row>
    <row r="24" spans="2:23" ht="44.4" customHeight="1" x14ac:dyDescent="0.35">
      <c r="U24" s="104">
        <f>U21/U22</f>
        <v>1.102566703624295E-3</v>
      </c>
    </row>
  </sheetData>
  <mergeCells count="56">
    <mergeCell ref="O16:S16"/>
    <mergeCell ref="P18:Q18"/>
    <mergeCell ref="P19:Q19"/>
    <mergeCell ref="O11:Q11"/>
    <mergeCell ref="O12:Q12"/>
    <mergeCell ref="O13:Q13"/>
    <mergeCell ref="O14:Q14"/>
    <mergeCell ref="O15:Q15"/>
    <mergeCell ref="O17:U17"/>
    <mergeCell ref="O6:Q6"/>
    <mergeCell ref="O7:Q7"/>
    <mergeCell ref="O8:Q8"/>
    <mergeCell ref="O9:Q9"/>
    <mergeCell ref="O10:S10"/>
    <mergeCell ref="N1:W1"/>
    <mergeCell ref="O2:Q2"/>
    <mergeCell ref="O3:Q3"/>
    <mergeCell ref="O4:Q4"/>
    <mergeCell ref="O5:Q5"/>
    <mergeCell ref="B19:G19"/>
    <mergeCell ref="H19:I19"/>
    <mergeCell ref="B20:C20"/>
    <mergeCell ref="D20:E20"/>
    <mergeCell ref="F20:G20"/>
    <mergeCell ref="H20:I20"/>
    <mergeCell ref="B17:C17"/>
    <mergeCell ref="D17:E17"/>
    <mergeCell ref="F17:G17"/>
    <mergeCell ref="H17:I17"/>
    <mergeCell ref="B18:G18"/>
    <mergeCell ref="H18:I18"/>
    <mergeCell ref="B15:C15"/>
    <mergeCell ref="D15:E15"/>
    <mergeCell ref="F15:G15"/>
    <mergeCell ref="H15:I15"/>
    <mergeCell ref="B16:G16"/>
    <mergeCell ref="H16:I16"/>
    <mergeCell ref="B13:C13"/>
    <mergeCell ref="D13:E13"/>
    <mergeCell ref="F13:G13"/>
    <mergeCell ref="H13:I13"/>
    <mergeCell ref="B14:C14"/>
    <mergeCell ref="D14:E14"/>
    <mergeCell ref="F14:G14"/>
    <mergeCell ref="H14:I14"/>
    <mergeCell ref="B1:L1"/>
    <mergeCell ref="B12:C12"/>
    <mergeCell ref="D12:E12"/>
    <mergeCell ref="F12:G12"/>
    <mergeCell ref="H12:I12"/>
    <mergeCell ref="J12:K12"/>
    <mergeCell ref="B3:D9"/>
    <mergeCell ref="H2:H3"/>
    <mergeCell ref="I8:I9"/>
    <mergeCell ref="I2:L2"/>
    <mergeCell ref="B2:F2"/>
  </mergeCells>
  <pageMargins left="0.7" right="0.7" top="0.75" bottom="0.75" header="0.3" footer="0.3"/>
  <pageSetup scale="5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W21"/>
  <sheetViews>
    <sheetView topLeftCell="B1" zoomScale="45" zoomScaleNormal="45" workbookViewId="0">
      <selection activeCell="J10" sqref="J10"/>
    </sheetView>
  </sheetViews>
  <sheetFormatPr defaultColWidth="18.109375" defaultRowHeight="34.950000000000003" customHeight="1" x14ac:dyDescent="0.35"/>
  <cols>
    <col min="1" max="21" width="18.109375" style="1"/>
    <col min="22" max="22" width="21.77734375" style="1" customWidth="1"/>
    <col min="23" max="23" width="36.5546875" style="1" customWidth="1"/>
    <col min="24" max="16384" width="18.109375" style="1"/>
  </cols>
  <sheetData>
    <row r="1" spans="2:23" ht="34.950000000000003" customHeight="1" x14ac:dyDescent="0.45">
      <c r="B1" s="116" t="s">
        <v>50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N1" s="116" t="s">
        <v>64</v>
      </c>
      <c r="O1" s="116"/>
      <c r="P1" s="116"/>
      <c r="Q1" s="116"/>
      <c r="R1" s="116"/>
      <c r="S1" s="116"/>
      <c r="T1" s="116"/>
      <c r="U1" s="116"/>
      <c r="V1" s="116"/>
      <c r="W1" s="116"/>
    </row>
    <row r="2" spans="2:23" ht="53.4" customHeight="1" x14ac:dyDescent="0.35">
      <c r="B2" s="157" t="s">
        <v>8</v>
      </c>
      <c r="C2" s="158"/>
      <c r="D2" s="158"/>
      <c r="E2" s="158"/>
      <c r="F2" s="158"/>
      <c r="G2" s="8"/>
      <c r="H2" s="7"/>
      <c r="I2" s="157" t="s">
        <v>9</v>
      </c>
      <c r="J2" s="158"/>
      <c r="K2" s="158"/>
      <c r="L2" s="158"/>
      <c r="N2" s="24" t="s">
        <v>14</v>
      </c>
      <c r="O2" s="117" t="s">
        <v>51</v>
      </c>
      <c r="P2" s="117"/>
      <c r="Q2" s="117"/>
      <c r="R2" s="24" t="s">
        <v>52</v>
      </c>
      <c r="S2" s="30" t="s">
        <v>62</v>
      </c>
      <c r="T2" s="30" t="s">
        <v>63</v>
      </c>
      <c r="U2" s="24" t="s">
        <v>44</v>
      </c>
      <c r="V2" s="24" t="s">
        <v>45</v>
      </c>
      <c r="W2" s="24" t="s">
        <v>39</v>
      </c>
    </row>
    <row r="3" spans="2:23" ht="34.950000000000003" customHeight="1" x14ac:dyDescent="0.35">
      <c r="B3" s="159"/>
      <c r="C3" s="160"/>
      <c r="D3" s="160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12" t="s">
        <v>116</v>
      </c>
      <c r="P3" s="113"/>
      <c r="Q3" s="113"/>
      <c r="R3" s="34">
        <f>K4*L4+K5*L5</f>
        <v>8000</v>
      </c>
      <c r="S3" s="29">
        <v>0.876</v>
      </c>
      <c r="T3" s="32">
        <f>S3*R3</f>
        <v>7008</v>
      </c>
      <c r="U3" s="34">
        <v>170000</v>
      </c>
      <c r="V3" s="31">
        <f>U3*T3/1000</f>
        <v>1191360</v>
      </c>
      <c r="W3" s="138"/>
    </row>
    <row r="4" spans="2:23" ht="34.950000000000003" customHeight="1" x14ac:dyDescent="0.35">
      <c r="B4" s="161"/>
      <c r="C4" s="162"/>
      <c r="D4" s="162"/>
      <c r="E4" s="3">
        <v>2500</v>
      </c>
      <c r="F4" s="3">
        <v>1500</v>
      </c>
      <c r="G4" s="3">
        <v>1</v>
      </c>
      <c r="H4" s="6" t="s">
        <v>19</v>
      </c>
      <c r="I4" s="3" t="s">
        <v>10</v>
      </c>
      <c r="J4" s="6"/>
      <c r="K4" s="3">
        <f>E4</f>
        <v>2500</v>
      </c>
      <c r="L4" s="3">
        <f>G4*2</f>
        <v>2</v>
      </c>
      <c r="N4" s="15">
        <f>N3+1</f>
        <v>2</v>
      </c>
      <c r="O4" s="112" t="s">
        <v>81</v>
      </c>
      <c r="P4" s="113"/>
      <c r="Q4" s="113"/>
      <c r="R4" s="34">
        <f>K6*L6+K7*L7</f>
        <v>13500</v>
      </c>
      <c r="S4" s="29">
        <v>1.0640000000000001</v>
      </c>
      <c r="T4" s="32">
        <f t="shared" ref="T4:T6" si="0">S4*R4</f>
        <v>14364</v>
      </c>
      <c r="U4" s="34">
        <v>170000</v>
      </c>
      <c r="V4" s="31">
        <f t="shared" ref="V4:V6" si="1">U4*T4/1000</f>
        <v>2441880</v>
      </c>
      <c r="W4" s="139"/>
    </row>
    <row r="5" spans="2:23" ht="34.950000000000003" customHeight="1" x14ac:dyDescent="0.35">
      <c r="B5" s="161"/>
      <c r="C5" s="162"/>
      <c r="D5" s="162"/>
      <c r="E5" s="88"/>
      <c r="F5" s="41" t="s">
        <v>46</v>
      </c>
      <c r="G5" s="41" t="s">
        <v>119</v>
      </c>
      <c r="H5" s="6" t="s">
        <v>20</v>
      </c>
      <c r="I5" s="3" t="s">
        <v>11</v>
      </c>
      <c r="J5" s="6"/>
      <c r="K5" s="3">
        <f>F4</f>
        <v>1500</v>
      </c>
      <c r="L5" s="3">
        <f>G4*2</f>
        <v>2</v>
      </c>
      <c r="N5" s="15">
        <f t="shared" ref="N5:N11" si="2">N4+1</f>
        <v>3</v>
      </c>
      <c r="O5" s="112" t="s">
        <v>55</v>
      </c>
      <c r="P5" s="113"/>
      <c r="Q5" s="113"/>
      <c r="R5" s="34">
        <f>R4</f>
        <v>13500</v>
      </c>
      <c r="S5" s="29">
        <v>0.27100000000000002</v>
      </c>
      <c r="T5" s="32">
        <f t="shared" si="0"/>
        <v>3658.5000000000005</v>
      </c>
      <c r="U5" s="34">
        <v>170000</v>
      </c>
      <c r="V5" s="31">
        <f t="shared" si="1"/>
        <v>621945.00000000012</v>
      </c>
      <c r="W5" s="139"/>
    </row>
    <row r="6" spans="2:23" ht="34.950000000000003" customHeight="1" x14ac:dyDescent="0.35">
      <c r="B6" s="161"/>
      <c r="C6" s="162"/>
      <c r="D6" s="162"/>
      <c r="E6" s="56"/>
      <c r="F6" s="17">
        <f>F4*E4/1000</f>
        <v>3750</v>
      </c>
      <c r="G6" s="87">
        <f>SUM(T3:T6)</f>
        <v>27979.7</v>
      </c>
      <c r="H6" s="6" t="s">
        <v>21</v>
      </c>
      <c r="I6" s="3" t="s">
        <v>17</v>
      </c>
      <c r="J6" s="6"/>
      <c r="K6" s="3">
        <f>IF(ROUNDDOWN((E4-40-30-30)/3,0)&lt;0,"0",ROUNDDOWN((E4-40-30-30)/3,0))</f>
        <v>800</v>
      </c>
      <c r="L6" s="3">
        <f>G4*6</f>
        <v>6</v>
      </c>
      <c r="N6" s="15">
        <f t="shared" si="2"/>
        <v>4</v>
      </c>
      <c r="O6" s="112" t="s">
        <v>87</v>
      </c>
      <c r="P6" s="113"/>
      <c r="Q6" s="113"/>
      <c r="R6" s="34">
        <f>K8*L8</f>
        <v>2920</v>
      </c>
      <c r="S6" s="29">
        <v>1.01</v>
      </c>
      <c r="T6" s="32">
        <f t="shared" si="0"/>
        <v>2949.2</v>
      </c>
      <c r="U6" s="34">
        <v>170000</v>
      </c>
      <c r="V6" s="31">
        <f t="shared" si="1"/>
        <v>501363.99999999994</v>
      </c>
      <c r="W6" s="140"/>
    </row>
    <row r="7" spans="2:23" ht="34.950000000000003" customHeight="1" x14ac:dyDescent="0.35">
      <c r="B7" s="161"/>
      <c r="C7" s="162"/>
      <c r="D7" s="162"/>
      <c r="E7" s="2"/>
      <c r="F7" s="2"/>
      <c r="G7" s="2"/>
      <c r="H7" s="6" t="s">
        <v>22</v>
      </c>
      <c r="I7" s="3" t="s">
        <v>18</v>
      </c>
      <c r="J7" s="6"/>
      <c r="K7" s="3">
        <f>IF(F4-40-10&lt;0,"0",F4-40-10)</f>
        <v>1450</v>
      </c>
      <c r="L7" s="3">
        <f>G4*6</f>
        <v>6</v>
      </c>
      <c r="N7" s="15">
        <f t="shared" si="2"/>
        <v>5</v>
      </c>
      <c r="O7" s="112" t="s">
        <v>78</v>
      </c>
      <c r="P7" s="113"/>
      <c r="Q7" s="114"/>
      <c r="R7" s="34"/>
      <c r="S7" s="29"/>
      <c r="T7" s="76"/>
      <c r="U7" s="54">
        <v>0.05</v>
      </c>
      <c r="V7" s="34">
        <f>SUM(V3:V6)*U7</f>
        <v>237827.45</v>
      </c>
      <c r="W7" s="42"/>
    </row>
    <row r="8" spans="2:23" ht="34.950000000000003" customHeight="1" x14ac:dyDescent="0.35">
      <c r="B8" s="161"/>
      <c r="C8" s="162"/>
      <c r="D8" s="162"/>
      <c r="E8" s="2"/>
      <c r="F8" s="2"/>
      <c r="G8" s="2"/>
      <c r="H8" s="6" t="s">
        <v>24</v>
      </c>
      <c r="I8" s="3" t="s">
        <v>27</v>
      </c>
      <c r="J8" s="6"/>
      <c r="K8" s="3">
        <f>IF(F4-40&lt;0,"0",F4-40)</f>
        <v>1460</v>
      </c>
      <c r="L8" s="3">
        <f>G4*2</f>
        <v>2</v>
      </c>
      <c r="N8" s="15">
        <f t="shared" si="2"/>
        <v>6</v>
      </c>
      <c r="O8" s="112" t="s">
        <v>90</v>
      </c>
      <c r="P8" s="113"/>
      <c r="Q8" s="113"/>
      <c r="R8" s="29"/>
      <c r="S8" s="29"/>
      <c r="T8" s="33">
        <v>4</v>
      </c>
      <c r="U8" s="34">
        <v>4400</v>
      </c>
      <c r="V8" s="31">
        <f t="shared" ref="V8:V10" si="3">U8*T8</f>
        <v>17600</v>
      </c>
      <c r="W8" s="15"/>
    </row>
    <row r="9" spans="2:23" ht="34.950000000000003" customHeight="1" x14ac:dyDescent="0.35">
      <c r="B9" s="161"/>
      <c r="C9" s="162"/>
      <c r="D9" s="162"/>
      <c r="E9" s="3"/>
      <c r="F9" s="3"/>
      <c r="G9" s="3"/>
      <c r="H9" s="3"/>
      <c r="I9" s="165" t="s">
        <v>79</v>
      </c>
      <c r="J9" s="3" t="s">
        <v>6</v>
      </c>
      <c r="K9" s="3" t="s">
        <v>7</v>
      </c>
      <c r="L9" s="5" t="s">
        <v>2</v>
      </c>
      <c r="N9" s="15">
        <f t="shared" si="2"/>
        <v>7</v>
      </c>
      <c r="O9" s="112" t="s">
        <v>91</v>
      </c>
      <c r="P9" s="113"/>
      <c r="Q9" s="113"/>
      <c r="R9" s="29"/>
      <c r="S9" s="29"/>
      <c r="T9" s="33">
        <v>12</v>
      </c>
      <c r="U9" s="34">
        <v>5100</v>
      </c>
      <c r="V9" s="31">
        <f t="shared" si="3"/>
        <v>61200</v>
      </c>
      <c r="W9" s="26" t="s">
        <v>73</v>
      </c>
    </row>
    <row r="10" spans="2:23" ht="34.950000000000003" customHeight="1" x14ac:dyDescent="0.35">
      <c r="B10" s="163"/>
      <c r="C10" s="164"/>
      <c r="D10" s="164"/>
      <c r="E10" s="3"/>
      <c r="F10" s="3"/>
      <c r="G10" s="3"/>
      <c r="H10" s="3"/>
      <c r="I10" s="166"/>
      <c r="J10" s="17">
        <f>IF(K6-120&gt;0,K6-120,"0")</f>
        <v>680</v>
      </c>
      <c r="K10" s="17">
        <f>IF(K7-125&gt;0,K7-125,"0")</f>
        <v>1325</v>
      </c>
      <c r="L10" s="17">
        <f>G4*3</f>
        <v>3</v>
      </c>
      <c r="N10" s="15">
        <f>N9+1</f>
        <v>8</v>
      </c>
      <c r="O10" s="112" t="s">
        <v>61</v>
      </c>
      <c r="P10" s="113"/>
      <c r="Q10" s="113"/>
      <c r="R10" s="29"/>
      <c r="S10" s="29"/>
      <c r="T10" s="33">
        <f>T9*2+T8</f>
        <v>28</v>
      </c>
      <c r="U10" s="34">
        <v>100</v>
      </c>
      <c r="V10" s="31">
        <f t="shared" si="3"/>
        <v>2800</v>
      </c>
      <c r="W10" s="26" t="s">
        <v>74</v>
      </c>
    </row>
    <row r="11" spans="2:23" ht="34.950000000000003" customHeight="1" x14ac:dyDescent="0.35">
      <c r="N11" s="15">
        <f t="shared" si="2"/>
        <v>9</v>
      </c>
      <c r="O11" s="125" t="s">
        <v>65</v>
      </c>
      <c r="P11" s="126"/>
      <c r="Q11" s="126"/>
      <c r="R11" s="126"/>
      <c r="S11" s="127"/>
      <c r="T11" s="35"/>
      <c r="U11" s="36"/>
      <c r="V11" s="37">
        <f>SUM(V3:V10)</f>
        <v>5075976.45</v>
      </c>
      <c r="W11" s="15"/>
    </row>
    <row r="12" spans="2:23" ht="34.950000000000003" customHeight="1" x14ac:dyDescent="0.35">
      <c r="L12" s="1">
        <f>J10*K10*L10/1000000</f>
        <v>2.7029999999999998</v>
      </c>
      <c r="N12" s="24" t="s">
        <v>14</v>
      </c>
      <c r="O12" s="117" t="s">
        <v>51</v>
      </c>
      <c r="P12" s="117"/>
      <c r="Q12" s="117"/>
      <c r="R12" s="24" t="s">
        <v>52</v>
      </c>
      <c r="S12" s="30" t="s">
        <v>58</v>
      </c>
      <c r="T12" s="30"/>
      <c r="U12" s="24" t="s">
        <v>44</v>
      </c>
      <c r="V12" s="24" t="s">
        <v>45</v>
      </c>
      <c r="W12" s="2"/>
    </row>
    <row r="13" spans="2:23" ht="34.950000000000003" customHeight="1" x14ac:dyDescent="0.35"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">
        <f>L12*220000</f>
        <v>594660</v>
      </c>
      <c r="N13" s="15">
        <v>1</v>
      </c>
      <c r="O13" s="112" t="s">
        <v>66</v>
      </c>
      <c r="P13" s="113"/>
      <c r="Q13" s="113"/>
      <c r="R13" s="38">
        <f>R3+R6+R4</f>
        <v>24420</v>
      </c>
      <c r="S13" s="2">
        <v>1</v>
      </c>
      <c r="T13" s="25"/>
      <c r="U13" s="38">
        <v>1000</v>
      </c>
      <c r="V13" s="38">
        <f>U13*R13/1000</f>
        <v>24420</v>
      </c>
      <c r="W13" s="2"/>
    </row>
    <row r="14" spans="2:23" ht="34.950000000000003" customHeight="1" x14ac:dyDescent="0.35">
      <c r="B14" s="115"/>
      <c r="C14" s="115"/>
      <c r="D14" s="130"/>
      <c r="E14" s="130"/>
      <c r="F14" s="130"/>
      <c r="G14" s="130"/>
      <c r="H14" s="130"/>
      <c r="I14" s="130"/>
      <c r="J14" s="115"/>
      <c r="K14" s="115"/>
      <c r="L14" s="1">
        <f>F6*200</f>
        <v>750000</v>
      </c>
      <c r="N14" s="15">
        <f>N13+1</f>
        <v>2</v>
      </c>
      <c r="O14" s="112" t="s">
        <v>47</v>
      </c>
      <c r="P14" s="113"/>
      <c r="Q14" s="113"/>
      <c r="R14" s="38">
        <f>R4*2</f>
        <v>27000</v>
      </c>
      <c r="S14" s="2">
        <v>1</v>
      </c>
      <c r="T14" s="25"/>
      <c r="U14" s="38">
        <v>1000</v>
      </c>
      <c r="V14" s="38">
        <f>U14*R14/1000</f>
        <v>27000</v>
      </c>
      <c r="W14" s="2"/>
    </row>
    <row r="15" spans="2:23" ht="34.950000000000003" customHeight="1" x14ac:dyDescent="0.35">
      <c r="B15" s="115"/>
      <c r="C15" s="115"/>
      <c r="D15" s="130"/>
      <c r="E15" s="130"/>
      <c r="F15" s="130"/>
      <c r="G15" s="130"/>
      <c r="H15" s="130"/>
      <c r="I15" s="130"/>
      <c r="J15" s="115"/>
      <c r="K15" s="115"/>
      <c r="L15" s="1">
        <f>'[1]Phoi theo bo( XINGFA-OXIDIZED)'!$N$152</f>
        <v>1748944.1121428574</v>
      </c>
      <c r="N15" s="15">
        <v>3</v>
      </c>
      <c r="O15" s="112" t="s">
        <v>68</v>
      </c>
      <c r="P15" s="113"/>
      <c r="Q15" s="114"/>
      <c r="R15" s="38"/>
      <c r="S15" s="56">
        <v>1</v>
      </c>
      <c r="T15" s="25"/>
      <c r="U15" s="38">
        <v>1000</v>
      </c>
      <c r="V15" s="38">
        <f t="shared" ref="V15:V16" si="4">U15*S15</f>
        <v>1000</v>
      </c>
      <c r="W15" s="26" t="s">
        <v>86</v>
      </c>
    </row>
    <row r="16" spans="2:23" ht="34.950000000000003" customHeight="1" x14ac:dyDescent="0.35">
      <c r="B16" s="115"/>
      <c r="C16" s="115"/>
      <c r="D16" s="130"/>
      <c r="E16" s="130"/>
      <c r="F16" s="130"/>
      <c r="G16" s="130"/>
      <c r="H16" s="130"/>
      <c r="I16" s="130"/>
      <c r="J16" s="115"/>
      <c r="K16" s="115"/>
      <c r="L16" s="20">
        <f>L15+L14+L13+V18</f>
        <v>8224000.5621428574</v>
      </c>
      <c r="N16" s="15">
        <f t="shared" ref="N16:N17" si="5">N15+1</f>
        <v>4</v>
      </c>
      <c r="O16" s="112" t="s">
        <v>70</v>
      </c>
      <c r="P16" s="113"/>
      <c r="Q16" s="114"/>
      <c r="R16" s="38"/>
      <c r="S16" s="2">
        <v>1</v>
      </c>
      <c r="T16" s="25"/>
      <c r="U16" s="38">
        <v>2000</v>
      </c>
      <c r="V16" s="38">
        <f t="shared" si="4"/>
        <v>2000</v>
      </c>
      <c r="W16" s="26" t="s">
        <v>86</v>
      </c>
    </row>
    <row r="17" spans="2:23" ht="34.950000000000003" customHeight="1" x14ac:dyDescent="0.35">
      <c r="B17" s="115"/>
      <c r="C17" s="115"/>
      <c r="D17" s="115"/>
      <c r="E17" s="115"/>
      <c r="F17" s="115"/>
      <c r="G17" s="115"/>
      <c r="H17" s="130"/>
      <c r="I17" s="130"/>
      <c r="J17" s="115"/>
      <c r="K17" s="115"/>
      <c r="N17" s="15">
        <f t="shared" si="5"/>
        <v>5</v>
      </c>
      <c r="O17" s="133" t="s">
        <v>69</v>
      </c>
      <c r="P17" s="133"/>
      <c r="Q17" s="133"/>
      <c r="R17" s="133"/>
      <c r="S17" s="133"/>
      <c r="T17" s="35"/>
      <c r="U17" s="36"/>
      <c r="V17" s="37">
        <f>SUM(V13:V16)</f>
        <v>54420</v>
      </c>
      <c r="W17" s="2"/>
    </row>
    <row r="18" spans="2:23" ht="34.950000000000003" customHeight="1" x14ac:dyDescent="0.4">
      <c r="B18" s="115"/>
      <c r="C18" s="115"/>
      <c r="D18" s="130"/>
      <c r="E18" s="130"/>
      <c r="F18" s="130"/>
      <c r="G18" s="130"/>
      <c r="H18" s="130"/>
      <c r="I18" s="130"/>
      <c r="J18" s="115"/>
      <c r="K18" s="115"/>
      <c r="N18" s="96"/>
      <c r="O18" s="134" t="s">
        <v>137</v>
      </c>
      <c r="P18" s="135"/>
      <c r="Q18" s="135"/>
      <c r="R18" s="135"/>
      <c r="S18" s="135"/>
      <c r="T18" s="135"/>
      <c r="U18" s="136"/>
      <c r="V18" s="98">
        <f>V11+V17</f>
        <v>5130396.45</v>
      </c>
      <c r="W18" s="97"/>
    </row>
    <row r="19" spans="2:23" ht="34.950000000000003" customHeight="1" x14ac:dyDescent="0.35">
      <c r="B19" s="115"/>
      <c r="C19" s="115"/>
      <c r="D19" s="115"/>
      <c r="E19" s="115"/>
      <c r="F19" s="115"/>
      <c r="G19" s="115"/>
      <c r="H19" s="130"/>
      <c r="I19" s="130"/>
      <c r="J19" s="115"/>
      <c r="K19" s="115"/>
      <c r="W19" s="1" t="s">
        <v>88</v>
      </c>
    </row>
    <row r="20" spans="2:23" ht="34.950000000000003" customHeight="1" x14ac:dyDescent="0.35">
      <c r="B20" s="115"/>
      <c r="C20" s="115"/>
      <c r="D20" s="115"/>
      <c r="E20" s="115"/>
      <c r="F20" s="115"/>
      <c r="G20" s="115"/>
      <c r="H20" s="137"/>
      <c r="I20" s="137"/>
      <c r="J20" s="115"/>
      <c r="K20" s="115"/>
    </row>
    <row r="21" spans="2:23" ht="34.950000000000003" customHeight="1" x14ac:dyDescent="0.35">
      <c r="B21" s="115"/>
      <c r="C21" s="115"/>
      <c r="D21" s="115"/>
      <c r="E21" s="115"/>
      <c r="F21" s="115"/>
      <c r="G21" s="115"/>
      <c r="H21" s="130"/>
      <c r="I21" s="130"/>
      <c r="J21" s="115"/>
      <c r="K21" s="115"/>
    </row>
  </sheetData>
  <mergeCells count="63">
    <mergeCell ref="O18:U18"/>
    <mergeCell ref="O16:Q16"/>
    <mergeCell ref="O17:S17"/>
    <mergeCell ref="O12:Q12"/>
    <mergeCell ref="O13:Q13"/>
    <mergeCell ref="O14:Q14"/>
    <mergeCell ref="O15:Q15"/>
    <mergeCell ref="O7:Q7"/>
    <mergeCell ref="O8:Q8"/>
    <mergeCell ref="O9:Q9"/>
    <mergeCell ref="O10:Q10"/>
    <mergeCell ref="O11:S11"/>
    <mergeCell ref="N1:W1"/>
    <mergeCell ref="O2:Q2"/>
    <mergeCell ref="O3:Q3"/>
    <mergeCell ref="W3:W6"/>
    <mergeCell ref="O4:Q4"/>
    <mergeCell ref="O5:Q5"/>
    <mergeCell ref="O6:Q6"/>
    <mergeCell ref="B19:G19"/>
    <mergeCell ref="H19:I19"/>
    <mergeCell ref="B20:G20"/>
    <mergeCell ref="H20:I20"/>
    <mergeCell ref="B21:C21"/>
    <mergeCell ref="D21:E21"/>
    <mergeCell ref="F21:G21"/>
    <mergeCell ref="H21:I21"/>
    <mergeCell ref="B17:G17"/>
    <mergeCell ref="H17:I17"/>
    <mergeCell ref="B18:C18"/>
    <mergeCell ref="D18:E18"/>
    <mergeCell ref="F18:G18"/>
    <mergeCell ref="H18:I18"/>
    <mergeCell ref="B15:C15"/>
    <mergeCell ref="D15:E15"/>
    <mergeCell ref="F15:G15"/>
    <mergeCell ref="H15:I15"/>
    <mergeCell ref="B16:C16"/>
    <mergeCell ref="D16:E16"/>
    <mergeCell ref="F16:G16"/>
    <mergeCell ref="H16:I16"/>
    <mergeCell ref="B3:D10"/>
    <mergeCell ref="I9:I10"/>
    <mergeCell ref="B14:C14"/>
    <mergeCell ref="D14:E14"/>
    <mergeCell ref="F14:G14"/>
    <mergeCell ref="H14:I14"/>
    <mergeCell ref="J19:K19"/>
    <mergeCell ref="J20:K20"/>
    <mergeCell ref="J21:K21"/>
    <mergeCell ref="B1:L1"/>
    <mergeCell ref="I2:L2"/>
    <mergeCell ref="J14:K14"/>
    <mergeCell ref="J15:K15"/>
    <mergeCell ref="J16:K16"/>
    <mergeCell ref="J17:K17"/>
    <mergeCell ref="J18:K18"/>
    <mergeCell ref="B2:F2"/>
    <mergeCell ref="B13:C13"/>
    <mergeCell ref="D13:E13"/>
    <mergeCell ref="F13:G13"/>
    <mergeCell ref="H13:I13"/>
    <mergeCell ref="J13:K1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37"/>
  <sheetViews>
    <sheetView topLeftCell="E1" zoomScale="53" zoomScaleNormal="53" workbookViewId="0">
      <selection activeCell="V23" sqref="V23"/>
    </sheetView>
  </sheetViews>
  <sheetFormatPr defaultColWidth="19.5546875" defaultRowHeight="39" customHeight="1" x14ac:dyDescent="0.35"/>
  <cols>
    <col min="1" max="22" width="19.5546875" style="1"/>
    <col min="23" max="23" width="39.21875" style="1" customWidth="1"/>
    <col min="24" max="16384" width="19.5546875" style="1"/>
  </cols>
  <sheetData>
    <row r="1" spans="1:23" ht="39" customHeight="1" x14ac:dyDescent="0.45">
      <c r="B1" s="116" t="s">
        <v>50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N1" s="116" t="s">
        <v>64</v>
      </c>
      <c r="O1" s="116"/>
      <c r="P1" s="116"/>
      <c r="Q1" s="116"/>
      <c r="R1" s="116"/>
      <c r="S1" s="116"/>
      <c r="T1" s="116"/>
      <c r="U1" s="116"/>
      <c r="V1" s="116"/>
      <c r="W1" s="116"/>
    </row>
    <row r="2" spans="1:23" ht="64.95" customHeight="1" x14ac:dyDescent="0.35">
      <c r="B2" s="157"/>
      <c r="C2" s="158"/>
      <c r="D2" s="158"/>
      <c r="E2" s="158"/>
      <c r="F2" s="158"/>
      <c r="G2" s="8"/>
      <c r="H2" s="7"/>
      <c r="I2" s="157" t="s">
        <v>9</v>
      </c>
      <c r="J2" s="158"/>
      <c r="K2" s="158"/>
      <c r="L2" s="158"/>
      <c r="N2" s="24" t="s">
        <v>14</v>
      </c>
      <c r="O2" s="117" t="s">
        <v>51</v>
      </c>
      <c r="P2" s="117"/>
      <c r="Q2" s="117"/>
      <c r="R2" s="24" t="s">
        <v>52</v>
      </c>
      <c r="S2" s="30" t="s">
        <v>62</v>
      </c>
      <c r="T2" s="30" t="s">
        <v>63</v>
      </c>
      <c r="U2" s="24" t="s">
        <v>44</v>
      </c>
      <c r="V2" s="24" t="s">
        <v>45</v>
      </c>
      <c r="W2" s="24" t="s">
        <v>39</v>
      </c>
    </row>
    <row r="3" spans="1:23" ht="39" customHeight="1" x14ac:dyDescent="0.35">
      <c r="B3" s="152"/>
      <c r="C3" s="153"/>
      <c r="D3" s="154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12" t="s">
        <v>53</v>
      </c>
      <c r="P3" s="113"/>
      <c r="Q3" s="113"/>
      <c r="R3" s="34">
        <f>K4*L4+K5*L5</f>
        <v>8000</v>
      </c>
      <c r="S3" s="29">
        <v>0.876</v>
      </c>
      <c r="T3" s="32">
        <f>S3*R3</f>
        <v>7008</v>
      </c>
      <c r="U3" s="34">
        <v>117000</v>
      </c>
      <c r="V3" s="31">
        <f>U3*T3/1000</f>
        <v>819936</v>
      </c>
      <c r="W3" s="138"/>
    </row>
    <row r="4" spans="1:23" ht="39" customHeight="1" x14ac:dyDescent="0.35">
      <c r="B4" s="120"/>
      <c r="C4" s="121"/>
      <c r="D4" s="155"/>
      <c r="E4" s="3">
        <v>3400</v>
      </c>
      <c r="F4" s="3">
        <v>600</v>
      </c>
      <c r="G4" s="3">
        <v>1</v>
      </c>
      <c r="H4" s="6" t="s">
        <v>19</v>
      </c>
      <c r="I4" s="3" t="s">
        <v>10</v>
      </c>
      <c r="J4" s="6"/>
      <c r="K4" s="3">
        <f>E4</f>
        <v>3400</v>
      </c>
      <c r="L4" s="3">
        <f>G4*2</f>
        <v>2</v>
      </c>
      <c r="N4" s="15">
        <f>N3+1</f>
        <v>2</v>
      </c>
      <c r="O4" s="112" t="s">
        <v>54</v>
      </c>
      <c r="P4" s="113"/>
      <c r="Q4" s="113"/>
      <c r="R4" s="34">
        <f>K6*L6+K7*L7</f>
        <v>11056</v>
      </c>
      <c r="S4" s="29">
        <v>1.0640000000000001</v>
      </c>
      <c r="T4" s="32">
        <f t="shared" ref="T4:T6" si="0">S4*R4</f>
        <v>11763.584000000001</v>
      </c>
      <c r="U4" s="34">
        <v>117000</v>
      </c>
      <c r="V4" s="31">
        <f>U4*T4/1000</f>
        <v>1376339.328</v>
      </c>
      <c r="W4" s="139"/>
    </row>
    <row r="5" spans="1:23" ht="39" customHeight="1" x14ac:dyDescent="0.35">
      <c r="B5" s="120"/>
      <c r="C5" s="121"/>
      <c r="D5" s="155"/>
      <c r="E5" s="88"/>
      <c r="F5" s="41" t="s">
        <v>46</v>
      </c>
      <c r="G5" s="41" t="s">
        <v>119</v>
      </c>
      <c r="H5" s="6" t="s">
        <v>20</v>
      </c>
      <c r="I5" s="3" t="s">
        <v>11</v>
      </c>
      <c r="J5" s="6"/>
      <c r="K5" s="3">
        <f>F4</f>
        <v>600</v>
      </c>
      <c r="L5" s="3">
        <f>G4*2</f>
        <v>2</v>
      </c>
      <c r="N5" s="15">
        <f t="shared" ref="N5:N11" si="1">N4+1</f>
        <v>3</v>
      </c>
      <c r="O5" s="112" t="s">
        <v>55</v>
      </c>
      <c r="P5" s="113"/>
      <c r="Q5" s="113"/>
      <c r="R5" s="34">
        <f>R4</f>
        <v>11056</v>
      </c>
      <c r="S5" s="29">
        <v>0.27100000000000002</v>
      </c>
      <c r="T5" s="32">
        <f t="shared" si="0"/>
        <v>2996.1760000000004</v>
      </c>
      <c r="U5" s="34">
        <v>117000</v>
      </c>
      <c r="V5" s="31">
        <f t="shared" ref="V5:V6" si="2">U5*T5/1000</f>
        <v>350552.59200000006</v>
      </c>
      <c r="W5" s="139"/>
    </row>
    <row r="6" spans="1:23" ht="39" customHeight="1" x14ac:dyDescent="0.35">
      <c r="B6" s="120"/>
      <c r="C6" s="121"/>
      <c r="D6" s="155"/>
      <c r="E6" s="56"/>
      <c r="F6" s="17">
        <f>F4*E4/1000</f>
        <v>2040</v>
      </c>
      <c r="G6" s="87">
        <f>SUM(T3:T6)</f>
        <v>23064.165000000001</v>
      </c>
      <c r="H6" s="6" t="s">
        <v>21</v>
      </c>
      <c r="I6" s="3" t="s">
        <v>17</v>
      </c>
      <c r="J6" s="6"/>
      <c r="K6" s="3">
        <f>IF(ROUNDDOWN((E4-40-30)/4,0)&lt;0,"0",ROUNDDOWN((E4-40-30)/4,0))</f>
        <v>832</v>
      </c>
      <c r="L6" s="3">
        <f>G4*8</f>
        <v>8</v>
      </c>
      <c r="N6" s="15">
        <f t="shared" si="1"/>
        <v>4</v>
      </c>
      <c r="O6" s="112" t="s">
        <v>71</v>
      </c>
      <c r="P6" s="113"/>
      <c r="Q6" s="113"/>
      <c r="R6" s="34">
        <f>K8*L8</f>
        <v>1455</v>
      </c>
      <c r="S6" s="29">
        <v>0.89100000000000001</v>
      </c>
      <c r="T6" s="32">
        <f t="shared" si="0"/>
        <v>1296.405</v>
      </c>
      <c r="U6" s="34">
        <v>117000</v>
      </c>
      <c r="V6" s="31">
        <f t="shared" si="2"/>
        <v>151679.38500000001</v>
      </c>
      <c r="W6" s="140"/>
    </row>
    <row r="7" spans="1:23" ht="39" customHeight="1" x14ac:dyDescent="0.35">
      <c r="B7" s="120"/>
      <c r="C7" s="121"/>
      <c r="D7" s="155"/>
      <c r="E7" s="2"/>
      <c r="F7" s="2"/>
      <c r="G7" s="2"/>
      <c r="H7" s="6" t="s">
        <v>22</v>
      </c>
      <c r="I7" s="3" t="s">
        <v>18</v>
      </c>
      <c r="J7" s="6"/>
      <c r="K7" s="3">
        <f>IF(F4-40-10&lt;0,"0",F4-40-10)</f>
        <v>550</v>
      </c>
      <c r="L7" s="3">
        <f>G4*8</f>
        <v>8</v>
      </c>
      <c r="N7" s="15">
        <f t="shared" si="1"/>
        <v>5</v>
      </c>
      <c r="O7" s="112" t="s">
        <v>78</v>
      </c>
      <c r="P7" s="113"/>
      <c r="Q7" s="114"/>
      <c r="R7" s="34"/>
      <c r="S7" s="29"/>
      <c r="T7" s="76"/>
      <c r="U7" s="54">
        <v>0.05</v>
      </c>
      <c r="V7" s="34">
        <f>SUM(V3:V6)*U7</f>
        <v>134925.36525</v>
      </c>
      <c r="W7" s="42"/>
    </row>
    <row r="8" spans="1:23" ht="39" customHeight="1" x14ac:dyDescent="0.35">
      <c r="B8" s="120"/>
      <c r="C8" s="121"/>
      <c r="D8" s="155"/>
      <c r="E8" s="2"/>
      <c r="F8" s="2"/>
      <c r="G8" s="2"/>
      <c r="H8" s="6" t="s">
        <v>24</v>
      </c>
      <c r="I8" s="3" t="s">
        <v>16</v>
      </c>
      <c r="J8" s="6"/>
      <c r="K8" s="6">
        <f>ROUNDDOWN(K7-28.2*2-8,0)</f>
        <v>485</v>
      </c>
      <c r="L8" s="3">
        <f>G4*3</f>
        <v>3</v>
      </c>
      <c r="N8" s="15">
        <f t="shared" si="1"/>
        <v>6</v>
      </c>
      <c r="O8" s="112" t="s">
        <v>90</v>
      </c>
      <c r="P8" s="113"/>
      <c r="Q8" s="113"/>
      <c r="R8" s="29"/>
      <c r="S8" s="29"/>
      <c r="T8" s="33">
        <v>4</v>
      </c>
      <c r="U8" s="34">
        <v>4400</v>
      </c>
      <c r="V8" s="31">
        <f t="shared" ref="V8:V10" si="3">U8*T8</f>
        <v>17600</v>
      </c>
      <c r="W8" s="15"/>
    </row>
    <row r="9" spans="1:23" ht="39" customHeight="1" x14ac:dyDescent="0.35">
      <c r="B9" s="120"/>
      <c r="C9" s="121"/>
      <c r="D9" s="155"/>
      <c r="E9" s="3"/>
      <c r="F9" s="3"/>
      <c r="G9" s="3"/>
      <c r="H9" s="3">
        <v>6</v>
      </c>
      <c r="I9" s="150" t="s">
        <v>79</v>
      </c>
      <c r="J9" s="3" t="s">
        <v>6</v>
      </c>
      <c r="K9" s="3" t="s">
        <v>7</v>
      </c>
      <c r="L9" s="5" t="s">
        <v>2</v>
      </c>
      <c r="N9" s="15">
        <f t="shared" si="1"/>
        <v>7</v>
      </c>
      <c r="O9" s="112" t="s">
        <v>91</v>
      </c>
      <c r="P9" s="113"/>
      <c r="Q9" s="113"/>
      <c r="R9" s="29"/>
      <c r="S9" s="29"/>
      <c r="T9" s="33">
        <f>4*4</f>
        <v>16</v>
      </c>
      <c r="U9" s="34">
        <v>5100</v>
      </c>
      <c r="V9" s="31">
        <f t="shared" si="3"/>
        <v>81600</v>
      </c>
      <c r="W9" s="26" t="s">
        <v>73</v>
      </c>
    </row>
    <row r="10" spans="1:23" ht="39" customHeight="1" x14ac:dyDescent="0.35">
      <c r="B10" s="122"/>
      <c r="C10" s="123"/>
      <c r="D10" s="156"/>
      <c r="E10" s="3"/>
      <c r="F10" s="3"/>
      <c r="G10" s="3"/>
      <c r="H10" s="3">
        <v>7</v>
      </c>
      <c r="I10" s="151"/>
      <c r="J10" s="3">
        <f>IF(K6-120&gt;0,K6-120,"0")</f>
        <v>712</v>
      </c>
      <c r="K10" s="3">
        <f>IF(K7-120&gt;0,K7-120,"0")</f>
        <v>430</v>
      </c>
      <c r="L10" s="3">
        <f>G4*4</f>
        <v>4</v>
      </c>
      <c r="N10" s="15">
        <f t="shared" si="1"/>
        <v>8</v>
      </c>
      <c r="O10" s="112" t="s">
        <v>61</v>
      </c>
      <c r="P10" s="113"/>
      <c r="Q10" s="113"/>
      <c r="R10" s="29"/>
      <c r="S10" s="29"/>
      <c r="T10" s="33">
        <f>T9*2+T8</f>
        <v>36</v>
      </c>
      <c r="U10" s="34">
        <v>100</v>
      </c>
      <c r="V10" s="31">
        <f t="shared" si="3"/>
        <v>3600</v>
      </c>
      <c r="W10" s="26" t="s">
        <v>74</v>
      </c>
    </row>
    <row r="11" spans="1:23" ht="39" customHeight="1" x14ac:dyDescent="0.35">
      <c r="N11" s="15">
        <f t="shared" si="1"/>
        <v>9</v>
      </c>
      <c r="O11" s="125" t="s">
        <v>65</v>
      </c>
      <c r="P11" s="126"/>
      <c r="Q11" s="126"/>
      <c r="R11" s="126"/>
      <c r="S11" s="127"/>
      <c r="T11" s="35"/>
      <c r="U11" s="36"/>
      <c r="V11" s="37">
        <f>SUM(V3:V10)</f>
        <v>2936232.6702499995</v>
      </c>
      <c r="W11" s="15"/>
    </row>
    <row r="12" spans="1:23" ht="39" customHeight="1" x14ac:dyDescent="0.35">
      <c r="A12" s="53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53"/>
      <c r="N12" s="24" t="s">
        <v>14</v>
      </c>
      <c r="O12" s="117" t="s">
        <v>51</v>
      </c>
      <c r="P12" s="117"/>
      <c r="Q12" s="117"/>
      <c r="R12" s="24" t="s">
        <v>52</v>
      </c>
      <c r="S12" s="30" t="s">
        <v>58</v>
      </c>
      <c r="T12" s="30"/>
      <c r="U12" s="24" t="s">
        <v>44</v>
      </c>
      <c r="V12" s="24" t="s">
        <v>45</v>
      </c>
      <c r="W12" s="2"/>
    </row>
    <row r="13" spans="1:23" ht="39" customHeight="1" x14ac:dyDescent="0.35">
      <c r="A13" s="53"/>
      <c r="B13" s="115"/>
      <c r="C13" s="115"/>
      <c r="D13" s="130"/>
      <c r="E13" s="130"/>
      <c r="F13" s="130"/>
      <c r="G13" s="130"/>
      <c r="H13" s="130"/>
      <c r="I13" s="130"/>
      <c r="J13" s="115"/>
      <c r="K13" s="115"/>
      <c r="L13" s="53"/>
      <c r="N13" s="15">
        <v>1</v>
      </c>
      <c r="O13" s="112" t="s">
        <v>66</v>
      </c>
      <c r="P13" s="113"/>
      <c r="Q13" s="113"/>
      <c r="R13" s="38">
        <f>R3+R4+R6</f>
        <v>20511</v>
      </c>
      <c r="S13" s="2">
        <v>1</v>
      </c>
      <c r="T13" s="25"/>
      <c r="U13" s="38">
        <v>1000</v>
      </c>
      <c r="V13" s="38">
        <f>U13*R13*S13/1000</f>
        <v>20511</v>
      </c>
      <c r="W13" s="2"/>
    </row>
    <row r="14" spans="1:23" ht="39" customHeight="1" x14ac:dyDescent="0.35">
      <c r="A14" s="53"/>
      <c r="B14" s="115"/>
      <c r="C14" s="115"/>
      <c r="D14" s="130"/>
      <c r="E14" s="130"/>
      <c r="F14" s="130"/>
      <c r="G14" s="130"/>
      <c r="H14" s="130"/>
      <c r="I14" s="130"/>
      <c r="J14" s="115"/>
      <c r="K14" s="115"/>
      <c r="L14" s="53"/>
      <c r="N14" s="15">
        <f>N13+1</f>
        <v>2</v>
      </c>
      <c r="O14" s="112" t="s">
        <v>47</v>
      </c>
      <c r="P14" s="113"/>
      <c r="Q14" s="113"/>
      <c r="R14" s="38">
        <f>R4*2</f>
        <v>22112</v>
      </c>
      <c r="S14" s="2">
        <v>1</v>
      </c>
      <c r="T14" s="25"/>
      <c r="U14" s="38">
        <v>1000</v>
      </c>
      <c r="V14" s="38">
        <f>U14*R14*S14/1000</f>
        <v>22112</v>
      </c>
      <c r="W14" s="2"/>
    </row>
    <row r="15" spans="1:23" ht="39" customHeight="1" x14ac:dyDescent="0.35">
      <c r="A15" s="53"/>
      <c r="B15" s="115"/>
      <c r="C15" s="115"/>
      <c r="D15" s="130"/>
      <c r="E15" s="130"/>
      <c r="F15" s="130"/>
      <c r="G15" s="130"/>
      <c r="H15" s="130"/>
      <c r="I15" s="130"/>
      <c r="J15" s="115"/>
      <c r="K15" s="115"/>
      <c r="L15" s="53"/>
      <c r="N15" s="15">
        <f t="shared" ref="N15:N18" si="4">N14+1</f>
        <v>3</v>
      </c>
      <c r="O15" s="112" t="s">
        <v>72</v>
      </c>
      <c r="P15" s="113"/>
      <c r="Q15" s="113"/>
      <c r="R15" s="38"/>
      <c r="S15" s="2">
        <v>3</v>
      </c>
      <c r="T15" s="25"/>
      <c r="U15" s="38">
        <v>2500</v>
      </c>
      <c r="V15" s="38">
        <f>U15*S15</f>
        <v>7500</v>
      </c>
      <c r="W15" s="26" t="s">
        <v>75</v>
      </c>
    </row>
    <row r="16" spans="1:23" ht="39" customHeight="1" x14ac:dyDescent="0.35">
      <c r="A16" s="53"/>
      <c r="B16" s="115"/>
      <c r="C16" s="115"/>
      <c r="D16" s="115"/>
      <c r="E16" s="115"/>
      <c r="F16" s="115"/>
      <c r="G16" s="115"/>
      <c r="H16" s="130"/>
      <c r="I16" s="130"/>
      <c r="J16" s="115"/>
      <c r="K16" s="115"/>
      <c r="L16" s="53"/>
      <c r="N16" s="15">
        <f t="shared" si="4"/>
        <v>4</v>
      </c>
      <c r="O16" s="112" t="s">
        <v>68</v>
      </c>
      <c r="P16" s="113"/>
      <c r="Q16" s="114"/>
      <c r="R16" s="38"/>
      <c r="S16" s="56">
        <v>1</v>
      </c>
      <c r="T16" s="25"/>
      <c r="U16" s="38">
        <v>1000</v>
      </c>
      <c r="V16" s="38">
        <f t="shared" ref="V16:V17" si="5">U16*S16</f>
        <v>1000</v>
      </c>
      <c r="W16" s="26"/>
    </row>
    <row r="17" spans="1:23" ht="39" customHeight="1" x14ac:dyDescent="0.35">
      <c r="A17" s="93"/>
      <c r="B17" s="115"/>
      <c r="C17" s="115"/>
      <c r="D17" s="130"/>
      <c r="E17" s="130"/>
      <c r="F17" s="130"/>
      <c r="G17" s="130"/>
      <c r="H17" s="130"/>
      <c r="I17" s="130"/>
      <c r="J17" s="115"/>
      <c r="K17" s="115"/>
      <c r="L17" s="53"/>
      <c r="N17" s="15">
        <f t="shared" si="4"/>
        <v>5</v>
      </c>
      <c r="O17" s="112" t="s">
        <v>70</v>
      </c>
      <c r="P17" s="113"/>
      <c r="Q17" s="114"/>
      <c r="R17" s="38"/>
      <c r="S17" s="2">
        <v>1</v>
      </c>
      <c r="T17" s="25"/>
      <c r="U17" s="38">
        <v>2000</v>
      </c>
      <c r="V17" s="38">
        <f t="shared" si="5"/>
        <v>2000</v>
      </c>
      <c r="W17" s="2"/>
    </row>
    <row r="18" spans="1:23" ht="39" customHeight="1" x14ac:dyDescent="0.35">
      <c r="A18" s="93"/>
      <c r="B18" s="115"/>
      <c r="C18" s="115"/>
      <c r="D18" s="115"/>
      <c r="E18" s="115"/>
      <c r="F18" s="115"/>
      <c r="G18" s="115"/>
      <c r="H18" s="130"/>
      <c r="I18" s="130"/>
      <c r="J18" s="115"/>
      <c r="K18" s="115"/>
      <c r="L18" s="53"/>
      <c r="N18" s="15">
        <f t="shared" si="4"/>
        <v>6</v>
      </c>
      <c r="O18" s="133" t="s">
        <v>69</v>
      </c>
      <c r="P18" s="133"/>
      <c r="Q18" s="133"/>
      <c r="R18" s="133"/>
      <c r="S18" s="133"/>
      <c r="T18" s="35"/>
      <c r="U18" s="36"/>
      <c r="V18" s="37">
        <f>SUM(V13:V17)</f>
        <v>53123</v>
      </c>
      <c r="W18" s="2"/>
    </row>
    <row r="19" spans="1:23" ht="39" customHeight="1" x14ac:dyDescent="0.4">
      <c r="A19" s="93"/>
      <c r="B19" s="115"/>
      <c r="C19" s="115"/>
      <c r="D19" s="115"/>
      <c r="E19" s="115"/>
      <c r="F19" s="115"/>
      <c r="G19" s="115"/>
      <c r="H19" s="137"/>
      <c r="I19" s="137"/>
      <c r="J19" s="115"/>
      <c r="K19" s="115"/>
      <c r="L19" s="53"/>
      <c r="N19" s="96"/>
      <c r="O19" s="134" t="s">
        <v>137</v>
      </c>
      <c r="P19" s="135"/>
      <c r="Q19" s="135"/>
      <c r="R19" s="135"/>
      <c r="S19" s="135"/>
      <c r="T19" s="135"/>
      <c r="U19" s="136"/>
      <c r="V19" s="98">
        <f>V11+V18</f>
        <v>2989355.6702499995</v>
      </c>
      <c r="W19" s="97"/>
    </row>
    <row r="20" spans="1:23" ht="39" customHeight="1" x14ac:dyDescent="0.35">
      <c r="A20" s="93"/>
      <c r="B20" s="115"/>
      <c r="C20" s="115"/>
      <c r="D20" s="115"/>
      <c r="E20" s="115"/>
      <c r="F20" s="115"/>
      <c r="G20" s="115"/>
      <c r="H20" s="130"/>
      <c r="I20" s="130"/>
      <c r="J20" s="115"/>
      <c r="K20" s="115"/>
      <c r="L20" s="53"/>
      <c r="V20" s="1">
        <f>F6*250</f>
        <v>510000</v>
      </c>
    </row>
    <row r="21" spans="1:23" ht="39" customHeight="1" x14ac:dyDescent="0.35">
      <c r="A21" s="94"/>
      <c r="B21" s="94"/>
      <c r="C21" s="94"/>
      <c r="D21" s="94"/>
      <c r="E21" s="94"/>
      <c r="F21" s="94"/>
      <c r="G21" s="130"/>
      <c r="H21" s="130"/>
      <c r="I21" s="115"/>
      <c r="J21" s="115"/>
      <c r="K21" s="53"/>
      <c r="L21" s="53"/>
      <c r="V21" s="20">
        <f>V20+V19</f>
        <v>3499355.6702499995</v>
      </c>
    </row>
    <row r="22" spans="1:23" ht="39" customHeight="1" x14ac:dyDescent="0.35">
      <c r="A22" s="115"/>
      <c r="B22" s="115"/>
      <c r="C22" s="130"/>
      <c r="D22" s="130"/>
      <c r="E22" s="130"/>
      <c r="F22" s="130"/>
      <c r="G22" s="130"/>
      <c r="H22" s="130"/>
      <c r="I22" s="115"/>
      <c r="J22" s="115"/>
      <c r="K22" s="53"/>
      <c r="L22" s="53"/>
      <c r="V22" s="100">
        <f>V21/F6</f>
        <v>1715.3704265931369</v>
      </c>
    </row>
    <row r="23" spans="1:23" ht="39" customHeight="1" x14ac:dyDescent="0.35">
      <c r="A23" s="115"/>
      <c r="B23" s="115"/>
      <c r="C23" s="115"/>
      <c r="D23" s="115"/>
      <c r="E23" s="115"/>
      <c r="F23" s="115"/>
      <c r="G23" s="130"/>
      <c r="H23" s="130"/>
      <c r="I23" s="115"/>
      <c r="J23" s="115"/>
      <c r="K23" s="53"/>
      <c r="L23" s="53"/>
    </row>
    <row r="24" spans="1:23" ht="39" customHeight="1" x14ac:dyDescent="0.35">
      <c r="A24" s="115"/>
      <c r="B24" s="115"/>
      <c r="C24" s="115"/>
      <c r="D24" s="115"/>
      <c r="E24" s="115"/>
      <c r="F24" s="115"/>
      <c r="G24" s="137"/>
      <c r="H24" s="137"/>
      <c r="I24" s="115"/>
      <c r="J24" s="115"/>
      <c r="K24" s="53"/>
      <c r="L24" s="53"/>
    </row>
    <row r="25" spans="1:23" ht="39" customHeight="1" x14ac:dyDescent="0.35">
      <c r="A25" s="115"/>
      <c r="B25" s="115"/>
      <c r="C25" s="115"/>
      <c r="D25" s="115"/>
      <c r="E25" s="115"/>
      <c r="F25" s="115"/>
      <c r="G25" s="130"/>
      <c r="H25" s="130"/>
      <c r="I25" s="115"/>
      <c r="J25" s="115"/>
      <c r="K25" s="53"/>
      <c r="L25" s="53"/>
    </row>
    <row r="26" spans="1:23" ht="39" customHeight="1" x14ac:dyDescent="0.35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</row>
    <row r="27" spans="1:23" ht="39" customHeight="1" x14ac:dyDescent="0.35">
      <c r="A27" s="53"/>
      <c r="B27" s="53"/>
      <c r="C27" s="124"/>
      <c r="D27" s="124"/>
      <c r="E27" s="124"/>
      <c r="F27" s="124"/>
      <c r="G27" s="124"/>
      <c r="H27" s="124"/>
      <c r="I27" s="124"/>
      <c r="J27" s="124"/>
      <c r="K27" s="124"/>
      <c r="L27" s="124"/>
    </row>
    <row r="28" spans="1:23" ht="39" customHeight="1" x14ac:dyDescent="0.35">
      <c r="A28" s="53"/>
      <c r="B28" s="53"/>
      <c r="C28" s="115"/>
      <c r="D28" s="115"/>
      <c r="E28" s="130"/>
      <c r="F28" s="130"/>
      <c r="G28" s="130"/>
      <c r="H28" s="130"/>
      <c r="I28" s="130"/>
      <c r="J28" s="130"/>
      <c r="K28" s="115"/>
      <c r="L28" s="115"/>
    </row>
    <row r="29" spans="1:23" ht="39" customHeight="1" x14ac:dyDescent="0.35">
      <c r="A29" s="53"/>
      <c r="B29" s="53"/>
      <c r="C29" s="115"/>
      <c r="D29" s="115"/>
      <c r="E29" s="130"/>
      <c r="F29" s="130"/>
      <c r="G29" s="130"/>
      <c r="H29" s="130"/>
      <c r="I29" s="130"/>
      <c r="J29" s="130"/>
      <c r="K29" s="115"/>
      <c r="L29" s="115"/>
    </row>
    <row r="30" spans="1:23" ht="39" customHeight="1" x14ac:dyDescent="0.35">
      <c r="A30" s="53"/>
      <c r="B30" s="53"/>
      <c r="C30" s="115"/>
      <c r="D30" s="115"/>
      <c r="E30" s="130"/>
      <c r="F30" s="130"/>
      <c r="G30" s="130"/>
      <c r="H30" s="130"/>
      <c r="I30" s="130"/>
      <c r="J30" s="130"/>
      <c r="K30" s="115"/>
      <c r="L30" s="115"/>
    </row>
    <row r="31" spans="1:23" ht="39" customHeight="1" x14ac:dyDescent="0.35">
      <c r="A31" s="53"/>
      <c r="B31" s="53"/>
      <c r="C31" s="115"/>
      <c r="D31" s="115"/>
      <c r="E31" s="115"/>
      <c r="F31" s="115"/>
      <c r="G31" s="115"/>
      <c r="H31" s="115"/>
      <c r="I31" s="130"/>
      <c r="J31" s="130"/>
      <c r="K31" s="115"/>
      <c r="L31" s="115"/>
    </row>
    <row r="32" spans="1:23" ht="39" customHeight="1" x14ac:dyDescent="0.35">
      <c r="A32" s="53"/>
      <c r="B32" s="53"/>
      <c r="C32" s="115"/>
      <c r="D32" s="115"/>
      <c r="E32" s="130"/>
      <c r="F32" s="130"/>
      <c r="G32" s="130"/>
      <c r="H32" s="130"/>
      <c r="I32" s="130"/>
      <c r="J32" s="130"/>
      <c r="K32" s="115"/>
      <c r="L32" s="115"/>
    </row>
    <row r="33" spans="1:12" ht="39" customHeight="1" x14ac:dyDescent="0.35">
      <c r="A33" s="53"/>
      <c r="B33" s="53"/>
      <c r="C33" s="115"/>
      <c r="D33" s="115"/>
      <c r="E33" s="115"/>
      <c r="F33" s="115"/>
      <c r="G33" s="115"/>
      <c r="H33" s="115"/>
      <c r="I33" s="130"/>
      <c r="J33" s="130"/>
      <c r="K33" s="115"/>
      <c r="L33" s="115"/>
    </row>
    <row r="34" spans="1:12" ht="39" customHeight="1" x14ac:dyDescent="0.35">
      <c r="A34" s="53"/>
      <c r="B34" s="53"/>
      <c r="C34" s="115"/>
      <c r="D34" s="115"/>
      <c r="E34" s="115"/>
      <c r="F34" s="115"/>
      <c r="G34" s="115"/>
      <c r="H34" s="115"/>
      <c r="I34" s="137"/>
      <c r="J34" s="137"/>
      <c r="K34" s="115"/>
      <c r="L34" s="115"/>
    </row>
    <row r="35" spans="1:12" ht="39" customHeight="1" x14ac:dyDescent="0.35">
      <c r="A35" s="53"/>
      <c r="B35" s="53"/>
      <c r="C35" s="115"/>
      <c r="D35" s="115"/>
      <c r="E35" s="115"/>
      <c r="F35" s="115"/>
      <c r="G35" s="115"/>
      <c r="H35" s="115"/>
      <c r="I35" s="130"/>
      <c r="J35" s="130"/>
      <c r="K35" s="115"/>
      <c r="L35" s="115"/>
    </row>
    <row r="36" spans="1:12" ht="39" customHeight="1" x14ac:dyDescent="0.35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</row>
    <row r="37" spans="1:12" ht="39" customHeight="1" x14ac:dyDescent="0.35">
      <c r="C37" s="53"/>
      <c r="D37" s="53"/>
      <c r="E37" s="53"/>
      <c r="F37" s="53"/>
      <c r="G37" s="53"/>
      <c r="H37" s="53"/>
      <c r="I37" s="53"/>
      <c r="J37" s="53"/>
      <c r="K37" s="53"/>
      <c r="L37" s="53"/>
    </row>
  </sheetData>
  <mergeCells count="121">
    <mergeCell ref="A24:F24"/>
    <mergeCell ref="G24:H24"/>
    <mergeCell ref="I24:J24"/>
    <mergeCell ref="A25:B25"/>
    <mergeCell ref="C25:D25"/>
    <mergeCell ref="E25:F25"/>
    <mergeCell ref="G25:H25"/>
    <mergeCell ref="I25:J25"/>
    <mergeCell ref="A22:B22"/>
    <mergeCell ref="C22:D22"/>
    <mergeCell ref="E22:F22"/>
    <mergeCell ref="G22:H22"/>
    <mergeCell ref="I22:J22"/>
    <mergeCell ref="A23:F23"/>
    <mergeCell ref="G23:H23"/>
    <mergeCell ref="I23:J23"/>
    <mergeCell ref="N1:W1"/>
    <mergeCell ref="O2:Q2"/>
    <mergeCell ref="O3:Q3"/>
    <mergeCell ref="W3:W6"/>
    <mergeCell ref="O4:Q4"/>
    <mergeCell ref="O5:Q5"/>
    <mergeCell ref="O6:Q6"/>
    <mergeCell ref="O7:Q7"/>
    <mergeCell ref="O8:Q8"/>
    <mergeCell ref="O9:Q9"/>
    <mergeCell ref="O10:Q10"/>
    <mergeCell ref="O11:S11"/>
    <mergeCell ref="O17:Q17"/>
    <mergeCell ref="O18:S18"/>
    <mergeCell ref="O12:Q12"/>
    <mergeCell ref="O13:Q13"/>
    <mergeCell ref="G21:H21"/>
    <mergeCell ref="I21:J21"/>
    <mergeCell ref="H13:I13"/>
    <mergeCell ref="J13:K13"/>
    <mergeCell ref="O14:Q14"/>
    <mergeCell ref="O15:Q15"/>
    <mergeCell ref="O16:Q16"/>
    <mergeCell ref="O19:U19"/>
    <mergeCell ref="C27:D27"/>
    <mergeCell ref="E27:F27"/>
    <mergeCell ref="G27:H27"/>
    <mergeCell ref="I27:J27"/>
    <mergeCell ref="K27:L27"/>
    <mergeCell ref="B2:F2"/>
    <mergeCell ref="B3:D10"/>
    <mergeCell ref="I9:I10"/>
    <mergeCell ref="B12:C12"/>
    <mergeCell ref="D12:E12"/>
    <mergeCell ref="F12:G12"/>
    <mergeCell ref="H12:I12"/>
    <mergeCell ref="J12:K12"/>
    <mergeCell ref="B18:G18"/>
    <mergeCell ref="H18:I18"/>
    <mergeCell ref="J18:K18"/>
    <mergeCell ref="B19:G19"/>
    <mergeCell ref="H19:I19"/>
    <mergeCell ref="J19:K19"/>
    <mergeCell ref="B20:C20"/>
    <mergeCell ref="D20:E20"/>
    <mergeCell ref="F20:G20"/>
    <mergeCell ref="H20:I20"/>
    <mergeCell ref="J20:K20"/>
    <mergeCell ref="C29:D29"/>
    <mergeCell ref="E29:F29"/>
    <mergeCell ref="G29:H29"/>
    <mergeCell ref="I29:J29"/>
    <mergeCell ref="K29:L29"/>
    <mergeCell ref="C28:D28"/>
    <mergeCell ref="E28:F28"/>
    <mergeCell ref="G28:H28"/>
    <mergeCell ref="I28:J28"/>
    <mergeCell ref="K28:L28"/>
    <mergeCell ref="C35:D35"/>
    <mergeCell ref="E35:F35"/>
    <mergeCell ref="G35:H35"/>
    <mergeCell ref="I35:J35"/>
    <mergeCell ref="K35:L35"/>
    <mergeCell ref="C33:H33"/>
    <mergeCell ref="I33:J33"/>
    <mergeCell ref="K33:L33"/>
    <mergeCell ref="C34:H34"/>
    <mergeCell ref="I34:J34"/>
    <mergeCell ref="K34:L34"/>
    <mergeCell ref="C31:H31"/>
    <mergeCell ref="I31:J31"/>
    <mergeCell ref="K31:L31"/>
    <mergeCell ref="C32:D32"/>
    <mergeCell ref="E32:F32"/>
    <mergeCell ref="G32:H32"/>
    <mergeCell ref="I32:J32"/>
    <mergeCell ref="K32:L32"/>
    <mergeCell ref="C30:D30"/>
    <mergeCell ref="E30:F30"/>
    <mergeCell ref="G30:H30"/>
    <mergeCell ref="I30:J30"/>
    <mergeCell ref="K30:L30"/>
    <mergeCell ref="I2:L2"/>
    <mergeCell ref="B1:L1"/>
    <mergeCell ref="B16:G16"/>
    <mergeCell ref="H16:I16"/>
    <mergeCell ref="J16:K16"/>
    <mergeCell ref="B17:C17"/>
    <mergeCell ref="D17:E17"/>
    <mergeCell ref="F17:G17"/>
    <mergeCell ref="H17:I17"/>
    <mergeCell ref="J17:K17"/>
    <mergeCell ref="B15:C15"/>
    <mergeCell ref="D15:E15"/>
    <mergeCell ref="F15:G15"/>
    <mergeCell ref="H15:I15"/>
    <mergeCell ref="J15:K15"/>
    <mergeCell ref="B14:C14"/>
    <mergeCell ref="D14:E14"/>
    <mergeCell ref="F14:G14"/>
    <mergeCell ref="H14:I14"/>
    <mergeCell ref="J14:K14"/>
    <mergeCell ref="B13:C13"/>
    <mergeCell ref="D13:E13"/>
    <mergeCell ref="F13:G13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B740-3022-4592-9640-486AE9DBC54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W27"/>
  <sheetViews>
    <sheetView zoomScale="45" zoomScaleNormal="45" workbookViewId="0">
      <selection activeCell="I10" sqref="I10:I11"/>
    </sheetView>
  </sheetViews>
  <sheetFormatPr defaultColWidth="17.6640625" defaultRowHeight="44.4" customHeight="1" x14ac:dyDescent="0.35"/>
  <cols>
    <col min="1" max="21" width="17.6640625" style="1"/>
    <col min="22" max="22" width="25" style="1" customWidth="1"/>
    <col min="23" max="23" width="35" style="1" customWidth="1"/>
    <col min="24" max="16384" width="17.6640625" style="1"/>
  </cols>
  <sheetData>
    <row r="1" spans="2:23" ht="44.4" customHeight="1" x14ac:dyDescent="0.45">
      <c r="B1" s="116" t="s">
        <v>50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N1" s="116" t="s">
        <v>64</v>
      </c>
      <c r="O1" s="116"/>
      <c r="P1" s="116"/>
      <c r="Q1" s="116"/>
      <c r="R1" s="116"/>
      <c r="S1" s="116"/>
      <c r="T1" s="116"/>
      <c r="U1" s="116"/>
      <c r="V1" s="116"/>
      <c r="W1" s="116"/>
    </row>
    <row r="2" spans="2:23" ht="44.4" customHeight="1" x14ac:dyDescent="0.35">
      <c r="B2" s="157"/>
      <c r="C2" s="158"/>
      <c r="D2" s="158"/>
      <c r="E2" s="158"/>
      <c r="F2" s="158"/>
      <c r="G2" s="8"/>
      <c r="H2" s="7"/>
      <c r="I2" s="157" t="s">
        <v>9</v>
      </c>
      <c r="J2" s="158"/>
      <c r="K2" s="158"/>
      <c r="L2" s="158"/>
      <c r="N2" s="24" t="s">
        <v>14</v>
      </c>
      <c r="O2" s="117" t="s">
        <v>51</v>
      </c>
      <c r="P2" s="117"/>
      <c r="Q2" s="117"/>
      <c r="R2" s="24" t="s">
        <v>52</v>
      </c>
      <c r="S2" s="30" t="s">
        <v>62</v>
      </c>
      <c r="T2" s="30" t="s">
        <v>63</v>
      </c>
      <c r="U2" s="24" t="s">
        <v>44</v>
      </c>
      <c r="V2" s="24" t="s">
        <v>45</v>
      </c>
      <c r="W2" s="24" t="s">
        <v>39</v>
      </c>
    </row>
    <row r="3" spans="2:23" ht="44.4" customHeight="1" x14ac:dyDescent="0.35">
      <c r="B3" s="159"/>
      <c r="C3" s="160"/>
      <c r="D3" s="169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12" t="s">
        <v>53</v>
      </c>
      <c r="P3" s="113"/>
      <c r="Q3" s="113"/>
      <c r="R3" s="34">
        <f>K4*L4+K5*L5</f>
        <v>6960</v>
      </c>
      <c r="S3" s="29">
        <v>0.876</v>
      </c>
      <c r="T3" s="32">
        <f>S3*R3</f>
        <v>6096.96</v>
      </c>
      <c r="U3" s="34">
        <v>125000</v>
      </c>
      <c r="V3" s="31">
        <f>U3*T3/1000</f>
        <v>762120</v>
      </c>
      <c r="W3" s="138"/>
    </row>
    <row r="4" spans="2:23" ht="44.4" customHeight="1" x14ac:dyDescent="0.35">
      <c r="B4" s="161"/>
      <c r="C4" s="162"/>
      <c r="D4" s="170"/>
      <c r="E4" s="3">
        <v>1970</v>
      </c>
      <c r="F4" s="3">
        <v>1510</v>
      </c>
      <c r="G4" s="3">
        <v>1</v>
      </c>
      <c r="H4" s="6" t="s">
        <v>19</v>
      </c>
      <c r="I4" s="3" t="s">
        <v>10</v>
      </c>
      <c r="J4" s="6"/>
      <c r="K4" s="3">
        <f>E4</f>
        <v>1970</v>
      </c>
      <c r="L4" s="3">
        <f>G4*2</f>
        <v>2</v>
      </c>
      <c r="N4" s="15">
        <f>N3+1</f>
        <v>2</v>
      </c>
      <c r="O4" s="112" t="s">
        <v>54</v>
      </c>
      <c r="P4" s="113"/>
      <c r="Q4" s="113"/>
      <c r="R4" s="34">
        <f>K7*L7+K8*L8</f>
        <v>15408</v>
      </c>
      <c r="S4" s="29">
        <v>1.0640000000000001</v>
      </c>
      <c r="T4" s="32">
        <f t="shared" ref="T4:T6" si="0">S4*R4</f>
        <v>16394.112000000001</v>
      </c>
      <c r="U4" s="34">
        <v>125000</v>
      </c>
      <c r="V4" s="31">
        <f t="shared" ref="V4:V7" si="1">U4*T4/1000</f>
        <v>2049264.0000000002</v>
      </c>
      <c r="W4" s="139"/>
    </row>
    <row r="5" spans="2:23" ht="44.4" customHeight="1" x14ac:dyDescent="0.35">
      <c r="B5" s="161"/>
      <c r="C5" s="162"/>
      <c r="D5" s="170"/>
      <c r="E5" s="88"/>
      <c r="F5" s="41" t="s">
        <v>46</v>
      </c>
      <c r="G5" s="41" t="s">
        <v>119</v>
      </c>
      <c r="H5" s="6" t="s">
        <v>20</v>
      </c>
      <c r="I5" s="3" t="s">
        <v>11</v>
      </c>
      <c r="J5" s="6"/>
      <c r="K5" s="3">
        <f>F4</f>
        <v>1510</v>
      </c>
      <c r="L5" s="3">
        <f>G4*2</f>
        <v>2</v>
      </c>
      <c r="N5" s="15">
        <f t="shared" ref="N5:N12" si="2">N4+1</f>
        <v>3</v>
      </c>
      <c r="O5" s="112" t="s">
        <v>55</v>
      </c>
      <c r="P5" s="113"/>
      <c r="Q5" s="113"/>
      <c r="R5" s="34">
        <f>R4</f>
        <v>15408</v>
      </c>
      <c r="S5" s="29">
        <v>0.27100000000000002</v>
      </c>
      <c r="T5" s="32">
        <f t="shared" si="0"/>
        <v>4175.5680000000002</v>
      </c>
      <c r="U5" s="34">
        <v>125000</v>
      </c>
      <c r="V5" s="31">
        <f t="shared" si="1"/>
        <v>521946</v>
      </c>
      <c r="W5" s="139"/>
    </row>
    <row r="6" spans="2:23" ht="44.4" customHeight="1" x14ac:dyDescent="0.35">
      <c r="B6" s="161"/>
      <c r="C6" s="162"/>
      <c r="D6" s="170"/>
      <c r="E6" s="56"/>
      <c r="F6" s="17">
        <f>F4*E4/1000</f>
        <v>2974.7</v>
      </c>
      <c r="G6" s="87">
        <f>SUM(T3:T7)</f>
        <v>30878.985000000001</v>
      </c>
      <c r="H6" s="6" t="s">
        <v>21</v>
      </c>
      <c r="I6" s="3" t="s">
        <v>27</v>
      </c>
      <c r="J6" s="6"/>
      <c r="K6" s="3">
        <f>F4-40</f>
        <v>1470</v>
      </c>
      <c r="L6" s="3">
        <f>G4*2</f>
        <v>2</v>
      </c>
      <c r="N6" s="15">
        <f t="shared" si="2"/>
        <v>4</v>
      </c>
      <c r="O6" s="112" t="s">
        <v>89</v>
      </c>
      <c r="P6" s="113"/>
      <c r="Q6" s="113"/>
      <c r="R6" s="34">
        <f>K9*L9</f>
        <v>1395</v>
      </c>
      <c r="S6" s="29">
        <v>0.89100000000000001</v>
      </c>
      <c r="T6" s="32">
        <f t="shared" si="0"/>
        <v>1242.9449999999999</v>
      </c>
      <c r="U6" s="34">
        <v>125000</v>
      </c>
      <c r="V6" s="31">
        <f t="shared" si="1"/>
        <v>155368.125</v>
      </c>
      <c r="W6" s="140"/>
    </row>
    <row r="7" spans="2:23" ht="44.4" customHeight="1" x14ac:dyDescent="0.35">
      <c r="B7" s="161"/>
      <c r="C7" s="162"/>
      <c r="D7" s="170"/>
      <c r="E7" s="2"/>
      <c r="F7" s="2"/>
      <c r="G7" s="2"/>
      <c r="H7" s="6" t="s">
        <v>22</v>
      </c>
      <c r="I7" s="3" t="s">
        <v>17</v>
      </c>
      <c r="J7" s="6"/>
      <c r="K7" s="3">
        <f>ROUNDDOWN(IF((E4-105)/4&lt;0,"0",(E4-105)/4),0)</f>
        <v>466</v>
      </c>
      <c r="L7" s="3">
        <f>G4*8</f>
        <v>8</v>
      </c>
      <c r="N7" s="15">
        <f t="shared" si="2"/>
        <v>5</v>
      </c>
      <c r="O7" s="112" t="s">
        <v>87</v>
      </c>
      <c r="P7" s="113"/>
      <c r="Q7" s="113"/>
      <c r="R7" s="34">
        <f>K6*L6</f>
        <v>2940</v>
      </c>
      <c r="S7" s="29">
        <v>1.01</v>
      </c>
      <c r="T7" s="32">
        <f t="shared" ref="T7" si="3">S7*R7</f>
        <v>2969.4</v>
      </c>
      <c r="U7" s="34">
        <v>125000</v>
      </c>
      <c r="V7" s="31">
        <f t="shared" si="1"/>
        <v>371175</v>
      </c>
      <c r="W7" s="42"/>
    </row>
    <row r="8" spans="2:23" ht="44.4" customHeight="1" x14ac:dyDescent="0.35">
      <c r="B8" s="161"/>
      <c r="C8" s="162"/>
      <c r="D8" s="170"/>
      <c r="E8" s="2"/>
      <c r="F8" s="2"/>
      <c r="G8" s="2"/>
      <c r="H8" s="6" t="s">
        <v>24</v>
      </c>
      <c r="I8" s="3" t="s">
        <v>18</v>
      </c>
      <c r="J8" s="6"/>
      <c r="K8" s="3">
        <f>IF(F4-40-10&lt;0,"0",F4-40-10)</f>
        <v>1460</v>
      </c>
      <c r="L8" s="3">
        <f>G4*8</f>
        <v>8</v>
      </c>
      <c r="N8" s="15">
        <f t="shared" si="2"/>
        <v>6</v>
      </c>
      <c r="O8" s="112" t="s">
        <v>78</v>
      </c>
      <c r="P8" s="113"/>
      <c r="Q8" s="114"/>
      <c r="R8" s="34"/>
      <c r="S8" s="29"/>
      <c r="T8" s="76"/>
      <c r="U8" s="54">
        <v>0.05</v>
      </c>
      <c r="V8" s="34">
        <f>SUM(V3:V7)*U8</f>
        <v>192993.65625</v>
      </c>
      <c r="W8" s="42"/>
    </row>
    <row r="9" spans="2:23" ht="44.4" customHeight="1" x14ac:dyDescent="0.35">
      <c r="B9" s="161"/>
      <c r="C9" s="162"/>
      <c r="D9" s="170"/>
      <c r="E9" s="2"/>
      <c r="F9" s="2"/>
      <c r="G9" s="2"/>
      <c r="H9" s="6" t="s">
        <v>25</v>
      </c>
      <c r="I9" s="3" t="s">
        <v>16</v>
      </c>
      <c r="J9" s="6"/>
      <c r="K9" s="6">
        <f>ROUNDDOWN(K8-28.2*2-8,0)</f>
        <v>1395</v>
      </c>
      <c r="L9" s="3">
        <f>G4*1</f>
        <v>1</v>
      </c>
      <c r="N9" s="15">
        <f t="shared" si="2"/>
        <v>7</v>
      </c>
      <c r="O9" s="112" t="s">
        <v>83</v>
      </c>
      <c r="P9" s="113"/>
      <c r="Q9" s="113"/>
      <c r="R9" s="29"/>
      <c r="S9" s="29"/>
      <c r="T9" s="33">
        <v>4</v>
      </c>
      <c r="U9" s="34">
        <v>4400</v>
      </c>
      <c r="V9" s="31">
        <f t="shared" ref="V9:V11" si="4">U9*T9</f>
        <v>17600</v>
      </c>
      <c r="W9" s="15"/>
    </row>
    <row r="10" spans="2:23" ht="44.4" customHeight="1" x14ac:dyDescent="0.35">
      <c r="B10" s="161"/>
      <c r="C10" s="162"/>
      <c r="D10" s="170"/>
      <c r="E10" s="3"/>
      <c r="F10" s="3"/>
      <c r="G10" s="3"/>
      <c r="H10" s="3"/>
      <c r="I10" s="150" t="s">
        <v>79</v>
      </c>
      <c r="J10" s="3" t="s">
        <v>6</v>
      </c>
      <c r="K10" s="3" t="s">
        <v>7</v>
      </c>
      <c r="L10" s="5" t="s">
        <v>2</v>
      </c>
      <c r="N10" s="15">
        <f t="shared" si="2"/>
        <v>8</v>
      </c>
      <c r="O10" s="112" t="s">
        <v>82</v>
      </c>
      <c r="P10" s="113"/>
      <c r="Q10" s="113"/>
      <c r="R10" s="29"/>
      <c r="S10" s="29"/>
      <c r="T10" s="33">
        <f>4*4</f>
        <v>16</v>
      </c>
      <c r="U10" s="34">
        <v>5100</v>
      </c>
      <c r="V10" s="31">
        <f t="shared" si="4"/>
        <v>81600</v>
      </c>
      <c r="W10" s="26" t="s">
        <v>73</v>
      </c>
    </row>
    <row r="11" spans="2:23" ht="44.4" customHeight="1" x14ac:dyDescent="0.35">
      <c r="B11" s="163"/>
      <c r="C11" s="164"/>
      <c r="D11" s="171"/>
      <c r="E11" s="3"/>
      <c r="F11" s="3"/>
      <c r="G11" s="3"/>
      <c r="H11" s="3"/>
      <c r="I11" s="151"/>
      <c r="J11" s="3">
        <f>IF(K7-120&gt;0,K7-120,"0")</f>
        <v>346</v>
      </c>
      <c r="K11" s="3">
        <f>IF(K8-120&gt;0,K8-120,"0")</f>
        <v>1340</v>
      </c>
      <c r="L11" s="3">
        <f>G4*4</f>
        <v>4</v>
      </c>
      <c r="N11" s="15">
        <f t="shared" si="2"/>
        <v>9</v>
      </c>
      <c r="O11" s="112" t="s">
        <v>61</v>
      </c>
      <c r="P11" s="113"/>
      <c r="Q11" s="113"/>
      <c r="R11" s="29"/>
      <c r="S11" s="29"/>
      <c r="T11" s="33">
        <f>T10*2+T9</f>
        <v>36</v>
      </c>
      <c r="U11" s="34">
        <v>100</v>
      </c>
      <c r="V11" s="31">
        <f t="shared" si="4"/>
        <v>3600</v>
      </c>
      <c r="W11" s="26" t="s">
        <v>74</v>
      </c>
    </row>
    <row r="12" spans="2:23" ht="44.4" customHeight="1" x14ac:dyDescent="0.35">
      <c r="L12" s="1">
        <f>J11*K11*L11/1000000</f>
        <v>1.85456</v>
      </c>
      <c r="N12" s="15">
        <f t="shared" si="2"/>
        <v>10</v>
      </c>
      <c r="O12" s="125" t="s">
        <v>65</v>
      </c>
      <c r="P12" s="126"/>
      <c r="Q12" s="126"/>
      <c r="R12" s="126"/>
      <c r="S12" s="127"/>
      <c r="T12" s="35"/>
      <c r="U12" s="36"/>
      <c r="V12" s="37">
        <f>SUM(V3:V11)</f>
        <v>4155666.78125</v>
      </c>
      <c r="W12" s="15"/>
    </row>
    <row r="13" spans="2:23" ht="44.4" customHeight="1" x14ac:dyDescent="0.35"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">
        <v>220000</v>
      </c>
      <c r="N13" s="24" t="s">
        <v>14</v>
      </c>
      <c r="O13" s="117" t="s">
        <v>51</v>
      </c>
      <c r="P13" s="117"/>
      <c r="Q13" s="117"/>
      <c r="R13" s="24" t="s">
        <v>52</v>
      </c>
      <c r="S13" s="30" t="s">
        <v>58</v>
      </c>
      <c r="T13" s="30"/>
      <c r="U13" s="24" t="s">
        <v>44</v>
      </c>
      <c r="V13" s="24" t="s">
        <v>45</v>
      </c>
      <c r="W13" s="2"/>
    </row>
    <row r="14" spans="2:23" ht="44.4" customHeight="1" x14ac:dyDescent="0.4">
      <c r="B14" s="115"/>
      <c r="C14" s="115"/>
      <c r="D14" s="130"/>
      <c r="E14" s="130"/>
      <c r="F14" s="130"/>
      <c r="G14" s="130"/>
      <c r="H14" s="130"/>
      <c r="I14" s="130"/>
      <c r="J14" s="115"/>
      <c r="K14" s="115"/>
      <c r="L14" s="98">
        <f>L12*L13</f>
        <v>408003.2</v>
      </c>
      <c r="N14" s="15">
        <v>1</v>
      </c>
      <c r="O14" s="112" t="s">
        <v>66</v>
      </c>
      <c r="P14" s="113"/>
      <c r="Q14" s="113"/>
      <c r="R14" s="38">
        <f>R3+R4+R6+R7*2</f>
        <v>29643</v>
      </c>
      <c r="S14" s="2">
        <v>1</v>
      </c>
      <c r="T14" s="25"/>
      <c r="U14" s="38">
        <v>1000</v>
      </c>
      <c r="V14" s="38">
        <f>U14*R14*S14/1000</f>
        <v>29643</v>
      </c>
      <c r="W14" s="2"/>
    </row>
    <row r="15" spans="2:23" ht="44.4" customHeight="1" x14ac:dyDescent="0.35">
      <c r="B15" s="115"/>
      <c r="C15" s="115"/>
      <c r="D15" s="130"/>
      <c r="E15" s="130"/>
      <c r="F15" s="130"/>
      <c r="G15" s="130"/>
      <c r="H15" s="130"/>
      <c r="I15" s="130"/>
      <c r="J15" s="115"/>
      <c r="K15" s="115"/>
      <c r="L15" s="101">
        <f>'[1]Phoi theo bo( XINGFA-OXIDIZED)'!$M$153</f>
        <v>1713728.4450000001</v>
      </c>
      <c r="N15" s="15">
        <f>N14+1</f>
        <v>2</v>
      </c>
      <c r="O15" s="112" t="s">
        <v>47</v>
      </c>
      <c r="P15" s="113"/>
      <c r="Q15" s="113"/>
      <c r="R15" s="38">
        <f>R4*2</f>
        <v>30816</v>
      </c>
      <c r="S15" s="2">
        <v>1</v>
      </c>
      <c r="T15" s="25"/>
      <c r="U15" s="38">
        <v>1000</v>
      </c>
      <c r="V15" s="38">
        <f>U15*R15*S15/1000</f>
        <v>30816</v>
      </c>
      <c r="W15" s="2"/>
    </row>
    <row r="16" spans="2:23" ht="44.4" customHeight="1" x14ac:dyDescent="0.35">
      <c r="B16" s="115"/>
      <c r="C16" s="115"/>
      <c r="D16" s="130"/>
      <c r="E16" s="130"/>
      <c r="F16" s="130"/>
      <c r="G16" s="130"/>
      <c r="H16" s="130"/>
      <c r="I16" s="130"/>
      <c r="J16" s="115"/>
      <c r="K16" s="115"/>
      <c r="L16" s="20">
        <f>V22+L15</f>
        <v>8301972.4262500005</v>
      </c>
      <c r="N16" s="15">
        <f t="shared" ref="N16:N19" si="5">N15+1</f>
        <v>3</v>
      </c>
      <c r="O16" s="112" t="s">
        <v>72</v>
      </c>
      <c r="P16" s="113"/>
      <c r="Q16" s="113"/>
      <c r="R16" s="38"/>
      <c r="S16" s="2">
        <v>1</v>
      </c>
      <c r="T16" s="25"/>
      <c r="U16" s="38">
        <v>2500</v>
      </c>
      <c r="V16" s="38">
        <f>U16*S16</f>
        <v>2500</v>
      </c>
      <c r="W16" s="26" t="s">
        <v>75</v>
      </c>
    </row>
    <row r="17" spans="2:23" ht="44.4" customHeight="1" x14ac:dyDescent="0.35">
      <c r="B17" s="115"/>
      <c r="C17" s="115"/>
      <c r="D17" s="115"/>
      <c r="E17" s="115"/>
      <c r="F17" s="115"/>
      <c r="G17" s="115"/>
      <c r="H17" s="130"/>
      <c r="I17" s="130"/>
      <c r="J17" s="115"/>
      <c r="K17" s="115"/>
      <c r="N17" s="15">
        <f t="shared" si="5"/>
        <v>4</v>
      </c>
      <c r="O17" s="112" t="s">
        <v>68</v>
      </c>
      <c r="P17" s="113"/>
      <c r="Q17" s="114"/>
      <c r="R17" s="38"/>
      <c r="S17" s="56">
        <v>1</v>
      </c>
      <c r="T17" s="25"/>
      <c r="U17" s="38">
        <v>1000</v>
      </c>
      <c r="V17" s="38">
        <f t="shared" ref="V17:V18" si="6">U17*S17</f>
        <v>1000</v>
      </c>
      <c r="W17" s="26"/>
    </row>
    <row r="18" spans="2:23" ht="44.4" customHeight="1" x14ac:dyDescent="0.35">
      <c r="B18" s="115"/>
      <c r="C18" s="115"/>
      <c r="D18" s="130"/>
      <c r="E18" s="130"/>
      <c r="F18" s="130"/>
      <c r="G18" s="130"/>
      <c r="H18" s="130"/>
      <c r="I18" s="130"/>
      <c r="J18" s="115"/>
      <c r="K18" s="115"/>
      <c r="N18" s="15">
        <f t="shared" si="5"/>
        <v>5</v>
      </c>
      <c r="O18" s="112" t="s">
        <v>70</v>
      </c>
      <c r="P18" s="113"/>
      <c r="Q18" s="114"/>
      <c r="R18" s="38"/>
      <c r="S18" s="2">
        <v>1</v>
      </c>
      <c r="T18" s="25"/>
      <c r="U18" s="38">
        <v>2000</v>
      </c>
      <c r="V18" s="38">
        <f t="shared" si="6"/>
        <v>2000</v>
      </c>
      <c r="W18" s="2"/>
    </row>
    <row r="19" spans="2:23" ht="44.4" customHeight="1" x14ac:dyDescent="0.35">
      <c r="B19" s="115"/>
      <c r="C19" s="115"/>
      <c r="D19" s="115"/>
      <c r="E19" s="115"/>
      <c r="F19" s="115"/>
      <c r="G19" s="115"/>
      <c r="H19" s="130"/>
      <c r="I19" s="130"/>
      <c r="J19" s="167">
        <f>V21+V20</f>
        <v>4965300.78125</v>
      </c>
      <c r="K19" s="115"/>
      <c r="N19" s="15">
        <f t="shared" si="5"/>
        <v>6</v>
      </c>
      <c r="O19" s="133" t="s">
        <v>69</v>
      </c>
      <c r="P19" s="133"/>
      <c r="Q19" s="133"/>
      <c r="R19" s="133"/>
      <c r="S19" s="133"/>
      <c r="T19" s="35"/>
      <c r="U19" s="36"/>
      <c r="V19" s="37">
        <f>SUM(V14:V18)</f>
        <v>65959</v>
      </c>
      <c r="W19" s="2"/>
    </row>
    <row r="20" spans="2:23" ht="44.4" customHeight="1" x14ac:dyDescent="0.4">
      <c r="B20" s="115"/>
      <c r="C20" s="115"/>
      <c r="D20" s="115"/>
      <c r="E20" s="115"/>
      <c r="F20" s="115"/>
      <c r="G20" s="115"/>
      <c r="H20" s="137"/>
      <c r="I20" s="137"/>
      <c r="J20" s="168">
        <f>J19/F6</f>
        <v>1669.1769863347565</v>
      </c>
      <c r="K20" s="115"/>
      <c r="N20" s="96"/>
      <c r="O20" s="134" t="s">
        <v>137</v>
      </c>
      <c r="P20" s="135"/>
      <c r="Q20" s="135"/>
      <c r="R20" s="135"/>
      <c r="S20" s="135"/>
      <c r="T20" s="135"/>
      <c r="U20" s="136"/>
      <c r="V20" s="98">
        <f>V12+V19</f>
        <v>4221625.78125</v>
      </c>
      <c r="W20" s="97"/>
    </row>
    <row r="21" spans="2:23" ht="44.4" customHeight="1" x14ac:dyDescent="0.4">
      <c r="B21" s="115"/>
      <c r="C21" s="115"/>
      <c r="D21" s="115"/>
      <c r="E21" s="115"/>
      <c r="F21" s="115"/>
      <c r="G21" s="115"/>
      <c r="H21" s="130"/>
      <c r="I21" s="130"/>
      <c r="J21" s="115"/>
      <c r="K21" s="115"/>
      <c r="V21" s="98">
        <f>F6*250</f>
        <v>743675</v>
      </c>
      <c r="W21" s="1">
        <v>620000</v>
      </c>
    </row>
    <row r="22" spans="2:23" ht="44.4" customHeight="1" x14ac:dyDescent="0.35">
      <c r="V22" s="20">
        <f>V20+V21+L14+W22+W21</f>
        <v>6588243.9812500002</v>
      </c>
      <c r="W22" s="1">
        <f>F6*200</f>
        <v>594940</v>
      </c>
    </row>
    <row r="23" spans="2:23" ht="44.4" customHeight="1" x14ac:dyDescent="0.4">
      <c r="U23" s="1">
        <v>1050000</v>
      </c>
      <c r="V23" s="98">
        <f>3.6*2229000</f>
        <v>8024400</v>
      </c>
      <c r="W23" s="104">
        <f>U24/V23</f>
        <v>0.95187727197672101</v>
      </c>
    </row>
    <row r="24" spans="2:23" ht="44.4" customHeight="1" x14ac:dyDescent="0.35">
      <c r="U24" s="20">
        <f>V22+U23</f>
        <v>7638243.9812500002</v>
      </c>
      <c r="V24" s="20">
        <f>V23-V22</f>
        <v>1436156.0187499998</v>
      </c>
      <c r="W24" s="104">
        <f>(V20+L14+W21)/V23</f>
        <v>0.65420828737974179</v>
      </c>
    </row>
    <row r="25" spans="2:23" ht="44.4" customHeight="1" x14ac:dyDescent="0.35">
      <c r="W25" s="104">
        <f>W22/V23</f>
        <v>7.4141368825083501E-2</v>
      </c>
    </row>
    <row r="26" spans="2:23" ht="44.4" customHeight="1" x14ac:dyDescent="0.35">
      <c r="W26" s="20">
        <f>V21+V20</f>
        <v>4965300.78125</v>
      </c>
    </row>
    <row r="27" spans="2:23" ht="44.4" customHeight="1" x14ac:dyDescent="0.35">
      <c r="W27" s="100">
        <f>W26/F6</f>
        <v>1669.1769863347565</v>
      </c>
    </row>
  </sheetData>
  <mergeCells count="65">
    <mergeCell ref="O20:U20"/>
    <mergeCell ref="O10:Q10"/>
    <mergeCell ref="O11:Q11"/>
    <mergeCell ref="O12:S12"/>
    <mergeCell ref="O18:Q18"/>
    <mergeCell ref="O19:S19"/>
    <mergeCell ref="O13:Q13"/>
    <mergeCell ref="O14:Q14"/>
    <mergeCell ref="O15:Q15"/>
    <mergeCell ref="O16:Q16"/>
    <mergeCell ref="O17:Q17"/>
    <mergeCell ref="B1:L1"/>
    <mergeCell ref="N1:W1"/>
    <mergeCell ref="O2:Q2"/>
    <mergeCell ref="O3:Q3"/>
    <mergeCell ref="W3:W6"/>
    <mergeCell ref="O4:Q4"/>
    <mergeCell ref="O5:Q5"/>
    <mergeCell ref="O6:Q6"/>
    <mergeCell ref="B2:F2"/>
    <mergeCell ref="B3:D11"/>
    <mergeCell ref="I10:I11"/>
    <mergeCell ref="I2:L2"/>
    <mergeCell ref="O7:Q7"/>
    <mergeCell ref="O8:Q8"/>
    <mergeCell ref="O9:Q9"/>
    <mergeCell ref="B13:C13"/>
    <mergeCell ref="D13:E13"/>
    <mergeCell ref="F13:G13"/>
    <mergeCell ref="H13:I13"/>
    <mergeCell ref="J13:K13"/>
    <mergeCell ref="B14:C14"/>
    <mergeCell ref="D14:E14"/>
    <mergeCell ref="F14:G14"/>
    <mergeCell ref="H14:I14"/>
    <mergeCell ref="J14:K14"/>
    <mergeCell ref="B15:C15"/>
    <mergeCell ref="D15:E15"/>
    <mergeCell ref="F15:G15"/>
    <mergeCell ref="H15:I15"/>
    <mergeCell ref="J15:K15"/>
    <mergeCell ref="D18:E18"/>
    <mergeCell ref="F18:G18"/>
    <mergeCell ref="H18:I18"/>
    <mergeCell ref="J18:K18"/>
    <mergeCell ref="B16:C16"/>
    <mergeCell ref="D16:E16"/>
    <mergeCell ref="F16:G16"/>
    <mergeCell ref="H16:I16"/>
    <mergeCell ref="J16:K16"/>
    <mergeCell ref="B17:G17"/>
    <mergeCell ref="H17:I17"/>
    <mergeCell ref="J17:K17"/>
    <mergeCell ref="B18:C18"/>
    <mergeCell ref="B21:C21"/>
    <mergeCell ref="D21:E21"/>
    <mergeCell ref="F21:G21"/>
    <mergeCell ref="H21:I21"/>
    <mergeCell ref="J21:K21"/>
    <mergeCell ref="B19:G19"/>
    <mergeCell ref="H19:I19"/>
    <mergeCell ref="J19:K19"/>
    <mergeCell ref="B20:G20"/>
    <mergeCell ref="H20:I20"/>
    <mergeCell ref="J20:K2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Y28"/>
  <sheetViews>
    <sheetView tabSelected="1" zoomScale="45" zoomScaleNormal="45" workbookViewId="0">
      <selection activeCell="O13" sqref="O13:Q13"/>
    </sheetView>
  </sheetViews>
  <sheetFormatPr defaultColWidth="17.44140625" defaultRowHeight="36" customHeight="1" x14ac:dyDescent="0.35"/>
  <cols>
    <col min="1" max="2" width="17.44140625" style="1"/>
    <col min="3" max="3" width="17.44140625" style="19"/>
    <col min="4" max="11" width="17.44140625" style="1"/>
    <col min="12" max="12" width="19.88671875" style="1" customWidth="1"/>
    <col min="13" max="13" width="17.44140625" style="1"/>
    <col min="14" max="14" width="11.21875" style="1" customWidth="1"/>
    <col min="15" max="21" width="17.44140625" style="1"/>
    <col min="22" max="22" width="24.77734375" style="1" customWidth="1"/>
    <col min="23" max="23" width="35" style="1" customWidth="1"/>
    <col min="24" max="16384" width="17.44140625" style="1"/>
  </cols>
  <sheetData>
    <row r="1" spans="2:25" ht="36" customHeight="1" x14ac:dyDescent="0.45">
      <c r="B1" s="116" t="s">
        <v>50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N1" s="116" t="s">
        <v>64</v>
      </c>
      <c r="O1" s="116"/>
      <c r="P1" s="116"/>
      <c r="Q1" s="116"/>
      <c r="R1" s="116"/>
      <c r="S1" s="116"/>
      <c r="T1" s="116"/>
      <c r="U1" s="116"/>
      <c r="V1" s="116"/>
      <c r="W1" s="116"/>
    </row>
    <row r="2" spans="2:25" ht="36" customHeight="1" x14ac:dyDescent="0.35">
      <c r="B2" s="118" t="s">
        <v>8</v>
      </c>
      <c r="C2" s="118"/>
      <c r="D2" s="118"/>
      <c r="E2" s="118"/>
      <c r="F2" s="118"/>
      <c r="G2" s="8"/>
      <c r="H2" s="119" t="s">
        <v>14</v>
      </c>
      <c r="I2" s="118" t="s">
        <v>9</v>
      </c>
      <c r="J2" s="118"/>
      <c r="K2" s="118"/>
      <c r="L2" s="118"/>
      <c r="N2" s="24" t="s">
        <v>14</v>
      </c>
      <c r="O2" s="117" t="s">
        <v>51</v>
      </c>
      <c r="P2" s="117"/>
      <c r="Q2" s="117"/>
      <c r="R2" s="24" t="s">
        <v>52</v>
      </c>
      <c r="S2" s="30" t="s">
        <v>62</v>
      </c>
      <c r="T2" s="30" t="s">
        <v>63</v>
      </c>
      <c r="U2" s="24" t="s">
        <v>44</v>
      </c>
      <c r="V2" s="24" t="s">
        <v>45</v>
      </c>
      <c r="W2" s="24" t="s">
        <v>39</v>
      </c>
    </row>
    <row r="3" spans="2:25" ht="36" customHeight="1" x14ac:dyDescent="0.35">
      <c r="B3" s="143"/>
      <c r="C3" s="143"/>
      <c r="D3" s="143"/>
      <c r="E3" s="3" t="s">
        <v>0</v>
      </c>
      <c r="F3" s="3" t="s">
        <v>1</v>
      </c>
      <c r="G3" s="3" t="s">
        <v>2</v>
      </c>
      <c r="H3" s="119"/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12" t="s">
        <v>92</v>
      </c>
      <c r="P3" s="113"/>
      <c r="Q3" s="113"/>
      <c r="R3" s="34">
        <f>K4*L4+K5*L5</f>
        <v>8180</v>
      </c>
      <c r="S3" s="84">
        <v>0.94899999999999995</v>
      </c>
      <c r="T3" s="32">
        <f>S3*R3</f>
        <v>7762.82</v>
      </c>
      <c r="U3" s="34">
        <v>115000</v>
      </c>
      <c r="V3" s="31">
        <f>U3*T3/1000</f>
        <v>892724.3</v>
      </c>
      <c r="W3" s="138"/>
    </row>
    <row r="4" spans="2:25" ht="36" customHeight="1" x14ac:dyDescent="0.35">
      <c r="B4" s="143"/>
      <c r="C4" s="143"/>
      <c r="D4" s="143"/>
      <c r="E4" s="3">
        <v>2600</v>
      </c>
      <c r="F4" s="3">
        <v>1490</v>
      </c>
      <c r="G4" s="3">
        <v>1</v>
      </c>
      <c r="H4" s="6" t="s">
        <v>19</v>
      </c>
      <c r="I4" s="3" t="s">
        <v>10</v>
      </c>
      <c r="J4" s="6" t="str">
        <f>CONCATENATE($G$2,"-",$D$9,"-","20532","-","1")</f>
        <v>--20532-1</v>
      </c>
      <c r="K4" s="3">
        <f>E4</f>
        <v>2600</v>
      </c>
      <c r="L4" s="3">
        <f>G4*2</f>
        <v>2</v>
      </c>
      <c r="N4" s="15">
        <f>N3+1</f>
        <v>2</v>
      </c>
      <c r="O4" s="112" t="s">
        <v>93</v>
      </c>
      <c r="P4" s="113"/>
      <c r="Q4" s="113"/>
      <c r="R4" s="34">
        <f>K6*L6+K7*L7</f>
        <v>10812</v>
      </c>
      <c r="S4" s="84">
        <v>0.93600000000000005</v>
      </c>
      <c r="T4" s="32">
        <f t="shared" ref="T4:T5" si="0">S4*R4</f>
        <v>10120.032000000001</v>
      </c>
      <c r="U4" s="34">
        <v>115000</v>
      </c>
      <c r="V4" s="31">
        <f t="shared" ref="V4:V5" si="1">U4*T4/1000</f>
        <v>1163803.6800000002</v>
      </c>
      <c r="W4" s="139"/>
    </row>
    <row r="5" spans="2:25" ht="36" customHeight="1" x14ac:dyDescent="0.35">
      <c r="B5" s="143"/>
      <c r="C5" s="143"/>
      <c r="D5" s="143"/>
      <c r="E5" s="40"/>
      <c r="F5" s="41" t="s">
        <v>46</v>
      </c>
      <c r="G5" s="41" t="s">
        <v>119</v>
      </c>
      <c r="H5" s="6" t="s">
        <v>20</v>
      </c>
      <c r="I5" s="3" t="s">
        <v>11</v>
      </c>
      <c r="J5" s="6" t="str">
        <f>CONCATENATE($G$2,"-",$D$9,"-","20532","-","2")</f>
        <v>--20532-2</v>
      </c>
      <c r="K5" s="3">
        <f>F4</f>
        <v>1490</v>
      </c>
      <c r="L5" s="3">
        <f>G4*2</f>
        <v>2</v>
      </c>
      <c r="N5" s="15">
        <f t="shared" ref="N5:N9" si="2">N4+1</f>
        <v>3</v>
      </c>
      <c r="O5" s="112" t="s">
        <v>94</v>
      </c>
      <c r="P5" s="113"/>
      <c r="Q5" s="113"/>
      <c r="R5" s="34">
        <f>K7*2</f>
        <v>2824</v>
      </c>
      <c r="S5" s="84">
        <v>0.36499999999999999</v>
      </c>
      <c r="T5" s="32">
        <f t="shared" si="0"/>
        <v>1030.76</v>
      </c>
      <c r="U5" s="34">
        <v>115000</v>
      </c>
      <c r="V5" s="31">
        <f t="shared" si="1"/>
        <v>118537.4</v>
      </c>
      <c r="W5" s="139"/>
    </row>
    <row r="6" spans="2:25" ht="36" customHeight="1" x14ac:dyDescent="0.35">
      <c r="B6" s="143"/>
      <c r="C6" s="143"/>
      <c r="D6" s="143"/>
      <c r="E6" s="56"/>
      <c r="F6" s="17">
        <f>F4*E4*G4/1000</f>
        <v>3874</v>
      </c>
      <c r="G6" s="87">
        <f>SUM(T3:T5)</f>
        <v>18913.611999999997</v>
      </c>
      <c r="H6" s="6" t="s">
        <v>21</v>
      </c>
      <c r="I6" s="3" t="s">
        <v>12</v>
      </c>
      <c r="J6" s="6" t="str">
        <f>CONCATENATE($G$2,"-",$D$9,"-","20526","-","1")</f>
        <v>--20526-1</v>
      </c>
      <c r="K6" s="3">
        <f>IF(ROUNDDOWN((E4-18)/2,0)&lt;0,"0",ROUNDDOWN((E4-18)/2,0))</f>
        <v>1291</v>
      </c>
      <c r="L6" s="3">
        <f>G4*4</f>
        <v>4</v>
      </c>
      <c r="N6" s="15">
        <f t="shared" si="2"/>
        <v>4</v>
      </c>
      <c r="O6" s="112" t="s">
        <v>78</v>
      </c>
      <c r="P6" s="113"/>
      <c r="Q6" s="114"/>
      <c r="R6" s="34"/>
      <c r="S6" s="29"/>
      <c r="T6" s="76"/>
      <c r="U6" s="54">
        <v>0.05</v>
      </c>
      <c r="V6" s="34">
        <f>SUM(V3:V5)*U6</f>
        <v>108753.26900000003</v>
      </c>
      <c r="W6" s="42"/>
    </row>
    <row r="7" spans="2:25" ht="36" customHeight="1" x14ac:dyDescent="0.35">
      <c r="B7" s="143"/>
      <c r="C7" s="143"/>
      <c r="D7" s="143"/>
      <c r="E7" s="2"/>
      <c r="F7" s="2"/>
      <c r="G7" s="2"/>
      <c r="H7" s="6" t="s">
        <v>22</v>
      </c>
      <c r="I7" s="3" t="s">
        <v>13</v>
      </c>
      <c r="J7" s="6" t="str">
        <f>CONCATENATE($G$2,"-",$D$9,"-","20526","-","2")</f>
        <v>--20526-2</v>
      </c>
      <c r="K7" s="3">
        <f>IF(F4-78&lt;0,"0",F4-78)</f>
        <v>1412</v>
      </c>
      <c r="L7" s="3">
        <f>G4*4</f>
        <v>4</v>
      </c>
      <c r="N7" s="15">
        <f t="shared" si="2"/>
        <v>5</v>
      </c>
      <c r="O7" s="172" t="s">
        <v>117</v>
      </c>
      <c r="P7" s="173"/>
      <c r="Q7" s="173"/>
      <c r="R7" s="29"/>
      <c r="S7" s="29"/>
      <c r="T7" s="33">
        <v>4</v>
      </c>
      <c r="U7" s="44">
        <v>4900</v>
      </c>
      <c r="V7" s="31">
        <f t="shared" ref="V7:V8" si="3">U7*T7</f>
        <v>19600</v>
      </c>
      <c r="W7" s="15"/>
    </row>
    <row r="8" spans="2:25" ht="36" customHeight="1" x14ac:dyDescent="0.35">
      <c r="B8" s="143"/>
      <c r="C8" s="143"/>
      <c r="D8" s="143"/>
      <c r="E8" s="3"/>
      <c r="F8" s="3"/>
      <c r="G8" s="3"/>
      <c r="H8" s="6" t="s">
        <v>24</v>
      </c>
      <c r="I8" s="119" t="s">
        <v>79</v>
      </c>
      <c r="J8" s="3" t="s">
        <v>6</v>
      </c>
      <c r="K8" s="3" t="s">
        <v>7</v>
      </c>
      <c r="L8" s="5" t="s">
        <v>2</v>
      </c>
      <c r="N8" s="15">
        <f t="shared" si="2"/>
        <v>6</v>
      </c>
      <c r="O8" s="172" t="s">
        <v>118</v>
      </c>
      <c r="P8" s="173"/>
      <c r="Q8" s="173"/>
      <c r="R8" s="29"/>
      <c r="S8" s="29"/>
      <c r="T8" s="33">
        <v>4</v>
      </c>
      <c r="U8" s="44">
        <v>2700</v>
      </c>
      <c r="V8" s="31">
        <f t="shared" si="3"/>
        <v>10800</v>
      </c>
      <c r="W8" s="26" t="s">
        <v>73</v>
      </c>
    </row>
    <row r="9" spans="2:25" ht="36" customHeight="1" x14ac:dyDescent="0.35">
      <c r="B9" s="143"/>
      <c r="C9" s="143"/>
      <c r="D9" s="143"/>
      <c r="E9" s="3"/>
      <c r="F9" s="3"/>
      <c r="G9" s="3"/>
      <c r="H9" s="6" t="s">
        <v>25</v>
      </c>
      <c r="I9" s="119"/>
      <c r="J9" s="3">
        <f>IF(K6-100&gt;0,K6-100,"0")</f>
        <v>1191</v>
      </c>
      <c r="K9" s="3">
        <f>IF(K7-100&gt;0,K7-100,"0")</f>
        <v>1312</v>
      </c>
      <c r="L9" s="3">
        <f>G4*2</f>
        <v>2</v>
      </c>
      <c r="M9" s="23"/>
      <c r="N9" s="15">
        <f t="shared" si="2"/>
        <v>7</v>
      </c>
      <c r="O9" s="125" t="s">
        <v>65</v>
      </c>
      <c r="P9" s="126"/>
      <c r="Q9" s="126"/>
      <c r="R9" s="126"/>
      <c r="S9" s="127"/>
      <c r="T9" s="35"/>
      <c r="U9" s="36"/>
      <c r="V9" s="37">
        <f>SUM(V3:V8)</f>
        <v>2314218.6490000002</v>
      </c>
      <c r="W9" s="15"/>
      <c r="X9" s="23"/>
    </row>
    <row r="10" spans="2:25" ht="36" customHeight="1" x14ac:dyDescent="0.35">
      <c r="B10" s="143"/>
      <c r="C10" s="143"/>
      <c r="D10" s="143"/>
      <c r="E10" s="3"/>
      <c r="F10" s="3"/>
      <c r="G10" s="3"/>
      <c r="H10" s="3"/>
      <c r="I10" s="3"/>
      <c r="J10" s="3"/>
      <c r="K10" s="3"/>
      <c r="L10" s="3">
        <f>J9*K9*L9/1000000</f>
        <v>3.125184</v>
      </c>
      <c r="N10" s="24" t="s">
        <v>14</v>
      </c>
      <c r="O10" s="117" t="s">
        <v>51</v>
      </c>
      <c r="P10" s="117"/>
      <c r="Q10" s="117"/>
      <c r="R10" s="24" t="s">
        <v>52</v>
      </c>
      <c r="S10" s="30" t="s">
        <v>58</v>
      </c>
      <c r="T10" s="30"/>
      <c r="U10" s="24" t="s">
        <v>44</v>
      </c>
      <c r="V10" s="24" t="s">
        <v>45</v>
      </c>
      <c r="W10" s="2"/>
      <c r="Y10" s="23"/>
    </row>
    <row r="11" spans="2:25" s="23" customFormat="1" ht="36" customHeight="1" x14ac:dyDescent="0.35"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">
        <v>220000</v>
      </c>
      <c r="M11" s="1"/>
      <c r="N11" s="15">
        <v>1</v>
      </c>
      <c r="O11" s="112" t="s">
        <v>95</v>
      </c>
      <c r="P11" s="113"/>
      <c r="Q11" s="113"/>
      <c r="R11" s="38">
        <f>R4*2</f>
        <v>21624</v>
      </c>
      <c r="S11" s="2">
        <v>1</v>
      </c>
      <c r="T11" s="25"/>
      <c r="U11" s="38">
        <v>1000</v>
      </c>
      <c r="V11" s="38">
        <f>U11*R11*S11/1000</f>
        <v>21624</v>
      </c>
      <c r="W11" s="2"/>
      <c r="X11" s="1"/>
      <c r="Y11" s="1"/>
    </row>
    <row r="12" spans="2:25" ht="36" customHeight="1" x14ac:dyDescent="0.4">
      <c r="B12" s="115"/>
      <c r="C12" s="115"/>
      <c r="D12" s="130"/>
      <c r="E12" s="130"/>
      <c r="F12" s="130"/>
      <c r="G12" s="130"/>
      <c r="H12" s="130"/>
      <c r="I12" s="130"/>
      <c r="J12" s="115"/>
      <c r="K12" s="115"/>
      <c r="L12" s="98">
        <f>L10*L11</f>
        <v>687540.48</v>
      </c>
      <c r="N12" s="15">
        <f t="shared" ref="N12:N15" si="4">N11+1</f>
        <v>2</v>
      </c>
      <c r="O12" s="112" t="s">
        <v>96</v>
      </c>
      <c r="P12" s="113"/>
      <c r="Q12" s="113"/>
      <c r="R12" s="38"/>
      <c r="S12" s="2">
        <v>4</v>
      </c>
      <c r="T12" s="25"/>
      <c r="U12" s="38">
        <v>500</v>
      </c>
      <c r="V12" s="38">
        <f>U12*S12</f>
        <v>2000</v>
      </c>
      <c r="W12" s="26" t="s">
        <v>75</v>
      </c>
    </row>
    <row r="13" spans="2:25" ht="36" customHeight="1" x14ac:dyDescent="0.35">
      <c r="B13" s="115"/>
      <c r="C13" s="115"/>
      <c r="D13" s="130"/>
      <c r="E13" s="130"/>
      <c r="F13" s="130"/>
      <c r="G13" s="130"/>
      <c r="H13" s="130"/>
      <c r="I13" s="130"/>
      <c r="J13" s="115"/>
      <c r="K13" s="115"/>
      <c r="N13" s="15">
        <f t="shared" si="4"/>
        <v>3</v>
      </c>
      <c r="O13" s="112" t="s">
        <v>68</v>
      </c>
      <c r="P13" s="113"/>
      <c r="Q13" s="114"/>
      <c r="R13" s="38"/>
      <c r="S13" s="56">
        <v>1</v>
      </c>
      <c r="T13" s="25"/>
      <c r="U13" s="38">
        <v>1000</v>
      </c>
      <c r="V13" s="38">
        <f t="shared" ref="V13:V14" si="5">U13*S13</f>
        <v>1000</v>
      </c>
      <c r="W13" s="26"/>
    </row>
    <row r="14" spans="2:25" ht="36" customHeight="1" x14ac:dyDescent="0.35">
      <c r="B14" s="115"/>
      <c r="C14" s="115"/>
      <c r="D14" s="130"/>
      <c r="E14" s="130"/>
      <c r="F14" s="130"/>
      <c r="G14" s="130"/>
      <c r="H14" s="130"/>
      <c r="I14" s="130"/>
      <c r="J14" s="115"/>
      <c r="K14" s="115"/>
      <c r="N14" s="15">
        <f t="shared" si="4"/>
        <v>4</v>
      </c>
      <c r="O14" s="112" t="s">
        <v>70</v>
      </c>
      <c r="P14" s="113"/>
      <c r="Q14" s="114"/>
      <c r="R14" s="38"/>
      <c r="S14" s="2">
        <v>1</v>
      </c>
      <c r="T14" s="25"/>
      <c r="U14" s="38">
        <v>2000</v>
      </c>
      <c r="V14" s="38">
        <f t="shared" si="5"/>
        <v>2000</v>
      </c>
      <c r="W14" s="2"/>
    </row>
    <row r="15" spans="2:25" ht="36" customHeight="1" x14ac:dyDescent="0.35">
      <c r="B15" s="115"/>
      <c r="C15" s="115"/>
      <c r="D15" s="115"/>
      <c r="E15" s="115"/>
      <c r="F15" s="115"/>
      <c r="G15" s="115"/>
      <c r="H15" s="130"/>
      <c r="I15" s="130"/>
      <c r="J15" s="115"/>
      <c r="K15" s="115"/>
      <c r="N15" s="15">
        <f t="shared" si="4"/>
        <v>5</v>
      </c>
      <c r="O15" s="133" t="s">
        <v>69</v>
      </c>
      <c r="P15" s="133"/>
      <c r="Q15" s="133"/>
      <c r="R15" s="133"/>
      <c r="S15" s="133"/>
      <c r="T15" s="35"/>
      <c r="U15" s="36"/>
      <c r="V15" s="37">
        <f>SUM(V11:V14)</f>
        <v>26624</v>
      </c>
      <c r="W15" s="2"/>
    </row>
    <row r="16" spans="2:25" ht="36" customHeight="1" x14ac:dyDescent="0.4">
      <c r="B16" s="115"/>
      <c r="C16" s="115"/>
      <c r="D16" s="130"/>
      <c r="E16" s="130"/>
      <c r="F16" s="130"/>
      <c r="G16" s="130"/>
      <c r="H16" s="130"/>
      <c r="I16" s="130"/>
      <c r="J16" s="115"/>
      <c r="K16" s="115"/>
      <c r="N16" s="96"/>
      <c r="O16" s="134" t="s">
        <v>137</v>
      </c>
      <c r="P16" s="135"/>
      <c r="Q16" s="135"/>
      <c r="R16" s="135"/>
      <c r="S16" s="135"/>
      <c r="T16" s="135"/>
      <c r="U16" s="136"/>
      <c r="V16" s="98">
        <f>V9+V15</f>
        <v>2340842.6490000002</v>
      </c>
      <c r="W16" s="97"/>
    </row>
    <row r="17" spans="2:25" ht="36" customHeight="1" x14ac:dyDescent="0.35">
      <c r="B17" s="115"/>
      <c r="C17" s="115"/>
      <c r="D17" s="115"/>
      <c r="E17" s="115"/>
      <c r="F17" s="115"/>
      <c r="G17" s="115"/>
      <c r="H17" s="130"/>
      <c r="I17" s="130"/>
      <c r="J17" s="115"/>
      <c r="K17" s="115"/>
      <c r="V17" s="1">
        <f>F6*250</f>
        <v>968500</v>
      </c>
    </row>
    <row r="18" spans="2:25" ht="45.75" customHeight="1" x14ac:dyDescent="0.35">
      <c r="B18" s="115"/>
      <c r="C18" s="115"/>
      <c r="D18" s="115"/>
      <c r="E18" s="115"/>
      <c r="F18" s="115"/>
      <c r="G18" s="115"/>
      <c r="H18" s="137"/>
      <c r="I18" s="137"/>
      <c r="J18" s="115"/>
      <c r="K18" s="115"/>
      <c r="V18" s="20">
        <f>V16+V17</f>
        <v>3309342.6490000002</v>
      </c>
      <c r="W18" s="100">
        <f>F6*2300</f>
        <v>8910200</v>
      </c>
    </row>
    <row r="19" spans="2:25" ht="36" customHeight="1" x14ac:dyDescent="0.35">
      <c r="C19" s="1"/>
      <c r="N19" s="22"/>
      <c r="O19" s="22"/>
      <c r="P19" s="22"/>
      <c r="Q19" s="22"/>
      <c r="R19" s="22"/>
      <c r="S19" s="22"/>
      <c r="T19" s="22"/>
      <c r="U19" s="22">
        <v>150000</v>
      </c>
      <c r="V19" s="20">
        <v>250000</v>
      </c>
      <c r="W19" s="107">
        <f>V20/W18</f>
        <v>0.4934662666382349</v>
      </c>
    </row>
    <row r="20" spans="2:25" ht="36" customHeight="1" x14ac:dyDescent="0.35">
      <c r="C20" s="1"/>
      <c r="V20" s="100">
        <f>L12+V19+V18+U19</f>
        <v>4396883.1290000007</v>
      </c>
      <c r="W20" s="104">
        <f>V21/W18</f>
        <v>0.47663162768512496</v>
      </c>
    </row>
    <row r="21" spans="2:25" ht="36" customHeight="1" x14ac:dyDescent="0.35">
      <c r="C21" s="1"/>
      <c r="M21" s="22"/>
      <c r="V21" s="100">
        <f>V19+V18+L12</f>
        <v>4246883.1290000007</v>
      </c>
      <c r="X21" s="22"/>
    </row>
    <row r="22" spans="2:25" ht="36" customHeight="1" x14ac:dyDescent="0.35">
      <c r="C22" s="1"/>
    </row>
    <row r="23" spans="2:25" ht="36" customHeight="1" x14ac:dyDescent="0.35">
      <c r="C23" s="1"/>
      <c r="Y23" s="22"/>
    </row>
    <row r="24" spans="2:25" s="22" customFormat="1" ht="36" customHeight="1" x14ac:dyDescent="0.3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2:25" ht="36" customHeight="1" x14ac:dyDescent="0.35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2:25" ht="36" customHeight="1" x14ac:dyDescent="0.35">
      <c r="C26" s="1"/>
    </row>
    <row r="27" spans="2:25" ht="36" customHeight="1" x14ac:dyDescent="0.35">
      <c r="C27" s="1"/>
    </row>
    <row r="28" spans="2:25" ht="36" customHeight="1" x14ac:dyDescent="0.35">
      <c r="C28" s="1"/>
    </row>
  </sheetData>
  <mergeCells count="57">
    <mergeCell ref="O16:U16"/>
    <mergeCell ref="N1:W1"/>
    <mergeCell ref="O2:Q2"/>
    <mergeCell ref="O3:Q3"/>
    <mergeCell ref="O4:Q4"/>
    <mergeCell ref="O5:Q5"/>
    <mergeCell ref="W3:W5"/>
    <mergeCell ref="O6:Q6"/>
    <mergeCell ref="O7:Q7"/>
    <mergeCell ref="O8:Q8"/>
    <mergeCell ref="O9:S9"/>
    <mergeCell ref="O10:Q10"/>
    <mergeCell ref="O15:S15"/>
    <mergeCell ref="O11:Q11"/>
    <mergeCell ref="O12:Q12"/>
    <mergeCell ref="O13:Q13"/>
    <mergeCell ref="O14:Q14"/>
    <mergeCell ref="F12:G12"/>
    <mergeCell ref="H12:I12"/>
    <mergeCell ref="J12:K12"/>
    <mergeCell ref="J13:K13"/>
    <mergeCell ref="J11:K11"/>
    <mergeCell ref="B12:C12"/>
    <mergeCell ref="D12:E12"/>
    <mergeCell ref="B14:C14"/>
    <mergeCell ref="D14:E14"/>
    <mergeCell ref="F14:G14"/>
    <mergeCell ref="H14:I14"/>
    <mergeCell ref="J14:K14"/>
    <mergeCell ref="J17:K17"/>
    <mergeCell ref="B18:G18"/>
    <mergeCell ref="H18:I18"/>
    <mergeCell ref="J18:K18"/>
    <mergeCell ref="B15:G15"/>
    <mergeCell ref="H15:I15"/>
    <mergeCell ref="J15:K15"/>
    <mergeCell ref="B16:C16"/>
    <mergeCell ref="D16:E16"/>
    <mergeCell ref="F16:G16"/>
    <mergeCell ref="H16:I16"/>
    <mergeCell ref="J16:K16"/>
    <mergeCell ref="B1:L1"/>
    <mergeCell ref="H2:H3"/>
    <mergeCell ref="B2:F2"/>
    <mergeCell ref="B17:G17"/>
    <mergeCell ref="H17:I17"/>
    <mergeCell ref="B11:C11"/>
    <mergeCell ref="D11:E11"/>
    <mergeCell ref="F11:G11"/>
    <mergeCell ref="H11:I11"/>
    <mergeCell ref="B13:C13"/>
    <mergeCell ref="D13:E13"/>
    <mergeCell ref="F13:G13"/>
    <mergeCell ref="H13:I13"/>
    <mergeCell ref="I8:I9"/>
    <mergeCell ref="B3:D10"/>
    <mergeCell ref="I2:L2"/>
  </mergeCells>
  <pageMargins left="0.25" right="0.25" top="0.75" bottom="0.75" header="0.3" footer="0.3"/>
  <pageSetup scale="48" orientation="portrait" r:id="rId1"/>
  <colBreaks count="1" manualBreakCount="1">
    <brk id="12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W22"/>
  <sheetViews>
    <sheetView zoomScale="45" zoomScaleNormal="45" workbookViewId="0">
      <selection activeCell="G4" sqref="G4"/>
    </sheetView>
  </sheetViews>
  <sheetFormatPr defaultColWidth="17.5546875" defaultRowHeight="31.95" customHeight="1" x14ac:dyDescent="0.35"/>
  <cols>
    <col min="1" max="13" width="17.5546875" style="1"/>
    <col min="14" max="14" width="11.21875" style="1" customWidth="1"/>
    <col min="15" max="21" width="17.44140625" style="1"/>
    <col min="22" max="22" width="20.109375" style="1" customWidth="1"/>
    <col min="23" max="23" width="35" style="1" customWidth="1"/>
    <col min="24" max="16384" width="17.5546875" style="1"/>
  </cols>
  <sheetData>
    <row r="1" spans="2:23" ht="31.95" customHeight="1" x14ac:dyDescent="0.45">
      <c r="B1" s="116" t="s">
        <v>50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N1" s="116" t="s">
        <v>64</v>
      </c>
      <c r="O1" s="116"/>
      <c r="P1" s="116"/>
      <c r="Q1" s="116"/>
      <c r="R1" s="116"/>
      <c r="S1" s="116"/>
      <c r="T1" s="116"/>
      <c r="U1" s="116"/>
      <c r="V1" s="116"/>
      <c r="W1" s="116"/>
    </row>
    <row r="2" spans="2:23" ht="31.95" customHeight="1" x14ac:dyDescent="0.35">
      <c r="B2" s="157"/>
      <c r="C2" s="158"/>
      <c r="D2" s="158"/>
      <c r="E2" s="158"/>
      <c r="F2" s="174"/>
      <c r="G2" s="8"/>
      <c r="H2" s="7"/>
      <c r="I2" s="157" t="s">
        <v>9</v>
      </c>
      <c r="J2" s="158"/>
      <c r="K2" s="158"/>
      <c r="L2" s="158"/>
      <c r="N2" s="24" t="s">
        <v>14</v>
      </c>
      <c r="O2" s="117" t="s">
        <v>51</v>
      </c>
      <c r="P2" s="117"/>
      <c r="Q2" s="117"/>
      <c r="R2" s="24" t="s">
        <v>52</v>
      </c>
      <c r="S2" s="30" t="s">
        <v>62</v>
      </c>
      <c r="T2" s="30" t="s">
        <v>63</v>
      </c>
      <c r="U2" s="24" t="s">
        <v>44</v>
      </c>
      <c r="V2" s="24" t="s">
        <v>45</v>
      </c>
      <c r="W2" s="24" t="s">
        <v>39</v>
      </c>
    </row>
    <row r="3" spans="2:23" ht="31.95" customHeight="1" x14ac:dyDescent="0.35">
      <c r="B3" s="152"/>
      <c r="C3" s="153"/>
      <c r="D3" s="154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12" t="s">
        <v>92</v>
      </c>
      <c r="P3" s="113"/>
      <c r="Q3" s="113"/>
      <c r="R3" s="34">
        <f>K4*L4+K5*L5</f>
        <v>8846</v>
      </c>
      <c r="S3" s="84">
        <v>0.94899999999999995</v>
      </c>
      <c r="T3" s="32">
        <f>S3*R3</f>
        <v>8394.8539999999994</v>
      </c>
      <c r="U3" s="34">
        <v>117000</v>
      </c>
      <c r="V3" s="31">
        <f>U3*T3/1000</f>
        <v>982197.91799999983</v>
      </c>
      <c r="W3" s="77"/>
    </row>
    <row r="4" spans="2:23" ht="31.95" customHeight="1" x14ac:dyDescent="0.35">
      <c r="B4" s="120"/>
      <c r="C4" s="121"/>
      <c r="D4" s="155"/>
      <c r="E4" s="3">
        <v>3190</v>
      </c>
      <c r="F4" s="3">
        <v>1233</v>
      </c>
      <c r="G4" s="3">
        <v>1</v>
      </c>
      <c r="H4" s="6" t="s">
        <v>19</v>
      </c>
      <c r="I4" s="3" t="s">
        <v>10</v>
      </c>
      <c r="J4" s="6" t="str">
        <f>CONCATENATE($G$2,"-",$D$10,"-","20532","-","1")</f>
        <v>--20532-1</v>
      </c>
      <c r="K4" s="3">
        <f>E4</f>
        <v>3190</v>
      </c>
      <c r="L4" s="3">
        <f>G4*2</f>
        <v>2</v>
      </c>
      <c r="N4" s="15">
        <f>N3+1</f>
        <v>2</v>
      </c>
      <c r="O4" s="112" t="s">
        <v>93</v>
      </c>
      <c r="P4" s="113"/>
      <c r="Q4" s="113"/>
      <c r="R4" s="34">
        <f>K6*L6+K7*L7</f>
        <v>15696</v>
      </c>
      <c r="S4" s="84">
        <v>0.93600000000000005</v>
      </c>
      <c r="T4" s="32">
        <f t="shared" ref="T4:T5" si="0">S4*R4</f>
        <v>14691.456</v>
      </c>
      <c r="U4" s="34">
        <v>117000</v>
      </c>
      <c r="V4" s="31">
        <f t="shared" ref="V4:V5" si="1">U4*T4/1000</f>
        <v>1718900.352</v>
      </c>
      <c r="W4" s="78"/>
    </row>
    <row r="5" spans="2:23" ht="31.95" customHeight="1" x14ac:dyDescent="0.35">
      <c r="B5" s="120"/>
      <c r="C5" s="121"/>
      <c r="D5" s="155"/>
      <c r="E5" s="88"/>
      <c r="F5" s="41" t="s">
        <v>46</v>
      </c>
      <c r="G5" s="41" t="s">
        <v>119</v>
      </c>
      <c r="H5" s="6" t="s">
        <v>20</v>
      </c>
      <c r="I5" s="3" t="s">
        <v>11</v>
      </c>
      <c r="J5" s="6" t="str">
        <f>CONCATENATE($G$2,"-",$D$10,"-","20532","-","2")</f>
        <v>--20532-2</v>
      </c>
      <c r="K5" s="3">
        <f>F4</f>
        <v>1233</v>
      </c>
      <c r="L5" s="3">
        <f>G4*2</f>
        <v>2</v>
      </c>
      <c r="N5" s="15">
        <f t="shared" ref="N5:N10" si="2">N4+1</f>
        <v>3</v>
      </c>
      <c r="O5" s="112" t="s">
        <v>94</v>
      </c>
      <c r="P5" s="113"/>
      <c r="Q5" s="113"/>
      <c r="R5" s="34">
        <f>K7*4</f>
        <v>4620</v>
      </c>
      <c r="S5" s="84">
        <v>0.36499999999999999</v>
      </c>
      <c r="T5" s="32">
        <f t="shared" si="0"/>
        <v>1686.3</v>
      </c>
      <c r="U5" s="34">
        <v>117000</v>
      </c>
      <c r="V5" s="31">
        <f t="shared" si="1"/>
        <v>197297.1</v>
      </c>
      <c r="W5" s="78"/>
    </row>
    <row r="6" spans="2:23" ht="31.95" customHeight="1" x14ac:dyDescent="0.35">
      <c r="B6" s="120"/>
      <c r="C6" s="121"/>
      <c r="D6" s="155"/>
      <c r="E6" s="56"/>
      <c r="F6" s="17">
        <f>F4*E4/1000</f>
        <v>3933.27</v>
      </c>
      <c r="G6" s="87">
        <f>SUM(T3:T6)</f>
        <v>25037.104999999996</v>
      </c>
      <c r="H6" s="6" t="s">
        <v>21</v>
      </c>
      <c r="I6" s="3" t="s">
        <v>12</v>
      </c>
      <c r="J6" s="6" t="str">
        <f>CONCATENATE($G$2,"-",$D$10,"-","20526","-","1")</f>
        <v>--20526-1</v>
      </c>
      <c r="K6" s="3">
        <f>IF(ROUNDDOWN((E4+39)/4,0)&lt;9,"0",ROUNDDOWN((E4+39)/4,0))</f>
        <v>807</v>
      </c>
      <c r="L6" s="3">
        <f>G4*8</f>
        <v>8</v>
      </c>
      <c r="N6" s="15">
        <f t="shared" si="2"/>
        <v>4</v>
      </c>
      <c r="O6" s="112" t="s">
        <v>97</v>
      </c>
      <c r="P6" s="113"/>
      <c r="Q6" s="113"/>
      <c r="R6" s="34">
        <f>K8*L8</f>
        <v>1155</v>
      </c>
      <c r="S6" s="84">
        <v>0.22900000000000001</v>
      </c>
      <c r="T6" s="32">
        <f t="shared" ref="T6" si="3">S6*R6</f>
        <v>264.495</v>
      </c>
      <c r="U6" s="34">
        <v>117000</v>
      </c>
      <c r="V6" s="31">
        <f t="shared" ref="V6" si="4">U6*T6/1000</f>
        <v>30945.915000000001</v>
      </c>
      <c r="W6" s="78"/>
    </row>
    <row r="7" spans="2:23" ht="31.95" customHeight="1" x14ac:dyDescent="0.35">
      <c r="B7" s="120"/>
      <c r="C7" s="121"/>
      <c r="D7" s="155"/>
      <c r="E7" s="2"/>
      <c r="F7" s="2"/>
      <c r="G7" s="2"/>
      <c r="H7" s="6" t="s">
        <v>22</v>
      </c>
      <c r="I7" s="3" t="s">
        <v>13</v>
      </c>
      <c r="J7" s="6" t="str">
        <f>CONCATENATE($G$2,"-",$D$10,"-","20526","-","2")</f>
        <v>--20526-2</v>
      </c>
      <c r="K7" s="3">
        <f>IF(F4-78&lt;0,"0",F4-78)</f>
        <v>1155</v>
      </c>
      <c r="L7" s="3">
        <f>G4*8</f>
        <v>8</v>
      </c>
      <c r="N7" s="15">
        <f t="shared" si="2"/>
        <v>5</v>
      </c>
      <c r="O7" s="112" t="s">
        <v>78</v>
      </c>
      <c r="P7" s="113"/>
      <c r="Q7" s="114"/>
      <c r="R7" s="34"/>
      <c r="S7" s="29"/>
      <c r="T7" s="76"/>
      <c r="U7" s="54">
        <v>0.05</v>
      </c>
      <c r="V7" s="34">
        <f>SUM(V3:V6)*U7</f>
        <v>146467.06425</v>
      </c>
      <c r="W7" s="42"/>
    </row>
    <row r="8" spans="2:23" ht="31.95" customHeight="1" x14ac:dyDescent="0.35">
      <c r="B8" s="120"/>
      <c r="C8" s="121"/>
      <c r="D8" s="155"/>
      <c r="E8" s="2"/>
      <c r="F8" s="2"/>
      <c r="G8" s="2"/>
      <c r="H8" s="6" t="s">
        <v>24</v>
      </c>
      <c r="I8" s="3" t="s">
        <v>26</v>
      </c>
      <c r="J8" s="6" t="str">
        <f>CONCATENATE($G$2,"-",$D$10,"-","20528","-","1")</f>
        <v>--20528-1</v>
      </c>
      <c r="K8" s="6">
        <f>K7</f>
        <v>1155</v>
      </c>
      <c r="L8" s="3">
        <f>G4</f>
        <v>1</v>
      </c>
      <c r="N8" s="15">
        <f t="shared" si="2"/>
        <v>6</v>
      </c>
      <c r="O8" s="172" t="s">
        <v>117</v>
      </c>
      <c r="P8" s="173"/>
      <c r="Q8" s="173"/>
      <c r="R8" s="29"/>
      <c r="S8" s="29"/>
      <c r="T8" s="33">
        <v>4</v>
      </c>
      <c r="U8" s="44">
        <v>4900</v>
      </c>
      <c r="V8" s="31">
        <f t="shared" ref="V8:V9" si="5">U8*T8</f>
        <v>19600</v>
      </c>
      <c r="W8" s="15"/>
    </row>
    <row r="9" spans="2:23" ht="31.95" customHeight="1" x14ac:dyDescent="0.35">
      <c r="B9" s="120"/>
      <c r="C9" s="121"/>
      <c r="D9" s="155"/>
      <c r="E9" s="3"/>
      <c r="F9" s="3"/>
      <c r="G9" s="3"/>
      <c r="H9" s="3"/>
      <c r="I9" s="150" t="s">
        <v>79</v>
      </c>
      <c r="J9" s="3" t="s">
        <v>6</v>
      </c>
      <c r="K9" s="3" t="s">
        <v>7</v>
      </c>
      <c r="L9" s="5" t="s">
        <v>2</v>
      </c>
      <c r="N9" s="15">
        <f t="shared" si="2"/>
        <v>7</v>
      </c>
      <c r="O9" s="172" t="s">
        <v>118</v>
      </c>
      <c r="P9" s="173"/>
      <c r="Q9" s="173"/>
      <c r="R9" s="29"/>
      <c r="S9" s="29"/>
      <c r="T9" s="33">
        <v>4</v>
      </c>
      <c r="U9" s="44">
        <v>2700</v>
      </c>
      <c r="V9" s="31">
        <f t="shared" si="5"/>
        <v>10800</v>
      </c>
      <c r="W9" s="26" t="s">
        <v>73</v>
      </c>
    </row>
    <row r="10" spans="2:23" ht="31.95" customHeight="1" x14ac:dyDescent="0.35">
      <c r="B10" s="122"/>
      <c r="C10" s="123"/>
      <c r="D10" s="156"/>
      <c r="E10" s="3"/>
      <c r="F10" s="3"/>
      <c r="G10" s="3"/>
      <c r="H10" s="3"/>
      <c r="I10" s="151"/>
      <c r="J10" s="3">
        <f>IF(K6-95&gt;0,K6-95,"0")</f>
        <v>712</v>
      </c>
      <c r="K10" s="3">
        <f>IF(K7-95&gt;0,K7-95,"0")</f>
        <v>1060</v>
      </c>
      <c r="L10" s="3">
        <f>G4*4</f>
        <v>4</v>
      </c>
      <c r="N10" s="15">
        <f t="shared" si="2"/>
        <v>8</v>
      </c>
      <c r="O10" s="125" t="s">
        <v>65</v>
      </c>
      <c r="P10" s="126"/>
      <c r="Q10" s="126"/>
      <c r="R10" s="126"/>
      <c r="S10" s="127"/>
      <c r="T10" s="35"/>
      <c r="U10" s="36"/>
      <c r="V10" s="37">
        <f>SUM(V3:V9)</f>
        <v>3106208.3492499995</v>
      </c>
      <c r="W10" s="15"/>
    </row>
    <row r="11" spans="2:23" ht="31.95" customHeight="1" x14ac:dyDescent="0.35">
      <c r="L11" s="1">
        <f>J10*K10*L10/1000000</f>
        <v>3.0188799999999998</v>
      </c>
      <c r="N11" s="24" t="s">
        <v>14</v>
      </c>
      <c r="O11" s="117" t="s">
        <v>51</v>
      </c>
      <c r="P11" s="117"/>
      <c r="Q11" s="117"/>
      <c r="R11" s="24" t="s">
        <v>52</v>
      </c>
      <c r="S11" s="30" t="s">
        <v>58</v>
      </c>
      <c r="T11" s="30"/>
      <c r="U11" s="24" t="s">
        <v>44</v>
      </c>
      <c r="V11" s="24" t="s">
        <v>45</v>
      </c>
      <c r="W11" s="2"/>
    </row>
    <row r="12" spans="2:23" ht="31.95" customHeight="1" x14ac:dyDescent="0.35"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">
        <v>220000</v>
      </c>
      <c r="N12" s="15">
        <v>1</v>
      </c>
      <c r="O12" s="112" t="s">
        <v>95</v>
      </c>
      <c r="P12" s="113"/>
      <c r="Q12" s="113"/>
      <c r="R12" s="38">
        <f>R4*2</f>
        <v>31392</v>
      </c>
      <c r="S12" s="2">
        <v>1</v>
      </c>
      <c r="T12" s="25"/>
      <c r="U12" s="38">
        <v>1000</v>
      </c>
      <c r="V12" s="38">
        <f>U12*R12*S12/1000</f>
        <v>31392</v>
      </c>
      <c r="W12" s="2"/>
    </row>
    <row r="13" spans="2:23" ht="31.95" customHeight="1" x14ac:dyDescent="0.4">
      <c r="B13" s="115"/>
      <c r="C13" s="115"/>
      <c r="D13" s="130"/>
      <c r="E13" s="130"/>
      <c r="F13" s="130"/>
      <c r="G13" s="130"/>
      <c r="H13" s="130"/>
      <c r="I13" s="130"/>
      <c r="J13" s="115"/>
      <c r="K13" s="115"/>
      <c r="L13" s="98">
        <f>L11*L12</f>
        <v>664153.59999999998</v>
      </c>
      <c r="N13" s="15">
        <f t="shared" ref="N13:N16" si="6">N12+1</f>
        <v>2</v>
      </c>
      <c r="O13" s="112" t="s">
        <v>96</v>
      </c>
      <c r="P13" s="113"/>
      <c r="Q13" s="113"/>
      <c r="R13" s="38"/>
      <c r="S13" s="2">
        <v>6</v>
      </c>
      <c r="T13" s="25"/>
      <c r="U13" s="38">
        <v>500</v>
      </c>
      <c r="V13" s="38">
        <f>U13*S13</f>
        <v>3000</v>
      </c>
      <c r="W13" s="26" t="s">
        <v>75</v>
      </c>
    </row>
    <row r="14" spans="2:23" ht="31.95" customHeight="1" x14ac:dyDescent="0.35">
      <c r="B14" s="115"/>
      <c r="C14" s="115"/>
      <c r="D14" s="130"/>
      <c r="E14" s="130"/>
      <c r="F14" s="130"/>
      <c r="G14" s="130"/>
      <c r="H14" s="130"/>
      <c r="I14" s="130"/>
      <c r="J14" s="115"/>
      <c r="K14" s="115"/>
      <c r="N14" s="15">
        <f t="shared" si="6"/>
        <v>3</v>
      </c>
      <c r="O14" s="112" t="s">
        <v>68</v>
      </c>
      <c r="P14" s="113"/>
      <c r="Q14" s="114"/>
      <c r="R14" s="38"/>
      <c r="S14" s="56">
        <v>1</v>
      </c>
      <c r="T14" s="25"/>
      <c r="U14" s="38">
        <v>1000</v>
      </c>
      <c r="V14" s="38">
        <f t="shared" ref="V14:V15" si="7">U14*S14</f>
        <v>1000</v>
      </c>
      <c r="W14" s="26"/>
    </row>
    <row r="15" spans="2:23" ht="31.95" customHeight="1" x14ac:dyDescent="0.35">
      <c r="B15" s="115"/>
      <c r="C15" s="115"/>
      <c r="D15" s="130"/>
      <c r="E15" s="130"/>
      <c r="F15" s="130"/>
      <c r="G15" s="130"/>
      <c r="H15" s="130"/>
      <c r="I15" s="130"/>
      <c r="J15" s="115"/>
      <c r="K15" s="115"/>
      <c r="N15" s="15">
        <f t="shared" si="6"/>
        <v>4</v>
      </c>
      <c r="O15" s="112" t="s">
        <v>70</v>
      </c>
      <c r="P15" s="113"/>
      <c r="Q15" s="114"/>
      <c r="R15" s="38"/>
      <c r="S15" s="2">
        <v>1</v>
      </c>
      <c r="T15" s="25"/>
      <c r="U15" s="38">
        <v>2000</v>
      </c>
      <c r="V15" s="38">
        <f t="shared" si="7"/>
        <v>2000</v>
      </c>
      <c r="W15" s="2"/>
    </row>
    <row r="16" spans="2:23" ht="31.95" customHeight="1" x14ac:dyDescent="0.35">
      <c r="B16" s="115"/>
      <c r="C16" s="115"/>
      <c r="D16" s="115"/>
      <c r="E16" s="115"/>
      <c r="F16" s="115"/>
      <c r="G16" s="115"/>
      <c r="H16" s="130"/>
      <c r="I16" s="130"/>
      <c r="J16" s="115"/>
      <c r="K16" s="115"/>
      <c r="N16" s="15">
        <f t="shared" si="6"/>
        <v>5</v>
      </c>
      <c r="O16" s="133" t="s">
        <v>69</v>
      </c>
      <c r="P16" s="133"/>
      <c r="Q16" s="133"/>
      <c r="R16" s="133"/>
      <c r="S16" s="133"/>
      <c r="T16" s="35"/>
      <c r="U16" s="36"/>
      <c r="V16" s="37">
        <f>SUM(V12:V15)</f>
        <v>37392</v>
      </c>
      <c r="W16" s="2"/>
    </row>
    <row r="17" spans="2:23" ht="31.95" customHeight="1" x14ac:dyDescent="0.4">
      <c r="B17" s="115"/>
      <c r="C17" s="115"/>
      <c r="D17" s="130"/>
      <c r="E17" s="130"/>
      <c r="F17" s="130"/>
      <c r="G17" s="130"/>
      <c r="H17" s="130"/>
      <c r="I17" s="130"/>
      <c r="J17" s="115"/>
      <c r="K17" s="115"/>
      <c r="N17" s="96"/>
      <c r="O17" s="134" t="s">
        <v>137</v>
      </c>
      <c r="P17" s="135"/>
      <c r="Q17" s="135"/>
      <c r="R17" s="135"/>
      <c r="S17" s="135"/>
      <c r="T17" s="135"/>
      <c r="U17" s="136"/>
      <c r="V17" s="98">
        <f>V10+V16</f>
        <v>3143600.3492499995</v>
      </c>
      <c r="W17" s="97"/>
    </row>
    <row r="18" spans="2:23" ht="31.95" customHeight="1" x14ac:dyDescent="0.4">
      <c r="B18" s="115"/>
      <c r="C18" s="115"/>
      <c r="D18" s="115"/>
      <c r="E18" s="115"/>
      <c r="F18" s="115"/>
      <c r="G18" s="115"/>
      <c r="H18" s="130"/>
      <c r="I18" s="130"/>
      <c r="J18" s="115"/>
      <c r="K18" s="115"/>
      <c r="V18" s="98">
        <f>F6*250</f>
        <v>983317.5</v>
      </c>
    </row>
    <row r="19" spans="2:23" ht="31.95" customHeight="1" x14ac:dyDescent="0.35">
      <c r="B19" s="115"/>
      <c r="C19" s="115"/>
      <c r="D19" s="115"/>
      <c r="E19" s="115"/>
      <c r="F19" s="115"/>
      <c r="G19" s="115"/>
      <c r="H19" s="137"/>
      <c r="I19" s="137"/>
      <c r="J19" s="115"/>
      <c r="K19" s="115"/>
      <c r="V19" s="20">
        <f>V17+V18</f>
        <v>4126917.8492499995</v>
      </c>
    </row>
    <row r="20" spans="2:23" ht="31.95" customHeight="1" x14ac:dyDescent="0.35">
      <c r="B20" s="115"/>
      <c r="C20" s="115"/>
      <c r="D20" s="115"/>
      <c r="E20" s="115"/>
      <c r="F20" s="115"/>
      <c r="G20" s="115"/>
      <c r="H20" s="130"/>
      <c r="I20" s="130"/>
      <c r="J20" s="115"/>
      <c r="K20" s="115"/>
      <c r="V20" s="20">
        <f>F6*2100</f>
        <v>8259867</v>
      </c>
      <c r="W20" s="100">
        <f>V19/F6</f>
        <v>1049.2332967861346</v>
      </c>
    </row>
    <row r="21" spans="2:23" ht="31.95" customHeight="1" x14ac:dyDescent="0.35">
      <c r="N21" s="22"/>
      <c r="O21" s="22"/>
      <c r="P21" s="22"/>
      <c r="Q21" s="22"/>
      <c r="R21" s="22"/>
      <c r="S21" s="22"/>
      <c r="T21" s="22"/>
      <c r="U21" s="22"/>
      <c r="V21" s="107">
        <f>V19/V20</f>
        <v>0.49963490323149268</v>
      </c>
      <c r="W21" s="22"/>
    </row>
    <row r="22" spans="2:23" ht="31.95" customHeight="1" x14ac:dyDescent="0.35">
      <c r="V22" s="104">
        <f>V17/V20</f>
        <v>0.38058728418387361</v>
      </c>
    </row>
  </sheetData>
  <mergeCells count="61">
    <mergeCell ref="O17:U17"/>
    <mergeCell ref="O16:S16"/>
    <mergeCell ref="O11:Q11"/>
    <mergeCell ref="O12:Q12"/>
    <mergeCell ref="O13:Q13"/>
    <mergeCell ref="O14:Q14"/>
    <mergeCell ref="O15:Q15"/>
    <mergeCell ref="B20:C20"/>
    <mergeCell ref="D20:E20"/>
    <mergeCell ref="F20:G20"/>
    <mergeCell ref="H20:I20"/>
    <mergeCell ref="J20:K20"/>
    <mergeCell ref="B18:G18"/>
    <mergeCell ref="H18:I18"/>
    <mergeCell ref="J18:K18"/>
    <mergeCell ref="B19:G19"/>
    <mergeCell ref="H19:I19"/>
    <mergeCell ref="J19:K19"/>
    <mergeCell ref="B16:G16"/>
    <mergeCell ref="H16:I16"/>
    <mergeCell ref="J16:K16"/>
    <mergeCell ref="B17:C17"/>
    <mergeCell ref="D17:E17"/>
    <mergeCell ref="F17:G17"/>
    <mergeCell ref="H17:I17"/>
    <mergeCell ref="J17:K17"/>
    <mergeCell ref="B15:C15"/>
    <mergeCell ref="D15:E15"/>
    <mergeCell ref="F15:G15"/>
    <mergeCell ref="H15:I15"/>
    <mergeCell ref="J15:K15"/>
    <mergeCell ref="B14:C14"/>
    <mergeCell ref="D14:E14"/>
    <mergeCell ref="F14:G14"/>
    <mergeCell ref="H14:I14"/>
    <mergeCell ref="J14:K14"/>
    <mergeCell ref="B13:C13"/>
    <mergeCell ref="D13:E13"/>
    <mergeCell ref="F13:G13"/>
    <mergeCell ref="H13:I13"/>
    <mergeCell ref="J13:K13"/>
    <mergeCell ref="B12:C12"/>
    <mergeCell ref="D12:E12"/>
    <mergeCell ref="F12:G12"/>
    <mergeCell ref="H12:I12"/>
    <mergeCell ref="J12:K12"/>
    <mergeCell ref="B2:F2"/>
    <mergeCell ref="B1:L1"/>
    <mergeCell ref="I9:I10"/>
    <mergeCell ref="I2:L2"/>
    <mergeCell ref="B3:D10"/>
    <mergeCell ref="N1:W1"/>
    <mergeCell ref="O2:Q2"/>
    <mergeCell ref="O3:Q3"/>
    <mergeCell ref="O10:S10"/>
    <mergeCell ref="O6:Q6"/>
    <mergeCell ref="O4:Q4"/>
    <mergeCell ref="O5:Q5"/>
    <mergeCell ref="O7:Q7"/>
    <mergeCell ref="O8:Q8"/>
    <mergeCell ref="O9:Q9"/>
  </mergeCells>
  <pageMargins left="0.7" right="0.7" top="0.75" bottom="0.75" header="0.3" footer="0.3"/>
  <pageSetup scale="66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X24"/>
  <sheetViews>
    <sheetView zoomScale="43" zoomScaleNormal="43" workbookViewId="0">
      <selection activeCell="J12" sqref="J12"/>
    </sheetView>
  </sheetViews>
  <sheetFormatPr defaultColWidth="17.21875" defaultRowHeight="39.6" customHeight="1" x14ac:dyDescent="0.35"/>
  <cols>
    <col min="1" max="1" width="10.5546875" style="1" customWidth="1"/>
    <col min="2" max="9" width="17.21875" style="1"/>
    <col min="10" max="10" width="20.44140625" style="1" customWidth="1"/>
    <col min="11" max="11" width="17.21875" style="1"/>
    <col min="12" max="12" width="19.21875" style="1" bestFit="1" customWidth="1"/>
    <col min="13" max="21" width="17.21875" style="1"/>
    <col min="22" max="22" width="25.44140625" style="1" bestFit="1" customWidth="1"/>
    <col min="23" max="23" width="35.21875" style="1" customWidth="1"/>
    <col min="24" max="16384" width="17.21875" style="1"/>
  </cols>
  <sheetData>
    <row r="1" spans="2:24" ht="39.6" customHeight="1" x14ac:dyDescent="0.45">
      <c r="B1" s="116" t="s">
        <v>50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N1" s="116" t="s">
        <v>64</v>
      </c>
      <c r="O1" s="116"/>
      <c r="P1" s="116"/>
      <c r="Q1" s="116"/>
      <c r="R1" s="116"/>
      <c r="S1" s="116"/>
      <c r="T1" s="116"/>
      <c r="U1" s="116"/>
      <c r="V1" s="116"/>
      <c r="W1" s="116"/>
    </row>
    <row r="2" spans="2:24" ht="39.6" customHeight="1" x14ac:dyDescent="0.35">
      <c r="B2" s="157" t="s">
        <v>8</v>
      </c>
      <c r="C2" s="158"/>
      <c r="D2" s="158"/>
      <c r="E2" s="158"/>
      <c r="F2" s="174"/>
      <c r="G2" s="8" t="s">
        <v>36</v>
      </c>
      <c r="H2" s="7"/>
      <c r="I2" s="157" t="s">
        <v>9</v>
      </c>
      <c r="J2" s="158"/>
      <c r="K2" s="158"/>
      <c r="L2" s="158"/>
      <c r="N2" s="24" t="s">
        <v>14</v>
      </c>
      <c r="O2" s="117" t="s">
        <v>51</v>
      </c>
      <c r="P2" s="117"/>
      <c r="Q2" s="117"/>
      <c r="R2" s="24" t="s">
        <v>52</v>
      </c>
      <c r="S2" s="30" t="s">
        <v>62</v>
      </c>
      <c r="T2" s="30" t="s">
        <v>63</v>
      </c>
      <c r="U2" s="24" t="s">
        <v>44</v>
      </c>
      <c r="V2" s="24" t="s">
        <v>45</v>
      </c>
      <c r="W2" s="24" t="s">
        <v>39</v>
      </c>
    </row>
    <row r="3" spans="2:24" ht="39.6" customHeight="1" x14ac:dyDescent="0.35">
      <c r="B3" s="152"/>
      <c r="C3" s="153"/>
      <c r="D3" s="154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12" t="s">
        <v>98</v>
      </c>
      <c r="P3" s="113"/>
      <c r="Q3" s="113"/>
      <c r="R3" s="34">
        <f>K6*L6</f>
        <v>4874</v>
      </c>
      <c r="S3" s="29">
        <v>1.1339999999999999</v>
      </c>
      <c r="T3" s="85">
        <f>S3*R3</f>
        <v>5527.1159999999991</v>
      </c>
      <c r="U3" s="34">
        <v>115000</v>
      </c>
      <c r="V3" s="31">
        <f>U3*T3/1000</f>
        <v>635618.33999999985</v>
      </c>
      <c r="W3" s="138"/>
    </row>
    <row r="4" spans="2:24" ht="39.6" customHeight="1" x14ac:dyDescent="0.35">
      <c r="B4" s="120"/>
      <c r="C4" s="121"/>
      <c r="D4" s="155"/>
      <c r="E4" s="3">
        <v>1890</v>
      </c>
      <c r="F4" s="3">
        <v>2437</v>
      </c>
      <c r="G4" s="3">
        <v>1</v>
      </c>
      <c r="H4" s="6" t="s">
        <v>19</v>
      </c>
      <c r="I4" s="3" t="s">
        <v>29</v>
      </c>
      <c r="J4" s="6" t="str">
        <f>CONCATENATE($G$2,"-",$D$12,"-","D1541A","-","1")</f>
        <v>AH--D1541A-1</v>
      </c>
      <c r="K4" s="3">
        <f>E4-36</f>
        <v>1854</v>
      </c>
      <c r="L4" s="3">
        <f>G4*1</f>
        <v>1</v>
      </c>
      <c r="N4" s="15">
        <f>N3+1</f>
        <v>2</v>
      </c>
      <c r="O4" s="112" t="s">
        <v>99</v>
      </c>
      <c r="P4" s="113"/>
      <c r="Q4" s="113"/>
      <c r="R4" s="34">
        <f>K4*L4</f>
        <v>1854</v>
      </c>
      <c r="S4" s="29">
        <v>1.4590000000000001</v>
      </c>
      <c r="T4" s="85">
        <f t="shared" ref="T4:T6" si="0">S4*R4</f>
        <v>2704.9860000000003</v>
      </c>
      <c r="U4" s="34">
        <v>115000</v>
      </c>
      <c r="V4" s="31">
        <f t="shared" ref="V4:V9" si="1">U4*T4/1000</f>
        <v>311073.39000000007</v>
      </c>
      <c r="W4" s="139"/>
    </row>
    <row r="5" spans="2:24" ht="39.6" customHeight="1" x14ac:dyDescent="0.35">
      <c r="B5" s="120"/>
      <c r="C5" s="121"/>
      <c r="D5" s="155"/>
      <c r="E5" s="88"/>
      <c r="F5" s="41" t="s">
        <v>46</v>
      </c>
      <c r="G5" s="41" t="s">
        <v>119</v>
      </c>
      <c r="H5" s="6" t="s">
        <v>20</v>
      </c>
      <c r="I5" s="3" t="s">
        <v>30</v>
      </c>
      <c r="J5" s="6" t="str">
        <f>CONCATENATE($G$2,"-",$D$12,"-","D17182","-","1")</f>
        <v>AH--D17182-1</v>
      </c>
      <c r="K5" s="3">
        <f>E4-36</f>
        <v>1854</v>
      </c>
      <c r="L5" s="3">
        <f>G4*1</f>
        <v>1</v>
      </c>
      <c r="N5" s="15">
        <f t="shared" ref="N5:N12" si="2">N4+1</f>
        <v>3</v>
      </c>
      <c r="O5" s="112" t="s">
        <v>100</v>
      </c>
      <c r="P5" s="113"/>
      <c r="Q5" s="113"/>
      <c r="R5" s="34">
        <f>R4</f>
        <v>1854</v>
      </c>
      <c r="S5" s="29">
        <v>1.3069999999999999</v>
      </c>
      <c r="T5" s="85">
        <f t="shared" si="0"/>
        <v>2423.1779999999999</v>
      </c>
      <c r="U5" s="34">
        <v>115000</v>
      </c>
      <c r="V5" s="31">
        <f t="shared" si="1"/>
        <v>278665.46999999997</v>
      </c>
      <c r="W5" s="139"/>
    </row>
    <row r="6" spans="2:24" ht="39.6" customHeight="1" x14ac:dyDescent="0.35">
      <c r="B6" s="120"/>
      <c r="C6" s="121"/>
      <c r="D6" s="155"/>
      <c r="E6" s="56"/>
      <c r="F6" s="17">
        <f>F4*E4/1000</f>
        <v>4605.93</v>
      </c>
      <c r="G6" s="87">
        <f>SUM(T3:T9)</f>
        <v>25865.148000000001</v>
      </c>
      <c r="H6" s="6" t="s">
        <v>21</v>
      </c>
      <c r="I6" s="3" t="s">
        <v>11</v>
      </c>
      <c r="J6" s="6" t="str">
        <f>CONCATENATE($G$2,"-",$D$12,"-","D1543A","-","2")</f>
        <v>AH--D1543A-2</v>
      </c>
      <c r="K6" s="3">
        <f>F4</f>
        <v>2437</v>
      </c>
      <c r="L6" s="3">
        <f>G4*2</f>
        <v>2</v>
      </c>
      <c r="N6" s="15">
        <f t="shared" si="2"/>
        <v>4</v>
      </c>
      <c r="O6" s="112" t="s">
        <v>101</v>
      </c>
      <c r="P6" s="113"/>
      <c r="Q6" s="113"/>
      <c r="R6" s="34">
        <f>K10*L10</f>
        <v>4780</v>
      </c>
      <c r="S6" s="29">
        <v>1.0980000000000001</v>
      </c>
      <c r="T6" s="85">
        <f t="shared" si="0"/>
        <v>5248.4400000000005</v>
      </c>
      <c r="U6" s="34">
        <v>115000</v>
      </c>
      <c r="V6" s="31">
        <f t="shared" si="1"/>
        <v>603570.6</v>
      </c>
      <c r="W6" s="139"/>
    </row>
    <row r="7" spans="2:24" ht="39.6" customHeight="1" x14ac:dyDescent="0.35">
      <c r="B7" s="120"/>
      <c r="C7" s="121"/>
      <c r="D7" s="155"/>
      <c r="E7" s="2"/>
      <c r="F7" s="2"/>
      <c r="G7" s="2"/>
      <c r="H7" s="6" t="s">
        <v>22</v>
      </c>
      <c r="I7" s="3" t="s">
        <v>34</v>
      </c>
      <c r="J7" s="6" t="str">
        <f>CONCATENATE($G$2,"-",$D$12,"-","D1544A","-","1")</f>
        <v>AH--D1544A-1</v>
      </c>
      <c r="K7" s="3">
        <f>ROUNDDOWN(E4/2-77,0)</f>
        <v>868</v>
      </c>
      <c r="L7" s="3">
        <f>G4*2</f>
        <v>2</v>
      </c>
      <c r="N7" s="15">
        <f t="shared" si="2"/>
        <v>5</v>
      </c>
      <c r="O7" s="112" t="s">
        <v>102</v>
      </c>
      <c r="P7" s="113"/>
      <c r="Q7" s="113"/>
      <c r="R7" s="34">
        <f>K9*L9</f>
        <v>4780</v>
      </c>
      <c r="S7" s="29">
        <v>1.2729999999999999</v>
      </c>
      <c r="T7" s="85">
        <f t="shared" ref="T7:T9" si="3">S7*R7</f>
        <v>6084.94</v>
      </c>
      <c r="U7" s="34">
        <v>115000</v>
      </c>
      <c r="V7" s="31">
        <f t="shared" si="1"/>
        <v>699768.1</v>
      </c>
      <c r="W7" s="139"/>
    </row>
    <row r="8" spans="2:24" ht="39.6" customHeight="1" x14ac:dyDescent="0.35">
      <c r="B8" s="120"/>
      <c r="C8" s="121"/>
      <c r="D8" s="155"/>
      <c r="E8" s="2"/>
      <c r="F8" s="2"/>
      <c r="G8" s="2"/>
      <c r="H8" s="6" t="s">
        <v>24</v>
      </c>
      <c r="I8" s="3" t="s">
        <v>31</v>
      </c>
      <c r="J8" s="6" t="str">
        <f>CONCATENATE($G$2,"-",$D$12,"-","D1545A","-","1")</f>
        <v>AH--D1545A-1</v>
      </c>
      <c r="K8" s="3">
        <f>ROUNDDOWN(E4/2-77,0)</f>
        <v>868</v>
      </c>
      <c r="L8" s="3">
        <f>G4*2</f>
        <v>2</v>
      </c>
      <c r="N8" s="15">
        <f t="shared" si="2"/>
        <v>6</v>
      </c>
      <c r="O8" s="112" t="s">
        <v>103</v>
      </c>
      <c r="P8" s="113"/>
      <c r="Q8" s="113"/>
      <c r="R8" s="34">
        <f>K7*L7</f>
        <v>1736</v>
      </c>
      <c r="S8" s="29">
        <v>0.99</v>
      </c>
      <c r="T8" s="85">
        <f t="shared" si="3"/>
        <v>1718.6399999999999</v>
      </c>
      <c r="U8" s="34">
        <v>115000</v>
      </c>
      <c r="V8" s="31">
        <f t="shared" si="1"/>
        <v>197643.6</v>
      </c>
      <c r="W8" s="139"/>
    </row>
    <row r="9" spans="2:24" ht="39.6" customHeight="1" x14ac:dyDescent="0.35">
      <c r="B9" s="120"/>
      <c r="C9" s="121"/>
      <c r="D9" s="155"/>
      <c r="E9" s="2"/>
      <c r="F9" s="2"/>
      <c r="G9" s="2"/>
      <c r="H9" s="6" t="s">
        <v>25</v>
      </c>
      <c r="I9" s="3" t="s">
        <v>32</v>
      </c>
      <c r="J9" s="6" t="str">
        <f>CONCATENATE($G$2,"-",$D$12,"-","D1546A","-","2")</f>
        <v>AH--D1546A-2</v>
      </c>
      <c r="K9" s="3">
        <f>F4-47</f>
        <v>2390</v>
      </c>
      <c r="L9" s="3">
        <f>G4*2</f>
        <v>2</v>
      </c>
      <c r="N9" s="15">
        <f t="shared" si="2"/>
        <v>7</v>
      </c>
      <c r="O9" s="112" t="s">
        <v>104</v>
      </c>
      <c r="P9" s="113"/>
      <c r="Q9" s="113"/>
      <c r="R9" s="34">
        <f>K8*L8</f>
        <v>1736</v>
      </c>
      <c r="S9" s="29">
        <v>1.2430000000000001</v>
      </c>
      <c r="T9" s="85">
        <f t="shared" si="3"/>
        <v>2157.848</v>
      </c>
      <c r="U9" s="34">
        <v>115000</v>
      </c>
      <c r="V9" s="31">
        <f t="shared" si="1"/>
        <v>248152.52</v>
      </c>
      <c r="W9" s="140"/>
    </row>
    <row r="10" spans="2:24" ht="39.6" customHeight="1" x14ac:dyDescent="0.35">
      <c r="B10" s="120"/>
      <c r="C10" s="121"/>
      <c r="D10" s="155"/>
      <c r="E10" s="2"/>
      <c r="F10" s="2"/>
      <c r="G10" s="2"/>
      <c r="H10" s="6" t="s">
        <v>28</v>
      </c>
      <c r="I10" s="3" t="s">
        <v>33</v>
      </c>
      <c r="J10" s="6" t="str">
        <f>CONCATENATE($G$2,"-",$D$12,"-","D1547A","-","2")</f>
        <v>AH--D1547A-2</v>
      </c>
      <c r="K10" s="3">
        <f>F4-47</f>
        <v>2390</v>
      </c>
      <c r="L10" s="3">
        <f>G4*2</f>
        <v>2</v>
      </c>
      <c r="N10" s="15">
        <f>N6+1</f>
        <v>5</v>
      </c>
      <c r="O10" s="112" t="s">
        <v>78</v>
      </c>
      <c r="P10" s="113"/>
      <c r="Q10" s="114"/>
      <c r="R10" s="34"/>
      <c r="S10" s="29"/>
      <c r="T10" s="76"/>
      <c r="U10" s="54">
        <v>0.05</v>
      </c>
      <c r="V10" s="34">
        <f>SUM(V3:V9)*U10</f>
        <v>148724.601</v>
      </c>
      <c r="W10" s="42"/>
    </row>
    <row r="11" spans="2:24" ht="39.6" customHeight="1" x14ac:dyDescent="0.35">
      <c r="B11" s="120"/>
      <c r="C11" s="121"/>
      <c r="D11" s="155"/>
      <c r="E11" s="3"/>
      <c r="F11" s="3"/>
      <c r="G11" s="3"/>
      <c r="H11" s="3"/>
      <c r="I11" s="150" t="s">
        <v>79</v>
      </c>
      <c r="J11" s="3" t="s">
        <v>6</v>
      </c>
      <c r="K11" s="3" t="s">
        <v>7</v>
      </c>
      <c r="L11" s="5" t="s">
        <v>2</v>
      </c>
      <c r="N11" s="15">
        <f t="shared" si="2"/>
        <v>6</v>
      </c>
      <c r="O11" s="112" t="s">
        <v>105</v>
      </c>
      <c r="P11" s="113"/>
      <c r="Q11" s="113"/>
      <c r="R11" s="29"/>
      <c r="S11" s="29"/>
      <c r="T11" s="33">
        <v>2</v>
      </c>
      <c r="U11" s="34">
        <v>15000</v>
      </c>
      <c r="V11" s="31">
        <f t="shared" ref="V11" si="4">U11*T11</f>
        <v>30000</v>
      </c>
      <c r="W11" s="15"/>
    </row>
    <row r="12" spans="2:24" ht="39.6" customHeight="1" x14ac:dyDescent="0.35">
      <c r="B12" s="122"/>
      <c r="C12" s="123"/>
      <c r="D12" s="156"/>
      <c r="E12" s="3"/>
      <c r="F12" s="3"/>
      <c r="G12" s="3"/>
      <c r="H12" s="3"/>
      <c r="I12" s="151"/>
      <c r="J12" s="3">
        <f>ROUNDDOWN(E4/2-90,0)</f>
        <v>855</v>
      </c>
      <c r="K12" s="3">
        <f>K9-100</f>
        <v>2290</v>
      </c>
      <c r="L12" s="3">
        <f>G4*2</f>
        <v>2</v>
      </c>
      <c r="N12" s="15">
        <f t="shared" si="2"/>
        <v>7</v>
      </c>
      <c r="O12" s="125" t="s">
        <v>65</v>
      </c>
      <c r="P12" s="126"/>
      <c r="Q12" s="126"/>
      <c r="R12" s="126"/>
      <c r="S12" s="127"/>
      <c r="T12" s="35"/>
      <c r="U12" s="36"/>
      <c r="V12" s="37">
        <f>SUM(V3:V11)</f>
        <v>3153216.6209999998</v>
      </c>
      <c r="W12" s="15"/>
      <c r="X12" s="2"/>
    </row>
    <row r="13" spans="2:24" ht="39.6" customHeight="1" x14ac:dyDescent="0.35">
      <c r="L13" s="1">
        <f>J12*K12*L12/1000000</f>
        <v>3.9159000000000002</v>
      </c>
      <c r="N13" s="24" t="s">
        <v>14</v>
      </c>
      <c r="O13" s="117" t="s">
        <v>51</v>
      </c>
      <c r="P13" s="117"/>
      <c r="Q13" s="117"/>
      <c r="R13" s="24" t="s">
        <v>52</v>
      </c>
      <c r="S13" s="30" t="s">
        <v>58</v>
      </c>
      <c r="T13" s="30"/>
      <c r="U13" s="24" t="s">
        <v>44</v>
      </c>
      <c r="V13" s="24" t="s">
        <v>45</v>
      </c>
      <c r="W13" s="26" t="s">
        <v>75</v>
      </c>
    </row>
    <row r="14" spans="2:24" ht="39.6" customHeight="1" x14ac:dyDescent="0.35">
      <c r="L14" s="1">
        <v>220000</v>
      </c>
      <c r="N14" s="15">
        <v>1</v>
      </c>
      <c r="O14" s="112" t="s">
        <v>95</v>
      </c>
      <c r="P14" s="113"/>
      <c r="Q14" s="113"/>
      <c r="R14" s="38">
        <f>R6+R7+R8+R9*2</f>
        <v>14768</v>
      </c>
      <c r="S14" s="2">
        <v>1</v>
      </c>
      <c r="T14" s="25"/>
      <c r="U14" s="38">
        <v>1000</v>
      </c>
      <c r="V14" s="38">
        <f>U14*R14*S14/1000</f>
        <v>14768</v>
      </c>
      <c r="W14" s="26"/>
    </row>
    <row r="15" spans="2:24" ht="39.6" customHeight="1" x14ac:dyDescent="0.4"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98">
        <f>L13*L14</f>
        <v>861498</v>
      </c>
      <c r="N15" s="15">
        <v>2</v>
      </c>
      <c r="O15" s="112" t="s">
        <v>68</v>
      </c>
      <c r="P15" s="113"/>
      <c r="Q15" s="114"/>
      <c r="R15" s="38"/>
      <c r="S15" s="56">
        <v>1</v>
      </c>
      <c r="T15" s="25"/>
      <c r="U15" s="38">
        <v>1000</v>
      </c>
      <c r="V15" s="38">
        <f t="shared" ref="V15:V16" si="5">U15*S15</f>
        <v>1000</v>
      </c>
      <c r="W15" s="2"/>
    </row>
    <row r="16" spans="2:24" ht="39.6" customHeight="1" x14ac:dyDescent="0.35">
      <c r="B16" s="115"/>
      <c r="C16" s="115"/>
      <c r="D16" s="130"/>
      <c r="E16" s="130"/>
      <c r="F16" s="130"/>
      <c r="G16" s="130"/>
      <c r="H16" s="130"/>
      <c r="I16" s="130"/>
      <c r="J16" s="115"/>
      <c r="K16" s="115"/>
      <c r="N16" s="15">
        <f t="shared" ref="N16:N17" si="6">N15+1</f>
        <v>3</v>
      </c>
      <c r="O16" s="112" t="s">
        <v>70</v>
      </c>
      <c r="P16" s="113"/>
      <c r="Q16" s="114"/>
      <c r="R16" s="38"/>
      <c r="S16" s="2">
        <v>1</v>
      </c>
      <c r="T16" s="25"/>
      <c r="U16" s="38">
        <v>2000</v>
      </c>
      <c r="V16" s="38">
        <f t="shared" si="5"/>
        <v>2000</v>
      </c>
      <c r="W16" s="2"/>
    </row>
    <row r="17" spans="2:23" ht="39.6" customHeight="1" x14ac:dyDescent="0.35">
      <c r="B17" s="115"/>
      <c r="C17" s="115"/>
      <c r="D17" s="130"/>
      <c r="E17" s="130"/>
      <c r="F17" s="130"/>
      <c r="G17" s="130"/>
      <c r="H17" s="130"/>
      <c r="I17" s="130"/>
      <c r="J17" s="115"/>
      <c r="K17" s="115"/>
      <c r="N17" s="15">
        <f t="shared" si="6"/>
        <v>4</v>
      </c>
      <c r="O17" s="133" t="s">
        <v>69</v>
      </c>
      <c r="P17" s="133"/>
      <c r="Q17" s="133"/>
      <c r="R17" s="133"/>
      <c r="S17" s="133"/>
      <c r="T17" s="35"/>
      <c r="U17" s="36"/>
      <c r="V17" s="37">
        <f>SUM(V14:V16)</f>
        <v>17768</v>
      </c>
      <c r="W17" s="2"/>
    </row>
    <row r="18" spans="2:23" ht="39.6" customHeight="1" x14ac:dyDescent="0.4">
      <c r="B18" s="115"/>
      <c r="C18" s="115"/>
      <c r="D18" s="130"/>
      <c r="E18" s="130"/>
      <c r="F18" s="130"/>
      <c r="G18" s="130"/>
      <c r="H18" s="130"/>
      <c r="I18" s="130"/>
      <c r="J18" s="115"/>
      <c r="K18" s="115"/>
      <c r="N18" s="96"/>
      <c r="O18" s="134" t="s">
        <v>137</v>
      </c>
      <c r="P18" s="135"/>
      <c r="Q18" s="135"/>
      <c r="R18" s="135"/>
      <c r="S18" s="135"/>
      <c r="T18" s="135"/>
      <c r="U18" s="136"/>
      <c r="V18" s="98">
        <f>V12+V17</f>
        <v>3170984.6209999998</v>
      </c>
      <c r="W18" s="97"/>
    </row>
    <row r="19" spans="2:23" ht="39.6" customHeight="1" x14ac:dyDescent="0.4">
      <c r="B19" s="115"/>
      <c r="C19" s="115"/>
      <c r="D19" s="115"/>
      <c r="E19" s="115"/>
      <c r="F19" s="115"/>
      <c r="G19" s="115"/>
      <c r="H19" s="130"/>
      <c r="I19" s="130"/>
      <c r="J19" s="115"/>
      <c r="K19" s="115"/>
      <c r="V19" s="98">
        <f>F6*350</f>
        <v>1612075.5</v>
      </c>
    </row>
    <row r="20" spans="2:23" ht="39.6" customHeight="1" x14ac:dyDescent="0.35">
      <c r="B20" s="115"/>
      <c r="C20" s="115"/>
      <c r="D20" s="130"/>
      <c r="E20" s="130"/>
      <c r="F20" s="130"/>
      <c r="G20" s="130"/>
      <c r="H20" s="130"/>
      <c r="I20" s="130"/>
      <c r="J20" s="115"/>
      <c r="K20" s="115"/>
      <c r="V20" s="20">
        <f>V19+V18+L15+W20</f>
        <v>6294558.1209999993</v>
      </c>
      <c r="W20" s="1">
        <v>650000</v>
      </c>
    </row>
    <row r="21" spans="2:23" ht="39.6" customHeight="1" x14ac:dyDescent="0.35">
      <c r="B21" s="115"/>
      <c r="C21" s="115"/>
      <c r="D21" s="115"/>
      <c r="E21" s="115"/>
      <c r="F21" s="115"/>
      <c r="G21" s="115"/>
      <c r="H21" s="130"/>
      <c r="I21" s="130"/>
      <c r="J21" s="115"/>
      <c r="K21" s="115"/>
      <c r="V21" s="1">
        <f>F6*2100</f>
        <v>9672453</v>
      </c>
      <c r="W21" s="1">
        <f>F6*2100</f>
        <v>9672453</v>
      </c>
    </row>
    <row r="22" spans="2:23" ht="39.6" customHeight="1" x14ac:dyDescent="0.35">
      <c r="B22" s="115"/>
      <c r="C22" s="115"/>
      <c r="D22" s="115"/>
      <c r="E22" s="115"/>
      <c r="F22" s="115"/>
      <c r="G22" s="115"/>
      <c r="H22" s="137"/>
      <c r="I22" s="137"/>
      <c r="J22" s="115"/>
      <c r="K22" s="115"/>
      <c r="W22" s="104">
        <f>V20/W21</f>
        <v>0.65077164200229243</v>
      </c>
    </row>
    <row r="23" spans="2:23" ht="39.6" customHeight="1" x14ac:dyDescent="0.35">
      <c r="B23" s="115"/>
      <c r="C23" s="115"/>
      <c r="D23" s="115"/>
      <c r="E23" s="115"/>
      <c r="F23" s="115"/>
      <c r="G23" s="115"/>
      <c r="H23" s="130"/>
      <c r="I23" s="130"/>
      <c r="J23" s="115"/>
      <c r="K23" s="115"/>
      <c r="W23" s="20">
        <f>V19+V18</f>
        <v>4783060.1209999993</v>
      </c>
    </row>
    <row r="24" spans="2:23" ht="39.6" customHeight="1" x14ac:dyDescent="0.35">
      <c r="W24" s="100">
        <f>W23/F6</f>
        <v>1038.4569719904555</v>
      </c>
    </row>
  </sheetData>
  <mergeCells count="63">
    <mergeCell ref="O18:U18"/>
    <mergeCell ref="O10:Q10"/>
    <mergeCell ref="O11:Q11"/>
    <mergeCell ref="O12:S12"/>
    <mergeCell ref="O16:Q16"/>
    <mergeCell ref="O17:S17"/>
    <mergeCell ref="O13:Q13"/>
    <mergeCell ref="O14:Q14"/>
    <mergeCell ref="O15:Q15"/>
    <mergeCell ref="B23:C23"/>
    <mergeCell ref="D23:E23"/>
    <mergeCell ref="F23:G23"/>
    <mergeCell ref="H23:I23"/>
    <mergeCell ref="J23:K23"/>
    <mergeCell ref="B21:G21"/>
    <mergeCell ref="H21:I21"/>
    <mergeCell ref="J21:K21"/>
    <mergeCell ref="B22:G22"/>
    <mergeCell ref="H22:I22"/>
    <mergeCell ref="J22:K22"/>
    <mergeCell ref="B19:G19"/>
    <mergeCell ref="H19:I19"/>
    <mergeCell ref="J19:K19"/>
    <mergeCell ref="B20:C20"/>
    <mergeCell ref="D20:E20"/>
    <mergeCell ref="F20:G20"/>
    <mergeCell ref="H20:I20"/>
    <mergeCell ref="J20:K20"/>
    <mergeCell ref="B18:C18"/>
    <mergeCell ref="D18:E18"/>
    <mergeCell ref="F18:G18"/>
    <mergeCell ref="H18:I18"/>
    <mergeCell ref="J18:K18"/>
    <mergeCell ref="B17:C17"/>
    <mergeCell ref="D17:E17"/>
    <mergeCell ref="F17:G17"/>
    <mergeCell ref="H17:I17"/>
    <mergeCell ref="J17:K17"/>
    <mergeCell ref="B16:C16"/>
    <mergeCell ref="D16:E16"/>
    <mergeCell ref="F16:G16"/>
    <mergeCell ref="H16:I16"/>
    <mergeCell ref="J16:K16"/>
    <mergeCell ref="B15:C15"/>
    <mergeCell ref="D15:E15"/>
    <mergeCell ref="F15:G15"/>
    <mergeCell ref="H15:I15"/>
    <mergeCell ref="J15:K15"/>
    <mergeCell ref="B1:L1"/>
    <mergeCell ref="I11:I12"/>
    <mergeCell ref="I2:L2"/>
    <mergeCell ref="O7:Q7"/>
    <mergeCell ref="O8:Q8"/>
    <mergeCell ref="O9:Q9"/>
    <mergeCell ref="B2:F2"/>
    <mergeCell ref="B3:D12"/>
    <mergeCell ref="N1:W1"/>
    <mergeCell ref="O2:Q2"/>
    <mergeCell ref="O3:Q3"/>
    <mergeCell ref="O4:Q4"/>
    <mergeCell ref="O5:Q5"/>
    <mergeCell ref="O6:Q6"/>
    <mergeCell ref="W3:W9"/>
  </mergeCells>
  <pageMargins left="0.25" right="0.25" top="0.75" bottom="0.75" header="0.3" footer="0.3"/>
  <pageSetup scale="7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W26"/>
  <sheetViews>
    <sheetView topLeftCell="C1" zoomScale="50" zoomScaleNormal="50" workbookViewId="0">
      <selection activeCell="J14" sqref="J14"/>
    </sheetView>
  </sheetViews>
  <sheetFormatPr defaultColWidth="17.44140625" defaultRowHeight="29.4" customHeight="1" x14ac:dyDescent="0.35"/>
  <cols>
    <col min="1" max="11" width="17.44140625" style="1"/>
    <col min="12" max="12" width="27.88671875" style="1" bestFit="1" customWidth="1"/>
    <col min="13" max="13" width="17.44140625" style="1"/>
    <col min="14" max="21" width="17.21875" style="1"/>
    <col min="22" max="22" width="21.44140625" style="1" bestFit="1" customWidth="1"/>
    <col min="23" max="23" width="35.21875" style="1" customWidth="1"/>
    <col min="24" max="16384" width="17.44140625" style="1"/>
  </cols>
  <sheetData>
    <row r="1" spans="2:23" ht="29.4" customHeight="1" x14ac:dyDescent="0.45"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74"/>
      <c r="N1" s="116" t="s">
        <v>64</v>
      </c>
      <c r="O1" s="116"/>
      <c r="P1" s="116"/>
      <c r="Q1" s="116"/>
      <c r="R1" s="116"/>
      <c r="S1" s="116"/>
      <c r="T1" s="116"/>
      <c r="U1" s="116"/>
      <c r="V1" s="116"/>
      <c r="W1" s="116"/>
    </row>
    <row r="2" spans="2:23" ht="29.4" customHeight="1" x14ac:dyDescent="0.35">
      <c r="B2" s="157"/>
      <c r="C2" s="158"/>
      <c r="D2" s="158"/>
      <c r="E2" s="158"/>
      <c r="F2" s="174"/>
      <c r="G2" s="13"/>
      <c r="H2" s="7"/>
      <c r="I2" s="157" t="s">
        <v>9</v>
      </c>
      <c r="J2" s="158"/>
      <c r="K2" s="158"/>
      <c r="L2" s="158"/>
      <c r="M2" s="75"/>
      <c r="N2" s="24" t="s">
        <v>14</v>
      </c>
      <c r="O2" s="117" t="s">
        <v>51</v>
      </c>
      <c r="P2" s="117"/>
      <c r="Q2" s="117"/>
      <c r="R2" s="24" t="s">
        <v>52</v>
      </c>
      <c r="S2" s="30" t="s">
        <v>62</v>
      </c>
      <c r="T2" s="30" t="s">
        <v>63</v>
      </c>
      <c r="U2" s="24" t="s">
        <v>44</v>
      </c>
      <c r="V2" s="24" t="s">
        <v>45</v>
      </c>
      <c r="W2" s="24" t="s">
        <v>39</v>
      </c>
    </row>
    <row r="3" spans="2:23" ht="29.4" customHeight="1" x14ac:dyDescent="0.35">
      <c r="B3" s="152"/>
      <c r="C3" s="153"/>
      <c r="D3" s="154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12" t="s">
        <v>98</v>
      </c>
      <c r="P3" s="113"/>
      <c r="Q3" s="113"/>
      <c r="R3" s="34">
        <f>K6*L6</f>
        <v>5170</v>
      </c>
      <c r="S3" s="29">
        <v>1.367</v>
      </c>
      <c r="T3" s="85">
        <f>S3*R3</f>
        <v>7067.39</v>
      </c>
      <c r="U3" s="34">
        <v>128000</v>
      </c>
      <c r="V3" s="31">
        <f>U3*T3/1000</f>
        <v>904625.92</v>
      </c>
      <c r="W3" s="138"/>
    </row>
    <row r="4" spans="2:23" ht="29.4" customHeight="1" x14ac:dyDescent="0.35">
      <c r="B4" s="120"/>
      <c r="C4" s="121"/>
      <c r="D4" s="155"/>
      <c r="E4" s="3">
        <v>2820</v>
      </c>
      <c r="F4" s="3">
        <v>2585</v>
      </c>
      <c r="G4" s="3">
        <v>1</v>
      </c>
      <c r="H4" s="6" t="s">
        <v>19</v>
      </c>
      <c r="I4" s="3" t="s">
        <v>29</v>
      </c>
      <c r="J4" s="6" t="str">
        <f>CONCATENATE($G$2,"-",$D$12,"-","D1541A","-","1")</f>
        <v>--D1541A-1</v>
      </c>
      <c r="K4" s="3">
        <f>E4-36</f>
        <v>2784</v>
      </c>
      <c r="L4" s="3">
        <f>G4*1</f>
        <v>1</v>
      </c>
      <c r="N4" s="15">
        <f>N3+1</f>
        <v>2</v>
      </c>
      <c r="O4" s="112" t="s">
        <v>99</v>
      </c>
      <c r="P4" s="113"/>
      <c r="Q4" s="113"/>
      <c r="R4" s="34">
        <f>K4*L4</f>
        <v>2784</v>
      </c>
      <c r="S4" s="29">
        <v>1.9590000000000001</v>
      </c>
      <c r="T4" s="85">
        <f t="shared" ref="T4:T9" si="0">S4*R4</f>
        <v>5453.8559999999998</v>
      </c>
      <c r="U4" s="34">
        <v>128000</v>
      </c>
      <c r="V4" s="31">
        <f t="shared" ref="V4:V9" si="1">U4*T4/1000</f>
        <v>698093.56799999997</v>
      </c>
      <c r="W4" s="139"/>
    </row>
    <row r="5" spans="2:23" ht="29.4" customHeight="1" x14ac:dyDescent="0.35">
      <c r="B5" s="120"/>
      <c r="C5" s="121"/>
      <c r="D5" s="155"/>
      <c r="E5" s="88"/>
      <c r="F5" s="41" t="s">
        <v>46</v>
      </c>
      <c r="G5" s="41" t="s">
        <v>119</v>
      </c>
      <c r="H5" s="6" t="s">
        <v>20</v>
      </c>
      <c r="I5" s="3" t="s">
        <v>30</v>
      </c>
      <c r="J5" s="6" t="str">
        <f>CONCATENATE($G$2,"-",$D$12,"-","D17182","-","1")</f>
        <v>--D17182-1</v>
      </c>
      <c r="K5" s="3">
        <f>E4-36</f>
        <v>2784</v>
      </c>
      <c r="L5" s="3">
        <f>G4*1</f>
        <v>1</v>
      </c>
      <c r="N5" s="15">
        <f t="shared" ref="N5:N12" si="2">N4+1</f>
        <v>3</v>
      </c>
      <c r="O5" s="112" t="s">
        <v>100</v>
      </c>
      <c r="P5" s="113"/>
      <c r="Q5" s="113"/>
      <c r="R5" s="34">
        <f>R4</f>
        <v>2784</v>
      </c>
      <c r="S5" s="29">
        <v>2.2949999999999999</v>
      </c>
      <c r="T5" s="85">
        <f t="shared" si="0"/>
        <v>6389.28</v>
      </c>
      <c r="U5" s="34">
        <v>128000</v>
      </c>
      <c r="V5" s="31">
        <f t="shared" si="1"/>
        <v>817827.83999999997</v>
      </c>
      <c r="W5" s="139"/>
    </row>
    <row r="6" spans="2:23" ht="29.4" customHeight="1" x14ac:dyDescent="0.35">
      <c r="B6" s="120"/>
      <c r="C6" s="121"/>
      <c r="D6" s="155"/>
      <c r="E6" s="56"/>
      <c r="F6" s="17">
        <f>F4*E4/1000</f>
        <v>7289.7</v>
      </c>
      <c r="G6" s="87">
        <f>SUM(T3:T9)</f>
        <v>42296.105000000003</v>
      </c>
      <c r="H6" s="6" t="s">
        <v>21</v>
      </c>
      <c r="I6" s="3" t="s">
        <v>11</v>
      </c>
      <c r="J6" s="6" t="str">
        <f>CONCATENATE($G$2,"-",$D$12,"-","D1543A","-","2")</f>
        <v>--D1543A-2</v>
      </c>
      <c r="K6" s="3">
        <f>F4</f>
        <v>2585</v>
      </c>
      <c r="L6" s="3">
        <f>G4*2</f>
        <v>2</v>
      </c>
      <c r="N6" s="15">
        <f t="shared" si="2"/>
        <v>4</v>
      </c>
      <c r="O6" s="112" t="s">
        <v>101</v>
      </c>
      <c r="P6" s="113"/>
      <c r="Q6" s="113"/>
      <c r="R6" s="34">
        <f>K10*L10</f>
        <v>10080</v>
      </c>
      <c r="S6" s="29">
        <v>1.0980000000000001</v>
      </c>
      <c r="T6" s="85">
        <f t="shared" si="0"/>
        <v>11067.84</v>
      </c>
      <c r="U6" s="34">
        <v>128000</v>
      </c>
      <c r="V6" s="31">
        <f t="shared" si="1"/>
        <v>1416683.52</v>
      </c>
      <c r="W6" s="139"/>
    </row>
    <row r="7" spans="2:23" ht="29.4" customHeight="1" x14ac:dyDescent="0.35">
      <c r="B7" s="120"/>
      <c r="C7" s="121"/>
      <c r="D7" s="155"/>
      <c r="E7" s="2"/>
      <c r="F7" s="2"/>
      <c r="G7" s="2"/>
      <c r="H7" s="6" t="s">
        <v>22</v>
      </c>
      <c r="I7" s="3" t="s">
        <v>34</v>
      </c>
      <c r="J7" s="6" t="str">
        <f>CONCATENATE($G$2,"-",$D$12,"-","D1544A","-","1")</f>
        <v>--D1544A-1</v>
      </c>
      <c r="K7" s="3">
        <f>ROUNDDOWN((E4-176)/3,0)</f>
        <v>881</v>
      </c>
      <c r="L7" s="3">
        <f>G4*3</f>
        <v>3</v>
      </c>
      <c r="N7" s="15">
        <f t="shared" si="2"/>
        <v>5</v>
      </c>
      <c r="O7" s="112" t="s">
        <v>102</v>
      </c>
      <c r="P7" s="113"/>
      <c r="Q7" s="113"/>
      <c r="R7" s="34">
        <f>K9*L9</f>
        <v>5040</v>
      </c>
      <c r="S7" s="29">
        <v>1.2729999999999999</v>
      </c>
      <c r="T7" s="85">
        <f t="shared" si="0"/>
        <v>6415.9199999999992</v>
      </c>
      <c r="U7" s="34">
        <v>128000</v>
      </c>
      <c r="V7" s="31">
        <f t="shared" si="1"/>
        <v>821237.75999999989</v>
      </c>
      <c r="W7" s="139"/>
    </row>
    <row r="8" spans="2:23" ht="29.4" customHeight="1" x14ac:dyDescent="0.35">
      <c r="B8" s="120"/>
      <c r="C8" s="121"/>
      <c r="D8" s="155"/>
      <c r="E8" s="2"/>
      <c r="F8" s="2"/>
      <c r="G8" s="2"/>
      <c r="H8" s="6" t="s">
        <v>24</v>
      </c>
      <c r="I8" s="3" t="s">
        <v>31</v>
      </c>
      <c r="J8" s="6" t="str">
        <f>CONCATENATE($G$2,"-",$D$12,"-","D1555A","-","1")</f>
        <v>--D1555A-1</v>
      </c>
      <c r="K8" s="3">
        <f>K7</f>
        <v>881</v>
      </c>
      <c r="L8" s="3">
        <f>G4*3</f>
        <v>3</v>
      </c>
      <c r="N8" s="15">
        <f t="shared" si="2"/>
        <v>6</v>
      </c>
      <c r="O8" s="112" t="s">
        <v>103</v>
      </c>
      <c r="P8" s="113"/>
      <c r="Q8" s="113"/>
      <c r="R8" s="34">
        <f>K7*L7</f>
        <v>2643</v>
      </c>
      <c r="S8" s="29">
        <v>0.99</v>
      </c>
      <c r="T8" s="85">
        <f t="shared" si="0"/>
        <v>2616.5700000000002</v>
      </c>
      <c r="U8" s="34">
        <v>128000</v>
      </c>
      <c r="V8" s="31">
        <f t="shared" si="1"/>
        <v>334920.96000000002</v>
      </c>
      <c r="W8" s="139"/>
    </row>
    <row r="9" spans="2:23" ht="29.4" customHeight="1" x14ac:dyDescent="0.35">
      <c r="B9" s="120"/>
      <c r="C9" s="121"/>
      <c r="D9" s="155"/>
      <c r="E9" s="2"/>
      <c r="F9" s="2"/>
      <c r="G9" s="2"/>
      <c r="H9" s="6" t="s">
        <v>25</v>
      </c>
      <c r="I9" s="3" t="s">
        <v>32</v>
      </c>
      <c r="J9" s="6" t="str">
        <f>CONCATENATE($G$2,"-",$D$12,"-","D1546A","-","2")</f>
        <v>--D1546A-2</v>
      </c>
      <c r="K9" s="3">
        <f>F4-65</f>
        <v>2520</v>
      </c>
      <c r="L9" s="3">
        <f>G4*2</f>
        <v>2</v>
      </c>
      <c r="N9" s="15">
        <f t="shared" si="2"/>
        <v>7</v>
      </c>
      <c r="O9" s="112" t="s">
        <v>104</v>
      </c>
      <c r="P9" s="113"/>
      <c r="Q9" s="113"/>
      <c r="R9" s="34">
        <f>K8*L8</f>
        <v>2643</v>
      </c>
      <c r="S9" s="29">
        <v>1.2430000000000001</v>
      </c>
      <c r="T9" s="85">
        <f t="shared" si="0"/>
        <v>3285.2490000000003</v>
      </c>
      <c r="U9" s="34">
        <v>128000</v>
      </c>
      <c r="V9" s="31">
        <f t="shared" si="1"/>
        <v>420511.87200000003</v>
      </c>
      <c r="W9" s="140"/>
    </row>
    <row r="10" spans="2:23" ht="29.4" customHeight="1" x14ac:dyDescent="0.35">
      <c r="B10" s="120"/>
      <c r="C10" s="121"/>
      <c r="D10" s="155"/>
      <c r="E10" s="2"/>
      <c r="F10" s="2"/>
      <c r="G10" s="2"/>
      <c r="H10" s="6" t="s">
        <v>28</v>
      </c>
      <c r="I10" s="3" t="s">
        <v>33</v>
      </c>
      <c r="J10" s="6" t="str">
        <f>CONCATENATE($G$2,"-",$D$12,"-","D1547A","-","2")</f>
        <v>--D1547A-2</v>
      </c>
      <c r="K10" s="3">
        <f>F4-65</f>
        <v>2520</v>
      </c>
      <c r="L10" s="3">
        <f>G4*4</f>
        <v>4</v>
      </c>
      <c r="N10" s="15">
        <f>N6+1</f>
        <v>5</v>
      </c>
      <c r="O10" s="112" t="s">
        <v>78</v>
      </c>
      <c r="P10" s="113"/>
      <c r="Q10" s="114"/>
      <c r="R10" s="34"/>
      <c r="S10" s="29"/>
      <c r="T10" s="76"/>
      <c r="U10" s="54">
        <v>0.15</v>
      </c>
      <c r="V10" s="34">
        <f>SUM(V3:V9)*U10</f>
        <v>812085.21600000001</v>
      </c>
      <c r="W10" s="42"/>
    </row>
    <row r="11" spans="2:23" ht="29.4" customHeight="1" x14ac:dyDescent="0.35">
      <c r="B11" s="120"/>
      <c r="C11" s="121"/>
      <c r="D11" s="155"/>
      <c r="E11" s="3"/>
      <c r="F11" s="3"/>
      <c r="G11" s="3"/>
      <c r="H11" s="6" t="s">
        <v>106</v>
      </c>
      <c r="I11" s="150" t="s">
        <v>79</v>
      </c>
      <c r="J11" s="3" t="s">
        <v>6</v>
      </c>
      <c r="K11" s="3" t="s">
        <v>7</v>
      </c>
      <c r="L11" s="5" t="s">
        <v>2</v>
      </c>
      <c r="N11" s="15">
        <f t="shared" si="2"/>
        <v>6</v>
      </c>
      <c r="O11" s="112" t="s">
        <v>105</v>
      </c>
      <c r="P11" s="113"/>
      <c r="Q11" s="113"/>
      <c r="R11" s="29"/>
      <c r="S11" s="29"/>
      <c r="T11" s="33">
        <v>3</v>
      </c>
      <c r="U11" s="34">
        <v>15000</v>
      </c>
      <c r="V11" s="31">
        <f t="shared" ref="V11" si="3">U11*T11</f>
        <v>45000</v>
      </c>
      <c r="W11" s="15"/>
    </row>
    <row r="12" spans="2:23" ht="29.4" customHeight="1" x14ac:dyDescent="0.35">
      <c r="B12" s="122"/>
      <c r="C12" s="123"/>
      <c r="D12" s="156"/>
      <c r="E12" s="3"/>
      <c r="F12" s="3"/>
      <c r="G12" s="3"/>
      <c r="H12" s="6" t="s">
        <v>107</v>
      </c>
      <c r="I12" s="151"/>
      <c r="J12" s="3">
        <f>K8-10</f>
        <v>871</v>
      </c>
      <c r="K12" s="3">
        <f>K9-100</f>
        <v>2420</v>
      </c>
      <c r="L12" s="3">
        <f>G4*3</f>
        <v>3</v>
      </c>
      <c r="N12" s="15">
        <f t="shared" si="2"/>
        <v>7</v>
      </c>
      <c r="O12" s="125" t="s">
        <v>65</v>
      </c>
      <c r="P12" s="126"/>
      <c r="Q12" s="126"/>
      <c r="R12" s="126"/>
      <c r="S12" s="127"/>
      <c r="T12" s="35"/>
      <c r="U12" s="36"/>
      <c r="V12" s="37">
        <f>SUM(V3:V11)</f>
        <v>6270986.6560000004</v>
      </c>
      <c r="W12" s="15"/>
    </row>
    <row r="13" spans="2:23" ht="29.4" customHeight="1" x14ac:dyDescent="0.4">
      <c r="L13" s="98">
        <f>J12*K12*L12/1000*850</f>
        <v>5374941</v>
      </c>
      <c r="N13" s="24" t="s">
        <v>14</v>
      </c>
      <c r="O13" s="117" t="s">
        <v>51</v>
      </c>
      <c r="P13" s="117"/>
      <c r="Q13" s="117"/>
      <c r="R13" s="24" t="s">
        <v>52</v>
      </c>
      <c r="S13" s="30" t="s">
        <v>58</v>
      </c>
      <c r="T13" s="30"/>
      <c r="U13" s="24" t="s">
        <v>44</v>
      </c>
      <c r="V13" s="24" t="s">
        <v>45</v>
      </c>
      <c r="W13" s="26" t="s">
        <v>75</v>
      </c>
    </row>
    <row r="14" spans="2:23" ht="29.4" customHeight="1" x14ac:dyDescent="0.35">
      <c r="L14" s="1">
        <f>J12*K12*L12/1000000</f>
        <v>6.3234599999999999</v>
      </c>
      <c r="N14" s="15">
        <v>1</v>
      </c>
      <c r="O14" s="112" t="s">
        <v>95</v>
      </c>
      <c r="P14" s="113"/>
      <c r="Q14" s="113"/>
      <c r="R14" s="38">
        <f>R6+R7+R8+R9*2</f>
        <v>23049</v>
      </c>
      <c r="S14" s="2">
        <v>1</v>
      </c>
      <c r="T14" s="25"/>
      <c r="U14" s="38">
        <v>1000</v>
      </c>
      <c r="V14" s="38">
        <f>U14*R14*S14/1000</f>
        <v>23049</v>
      </c>
      <c r="W14" s="26"/>
    </row>
    <row r="15" spans="2:23" ht="29.4" customHeight="1" x14ac:dyDescent="0.35"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">
        <f>L14*850000</f>
        <v>5374941</v>
      </c>
      <c r="N15" s="15">
        <v>2</v>
      </c>
      <c r="O15" s="112" t="s">
        <v>68</v>
      </c>
      <c r="P15" s="113"/>
      <c r="Q15" s="114"/>
      <c r="R15" s="38"/>
      <c r="S15" s="56">
        <v>1</v>
      </c>
      <c r="T15" s="25"/>
      <c r="U15" s="38">
        <v>1000</v>
      </c>
      <c r="V15" s="38">
        <f t="shared" ref="V15:V16" si="4">U15*S15</f>
        <v>1000</v>
      </c>
      <c r="W15" s="2"/>
    </row>
    <row r="16" spans="2:23" ht="29.4" customHeight="1" x14ac:dyDescent="0.35">
      <c r="B16" s="115"/>
      <c r="C16" s="115"/>
      <c r="D16" s="130"/>
      <c r="E16" s="130"/>
      <c r="F16" s="130"/>
      <c r="G16" s="130"/>
      <c r="H16" s="130"/>
      <c r="I16" s="130"/>
      <c r="J16" s="115"/>
      <c r="K16" s="115"/>
      <c r="N16" s="15">
        <f t="shared" ref="N16:N17" si="5">N15+1</f>
        <v>3</v>
      </c>
      <c r="O16" s="112" t="s">
        <v>70</v>
      </c>
      <c r="P16" s="113"/>
      <c r="Q16" s="114"/>
      <c r="R16" s="38"/>
      <c r="S16" s="2">
        <v>1</v>
      </c>
      <c r="T16" s="25"/>
      <c r="U16" s="38">
        <v>2000</v>
      </c>
      <c r="V16" s="38">
        <f t="shared" si="4"/>
        <v>2000</v>
      </c>
      <c r="W16" s="2"/>
    </row>
    <row r="17" spans="2:23" ht="29.4" customHeight="1" x14ac:dyDescent="0.35">
      <c r="B17" s="115"/>
      <c r="C17" s="115"/>
      <c r="D17" s="130"/>
      <c r="E17" s="130"/>
      <c r="F17" s="130"/>
      <c r="G17" s="130"/>
      <c r="H17" s="130"/>
      <c r="I17" s="130"/>
      <c r="J17" s="115"/>
      <c r="K17" s="115"/>
      <c r="N17" s="15">
        <f t="shared" si="5"/>
        <v>4</v>
      </c>
      <c r="O17" s="133" t="s">
        <v>69</v>
      </c>
      <c r="P17" s="133"/>
      <c r="Q17" s="133"/>
      <c r="R17" s="133"/>
      <c r="S17" s="133"/>
      <c r="T17" s="35"/>
      <c r="U17" s="36"/>
      <c r="V17" s="37">
        <f>SUM(V14:V16)</f>
        <v>26049</v>
      </c>
      <c r="W17" s="2"/>
    </row>
    <row r="18" spans="2:23" ht="29.4" customHeight="1" x14ac:dyDescent="0.4">
      <c r="B18" s="115"/>
      <c r="C18" s="115"/>
      <c r="D18" s="130"/>
      <c r="E18" s="130"/>
      <c r="F18" s="130"/>
      <c r="G18" s="130"/>
      <c r="H18" s="130"/>
      <c r="I18" s="130"/>
      <c r="J18" s="115"/>
      <c r="K18" s="115"/>
      <c r="N18" s="96"/>
      <c r="O18" s="134" t="s">
        <v>137</v>
      </c>
      <c r="P18" s="135"/>
      <c r="Q18" s="135"/>
      <c r="R18" s="135"/>
      <c r="S18" s="135"/>
      <c r="T18" s="135"/>
      <c r="U18" s="136"/>
      <c r="V18" s="98">
        <f>V12+V17</f>
        <v>6297035.6560000004</v>
      </c>
      <c r="W18" s="97"/>
    </row>
    <row r="19" spans="2:23" ht="29.4" customHeight="1" x14ac:dyDescent="0.35">
      <c r="B19" s="115"/>
      <c r="C19" s="115"/>
      <c r="D19" s="115"/>
      <c r="E19" s="115"/>
      <c r="F19" s="115"/>
      <c r="G19" s="115"/>
      <c r="H19" s="130"/>
      <c r="I19" s="130"/>
      <c r="J19" s="115"/>
      <c r="K19" s="115"/>
      <c r="V19" s="1">
        <f>F6*350</f>
        <v>2551395</v>
      </c>
    </row>
    <row r="20" spans="2:23" ht="29.4" customHeight="1" x14ac:dyDescent="0.35">
      <c r="B20" s="115"/>
      <c r="C20" s="115"/>
      <c r="D20" s="130"/>
      <c r="E20" s="130"/>
      <c r="F20" s="130"/>
      <c r="G20" s="130"/>
      <c r="H20" s="130"/>
      <c r="I20" s="130"/>
      <c r="J20" s="115"/>
      <c r="K20" s="115"/>
      <c r="V20" s="20">
        <f>V19+V18+L13</f>
        <v>14223371.655999999</v>
      </c>
      <c r="W20" s="1">
        <v>1200000</v>
      </c>
    </row>
    <row r="21" spans="2:23" ht="29.4" customHeight="1" x14ac:dyDescent="0.4">
      <c r="B21" s="115"/>
      <c r="C21" s="115"/>
      <c r="D21" s="115"/>
      <c r="E21" s="115"/>
      <c r="F21" s="115"/>
      <c r="G21" s="115"/>
      <c r="H21" s="130"/>
      <c r="I21" s="130"/>
      <c r="J21" s="115"/>
      <c r="K21" s="115"/>
      <c r="V21" s="98">
        <v>3400000</v>
      </c>
      <c r="W21" s="1">
        <f>F6*2200</f>
        <v>16037340</v>
      </c>
    </row>
    <row r="22" spans="2:23" ht="29.4" customHeight="1" x14ac:dyDescent="0.35">
      <c r="B22" s="115"/>
      <c r="C22" s="115"/>
      <c r="D22" s="115"/>
      <c r="E22" s="115"/>
      <c r="F22" s="115"/>
      <c r="G22" s="115"/>
      <c r="H22" s="137"/>
      <c r="I22" s="137"/>
      <c r="J22" s="115"/>
      <c r="K22" s="115"/>
      <c r="V22" s="20">
        <f>V21+V20</f>
        <v>17623371.655999999</v>
      </c>
      <c r="W22" s="100">
        <f>V20/W21</f>
        <v>0.88689094675301516</v>
      </c>
    </row>
    <row r="23" spans="2:23" ht="29.4" customHeight="1" x14ac:dyDescent="0.35">
      <c r="B23" s="115"/>
      <c r="C23" s="115"/>
      <c r="D23" s="115"/>
      <c r="E23" s="115"/>
      <c r="F23" s="115"/>
      <c r="G23" s="115"/>
      <c r="H23" s="130"/>
      <c r="I23" s="130"/>
      <c r="J23" s="115"/>
      <c r="K23" s="115"/>
      <c r="V23" s="100">
        <f>V22/F6</f>
        <v>2417.5715949901914</v>
      </c>
      <c r="W23" s="1">
        <v>1000000</v>
      </c>
    </row>
    <row r="24" spans="2:23" ht="29.4" customHeight="1" x14ac:dyDescent="0.35">
      <c r="V24" s="1">
        <f>F6*3200</f>
        <v>23327040</v>
      </c>
      <c r="W24" s="20">
        <f>V20+W23</f>
        <v>15223371.655999999</v>
      </c>
    </row>
    <row r="25" spans="2:23" ht="29.4" customHeight="1" x14ac:dyDescent="0.35">
      <c r="V25" s="100">
        <f>V22/V24</f>
        <v>0.75549112343443492</v>
      </c>
      <c r="W25" s="104">
        <f>W24/W26</f>
        <v>0.80320766898711671</v>
      </c>
    </row>
    <row r="26" spans="2:23" ht="29.4" customHeight="1" x14ac:dyDescent="0.35">
      <c r="W26" s="1">
        <f>F6*2600</f>
        <v>18953220</v>
      </c>
    </row>
  </sheetData>
  <mergeCells count="63">
    <mergeCell ref="O18:U18"/>
    <mergeCell ref="O12:S12"/>
    <mergeCell ref="O13:Q13"/>
    <mergeCell ref="B23:C23"/>
    <mergeCell ref="D23:E23"/>
    <mergeCell ref="F23:G23"/>
    <mergeCell ref="H23:I23"/>
    <mergeCell ref="J23:K23"/>
    <mergeCell ref="B21:G21"/>
    <mergeCell ref="H21:I21"/>
    <mergeCell ref="J21:K21"/>
    <mergeCell ref="B22:G22"/>
    <mergeCell ref="H22:I22"/>
    <mergeCell ref="J22:K22"/>
    <mergeCell ref="B19:G19"/>
    <mergeCell ref="H19:I19"/>
    <mergeCell ref="J19:K19"/>
    <mergeCell ref="B20:C20"/>
    <mergeCell ref="D20:E20"/>
    <mergeCell ref="F20:G20"/>
    <mergeCell ref="H20:I20"/>
    <mergeCell ref="J20:K20"/>
    <mergeCell ref="B18:C18"/>
    <mergeCell ref="D18:E18"/>
    <mergeCell ref="F18:G18"/>
    <mergeCell ref="H18:I18"/>
    <mergeCell ref="J18:K18"/>
    <mergeCell ref="B17:C17"/>
    <mergeCell ref="D17:E17"/>
    <mergeCell ref="F17:G17"/>
    <mergeCell ref="H17:I17"/>
    <mergeCell ref="J17:K17"/>
    <mergeCell ref="B16:C16"/>
    <mergeCell ref="D16:E16"/>
    <mergeCell ref="F16:G16"/>
    <mergeCell ref="H16:I16"/>
    <mergeCell ref="J16:K16"/>
    <mergeCell ref="B1:L1"/>
    <mergeCell ref="B15:C15"/>
    <mergeCell ref="D15:E15"/>
    <mergeCell ref="F15:G15"/>
    <mergeCell ref="H15:I15"/>
    <mergeCell ref="J15:K15"/>
    <mergeCell ref="B2:F2"/>
    <mergeCell ref="I11:I12"/>
    <mergeCell ref="B3:D12"/>
    <mergeCell ref="I2:L2"/>
    <mergeCell ref="O14:Q14"/>
    <mergeCell ref="O15:Q15"/>
    <mergeCell ref="O16:Q16"/>
    <mergeCell ref="O17:S17"/>
    <mergeCell ref="N1:W1"/>
    <mergeCell ref="O2:Q2"/>
    <mergeCell ref="O3:Q3"/>
    <mergeCell ref="W3:W9"/>
    <mergeCell ref="O4:Q4"/>
    <mergeCell ref="O5:Q5"/>
    <mergeCell ref="O6:Q6"/>
    <mergeCell ref="O7:Q7"/>
    <mergeCell ref="O8:Q8"/>
    <mergeCell ref="O9:Q9"/>
    <mergeCell ref="O10:Q10"/>
    <mergeCell ref="O11:Q11"/>
  </mergeCells>
  <pageMargins left="0.7" right="0.7" top="0.75" bottom="0.75" header="0.3" footer="0.3"/>
  <pageSetup scale="62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W26"/>
  <sheetViews>
    <sheetView topLeftCell="A4" zoomScale="49" zoomScaleNormal="49" workbookViewId="0">
      <selection activeCell="V26" sqref="V26"/>
    </sheetView>
  </sheetViews>
  <sheetFormatPr defaultColWidth="17" defaultRowHeight="31.2" customHeight="1" x14ac:dyDescent="0.35"/>
  <cols>
    <col min="1" max="11" width="17" style="1"/>
    <col min="12" max="12" width="20.21875" style="1" customWidth="1"/>
    <col min="13" max="13" width="17" style="1"/>
    <col min="14" max="20" width="17.21875" style="1"/>
    <col min="21" max="21" width="19.109375" style="1" bestFit="1" customWidth="1"/>
    <col min="22" max="22" width="21.109375" style="1" customWidth="1"/>
    <col min="23" max="23" width="35.21875" style="1" customWidth="1"/>
    <col min="24" max="16384" width="17" style="1"/>
  </cols>
  <sheetData>
    <row r="1" spans="2:23" ht="31.2" customHeight="1" x14ac:dyDescent="0.45">
      <c r="B1" s="175"/>
      <c r="C1" s="175"/>
      <c r="D1" s="175"/>
      <c r="E1" s="175"/>
      <c r="F1" s="175"/>
      <c r="G1" s="175"/>
      <c r="H1" s="175"/>
      <c r="I1" s="176"/>
      <c r="J1" s="176"/>
      <c r="K1" s="176"/>
      <c r="L1" s="176"/>
      <c r="N1" s="116" t="s">
        <v>64</v>
      </c>
      <c r="O1" s="116"/>
      <c r="P1" s="116"/>
      <c r="Q1" s="116"/>
      <c r="R1" s="116"/>
      <c r="S1" s="116"/>
      <c r="T1" s="116"/>
      <c r="U1" s="116"/>
      <c r="V1" s="116"/>
      <c r="W1" s="116"/>
    </row>
    <row r="2" spans="2:23" ht="31.2" customHeight="1" x14ac:dyDescent="0.35">
      <c r="B2" s="157"/>
      <c r="C2" s="158"/>
      <c r="D2" s="158"/>
      <c r="E2" s="158"/>
      <c r="F2" s="174"/>
      <c r="G2" s="8"/>
      <c r="H2" s="7"/>
      <c r="I2" s="157" t="s">
        <v>9</v>
      </c>
      <c r="J2" s="158"/>
      <c r="K2" s="158"/>
      <c r="L2" s="158"/>
      <c r="N2" s="24" t="s">
        <v>14</v>
      </c>
      <c r="O2" s="117" t="s">
        <v>51</v>
      </c>
      <c r="P2" s="117"/>
      <c r="Q2" s="117"/>
      <c r="R2" s="24" t="s">
        <v>52</v>
      </c>
      <c r="S2" s="30" t="s">
        <v>62</v>
      </c>
      <c r="T2" s="30" t="s">
        <v>63</v>
      </c>
      <c r="U2" s="24" t="s">
        <v>44</v>
      </c>
      <c r="V2" s="24" t="s">
        <v>45</v>
      </c>
      <c r="W2" s="24" t="s">
        <v>39</v>
      </c>
    </row>
    <row r="3" spans="2:23" ht="31.2" customHeight="1" x14ac:dyDescent="0.35">
      <c r="B3" s="152"/>
      <c r="C3" s="153"/>
      <c r="D3" s="154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12" t="s">
        <v>98</v>
      </c>
      <c r="P3" s="113"/>
      <c r="Q3" s="113"/>
      <c r="R3" s="34">
        <f>K6*L6</f>
        <v>4800</v>
      </c>
      <c r="S3" s="29">
        <v>1.1339999999999999</v>
      </c>
      <c r="T3" s="85">
        <f>S3*R3</f>
        <v>5443.2</v>
      </c>
      <c r="U3" s="34">
        <v>125000</v>
      </c>
      <c r="V3" s="31">
        <f>U3*T3/1000</f>
        <v>680400</v>
      </c>
      <c r="W3" s="138"/>
    </row>
    <row r="4" spans="2:23" ht="31.2" customHeight="1" x14ac:dyDescent="0.35">
      <c r="B4" s="120"/>
      <c r="C4" s="121"/>
      <c r="D4" s="155"/>
      <c r="E4" s="3">
        <v>2900</v>
      </c>
      <c r="F4" s="3">
        <v>2400</v>
      </c>
      <c r="G4" s="3">
        <v>1</v>
      </c>
      <c r="H4" s="6" t="s">
        <v>19</v>
      </c>
      <c r="I4" s="3" t="s">
        <v>29</v>
      </c>
      <c r="J4" s="6" t="str">
        <f>CONCATENATE($G$2,"-",$D$12,"-","D1541A","-","1")</f>
        <v>--D1541A-1</v>
      </c>
      <c r="K4" s="3">
        <f>E4-36</f>
        <v>2864</v>
      </c>
      <c r="L4" s="3">
        <f>G4*1</f>
        <v>1</v>
      </c>
      <c r="N4" s="15">
        <f>N3+1</f>
        <v>2</v>
      </c>
      <c r="O4" s="112" t="s">
        <v>99</v>
      </c>
      <c r="P4" s="113"/>
      <c r="Q4" s="113"/>
      <c r="R4" s="34">
        <f>K4*L4</f>
        <v>2864</v>
      </c>
      <c r="S4" s="29">
        <v>1.4590000000000001</v>
      </c>
      <c r="T4" s="85">
        <f t="shared" ref="T4:T9" si="0">S4*R4</f>
        <v>4178.576</v>
      </c>
      <c r="U4" s="34">
        <v>125000</v>
      </c>
      <c r="V4" s="31">
        <f t="shared" ref="V4:V9" si="1">U4*T4/1000</f>
        <v>522322</v>
      </c>
      <c r="W4" s="139"/>
    </row>
    <row r="5" spans="2:23" ht="31.2" customHeight="1" x14ac:dyDescent="0.35">
      <c r="B5" s="120"/>
      <c r="C5" s="121"/>
      <c r="D5" s="155"/>
      <c r="E5" s="88"/>
      <c r="F5" s="41" t="s">
        <v>46</v>
      </c>
      <c r="G5" s="41" t="s">
        <v>119</v>
      </c>
      <c r="H5" s="6" t="s">
        <v>20</v>
      </c>
      <c r="I5" s="3" t="s">
        <v>30</v>
      </c>
      <c r="J5" s="6" t="str">
        <f>CONCATENATE($G$2,"-",$D$12,"-","D1942A","-","1")</f>
        <v>--D1942A-1</v>
      </c>
      <c r="K5" s="3">
        <f>E4-36</f>
        <v>2864</v>
      </c>
      <c r="L5" s="3">
        <f>G4*1</f>
        <v>1</v>
      </c>
      <c r="N5" s="15">
        <f t="shared" ref="N5:N13" si="2">N4+1</f>
        <v>3</v>
      </c>
      <c r="O5" s="112" t="s">
        <v>100</v>
      </c>
      <c r="P5" s="113"/>
      <c r="Q5" s="113"/>
      <c r="R5" s="34">
        <f>R4</f>
        <v>2864</v>
      </c>
      <c r="S5" s="29">
        <v>1.3069999999999999</v>
      </c>
      <c r="T5" s="85">
        <f t="shared" si="0"/>
        <v>3743.248</v>
      </c>
      <c r="U5" s="34">
        <v>125000</v>
      </c>
      <c r="V5" s="31">
        <f t="shared" si="1"/>
        <v>467906</v>
      </c>
      <c r="W5" s="139"/>
    </row>
    <row r="6" spans="2:23" ht="31.2" customHeight="1" x14ac:dyDescent="0.35">
      <c r="B6" s="120"/>
      <c r="C6" s="121"/>
      <c r="D6" s="155"/>
      <c r="E6" s="56"/>
      <c r="F6" s="17">
        <f>F4*E4/1000</f>
        <v>6960</v>
      </c>
      <c r="G6" s="87">
        <f>SUM(T3:T10)</f>
        <v>48894.248000000007</v>
      </c>
      <c r="H6" s="6" t="s">
        <v>21</v>
      </c>
      <c r="I6" s="3" t="s">
        <v>11</v>
      </c>
      <c r="J6" s="6" t="str">
        <f>CONCATENATE($G$2,"-",$D$12,"-","D1543A","-","2")</f>
        <v>--D1543A-2</v>
      </c>
      <c r="K6" s="3">
        <f>F4</f>
        <v>2400</v>
      </c>
      <c r="L6" s="3">
        <f>G4*2</f>
        <v>2</v>
      </c>
      <c r="N6" s="15">
        <f t="shared" si="2"/>
        <v>4</v>
      </c>
      <c r="O6" s="112" t="s">
        <v>101</v>
      </c>
      <c r="P6" s="113"/>
      <c r="Q6" s="113"/>
      <c r="R6" s="34">
        <f>K9*L9</f>
        <v>9412</v>
      </c>
      <c r="S6" s="29">
        <v>1.0980000000000001</v>
      </c>
      <c r="T6" s="85">
        <f t="shared" si="0"/>
        <v>10334.376</v>
      </c>
      <c r="U6" s="34">
        <v>125000</v>
      </c>
      <c r="V6" s="31">
        <f t="shared" si="1"/>
        <v>1291797</v>
      </c>
      <c r="W6" s="139"/>
    </row>
    <row r="7" spans="2:23" ht="31.2" customHeight="1" x14ac:dyDescent="0.35">
      <c r="B7" s="120"/>
      <c r="C7" s="121"/>
      <c r="D7" s="155"/>
      <c r="E7" s="2"/>
      <c r="F7" s="2"/>
      <c r="G7" s="2"/>
      <c r="H7" s="6" t="s">
        <v>22</v>
      </c>
      <c r="I7" s="3" t="s">
        <v>34</v>
      </c>
      <c r="J7" s="6" t="str">
        <f>CONCATENATE($G$2,"-",$D$12,"-","D1544A","-","1")</f>
        <v>--D1544A-1</v>
      </c>
      <c r="K7" s="3">
        <f>K8</f>
        <v>658</v>
      </c>
      <c r="L7" s="3">
        <f>G4*8</f>
        <v>8</v>
      </c>
      <c r="N7" s="15">
        <f t="shared" si="2"/>
        <v>5</v>
      </c>
      <c r="O7" s="112" t="s">
        <v>102</v>
      </c>
      <c r="P7" s="113"/>
      <c r="Q7" s="113"/>
      <c r="R7" s="34">
        <f>K10*L10</f>
        <v>9412</v>
      </c>
      <c r="S7" s="29">
        <v>1.2729999999999999</v>
      </c>
      <c r="T7" s="85">
        <f t="shared" si="0"/>
        <v>11981.475999999999</v>
      </c>
      <c r="U7" s="34">
        <v>125000</v>
      </c>
      <c r="V7" s="31">
        <f t="shared" si="1"/>
        <v>1497684.4999999998</v>
      </c>
      <c r="W7" s="139"/>
    </row>
    <row r="8" spans="2:23" ht="31.2" customHeight="1" x14ac:dyDescent="0.35">
      <c r="B8" s="120"/>
      <c r="C8" s="121"/>
      <c r="D8" s="155"/>
      <c r="E8" s="2"/>
      <c r="F8" s="2"/>
      <c r="G8" s="2"/>
      <c r="H8" s="6" t="s">
        <v>24</v>
      </c>
      <c r="I8" s="3" t="s">
        <v>31</v>
      </c>
      <c r="J8" s="6" t="str">
        <f>CONCATENATE($G$2,"-",$D$12,"-","D1545A","-","1")</f>
        <v>--D1545A-1</v>
      </c>
      <c r="K8" s="3">
        <f>ROUNDDOWN((E4-(73+20)*2-96)/4+4,0)</f>
        <v>658</v>
      </c>
      <c r="L8" s="3">
        <f>G4*8</f>
        <v>8</v>
      </c>
      <c r="N8" s="15">
        <f t="shared" si="2"/>
        <v>6</v>
      </c>
      <c r="O8" s="112" t="s">
        <v>103</v>
      </c>
      <c r="P8" s="113"/>
      <c r="Q8" s="113"/>
      <c r="R8" s="34">
        <f>K7*L7</f>
        <v>5264</v>
      </c>
      <c r="S8" s="29">
        <v>0.99</v>
      </c>
      <c r="T8" s="85">
        <f t="shared" si="0"/>
        <v>5211.3599999999997</v>
      </c>
      <c r="U8" s="34">
        <v>125000</v>
      </c>
      <c r="V8" s="31">
        <f t="shared" si="1"/>
        <v>651420</v>
      </c>
      <c r="W8" s="139"/>
    </row>
    <row r="9" spans="2:23" ht="31.2" customHeight="1" x14ac:dyDescent="0.35">
      <c r="B9" s="120"/>
      <c r="C9" s="121"/>
      <c r="D9" s="155"/>
      <c r="E9" s="2"/>
      <c r="F9" s="2"/>
      <c r="G9" s="2"/>
      <c r="H9" s="6" t="s">
        <v>25</v>
      </c>
      <c r="I9" s="3" t="s">
        <v>32</v>
      </c>
      <c r="J9" s="6" t="str">
        <f>CONCATENATE($G$2,"-",$D$12,"-","D1546A","-","2")</f>
        <v>--D1546A-2</v>
      </c>
      <c r="K9" s="3">
        <f>F4-47</f>
        <v>2353</v>
      </c>
      <c r="L9" s="3">
        <f>G4*4</f>
        <v>4</v>
      </c>
      <c r="N9" s="15">
        <f t="shared" si="2"/>
        <v>7</v>
      </c>
      <c r="O9" s="112" t="s">
        <v>104</v>
      </c>
      <c r="P9" s="113"/>
      <c r="Q9" s="113"/>
      <c r="R9" s="34">
        <f>K8*L8</f>
        <v>5264</v>
      </c>
      <c r="S9" s="29">
        <v>1.2430000000000001</v>
      </c>
      <c r="T9" s="85">
        <f t="shared" si="0"/>
        <v>6543.152000000001</v>
      </c>
      <c r="U9" s="34">
        <v>125000</v>
      </c>
      <c r="V9" s="31">
        <f t="shared" si="1"/>
        <v>817894.00000000012</v>
      </c>
      <c r="W9" s="140"/>
    </row>
    <row r="10" spans="2:23" ht="31.2" customHeight="1" x14ac:dyDescent="0.35">
      <c r="B10" s="120"/>
      <c r="C10" s="121"/>
      <c r="D10" s="155"/>
      <c r="E10" s="2"/>
      <c r="F10" s="2"/>
      <c r="G10" s="2"/>
      <c r="H10" s="6" t="s">
        <v>28</v>
      </c>
      <c r="I10" s="3" t="s">
        <v>33</v>
      </c>
      <c r="J10" s="6" t="str">
        <f>CONCATENATE($G$2,"-",$D$12,"-","D1547A","-","2")</f>
        <v>--D1547A-2</v>
      </c>
      <c r="K10" s="3">
        <f>F4-47</f>
        <v>2353</v>
      </c>
      <c r="L10" s="3">
        <f>G4*4</f>
        <v>4</v>
      </c>
      <c r="N10" s="15">
        <f t="shared" si="2"/>
        <v>8</v>
      </c>
      <c r="O10" s="112" t="s">
        <v>97</v>
      </c>
      <c r="P10" s="113"/>
      <c r="Q10" s="113"/>
      <c r="R10" s="34">
        <f>K9*1</f>
        <v>2353</v>
      </c>
      <c r="S10" s="29">
        <v>0.62</v>
      </c>
      <c r="T10" s="85">
        <f t="shared" ref="T10" si="3">S10*R10</f>
        <v>1458.86</v>
      </c>
      <c r="U10" s="34">
        <v>125000</v>
      </c>
      <c r="V10" s="31">
        <f t="shared" ref="V10" si="4">U10*T10/1000</f>
        <v>182357.5</v>
      </c>
      <c r="W10" s="42"/>
    </row>
    <row r="11" spans="2:23" ht="31.2" customHeight="1" x14ac:dyDescent="0.35">
      <c r="B11" s="120"/>
      <c r="C11" s="121"/>
      <c r="D11" s="155"/>
      <c r="E11" s="3"/>
      <c r="F11" s="3"/>
      <c r="G11" s="3"/>
      <c r="H11" s="3"/>
      <c r="I11" s="150" t="s">
        <v>79</v>
      </c>
      <c r="J11" s="3" t="s">
        <v>6</v>
      </c>
      <c r="K11" s="3" t="s">
        <v>7</v>
      </c>
      <c r="L11" s="5" t="s">
        <v>2</v>
      </c>
      <c r="N11" s="15">
        <f t="shared" si="2"/>
        <v>9</v>
      </c>
      <c r="O11" s="112" t="s">
        <v>78</v>
      </c>
      <c r="P11" s="113"/>
      <c r="Q11" s="114"/>
      <c r="R11" s="34"/>
      <c r="S11" s="29"/>
      <c r="T11" s="76"/>
      <c r="U11" s="54">
        <v>0.05</v>
      </c>
      <c r="V11" s="34">
        <f>SUM(V3:V10)*U11</f>
        <v>305589.05</v>
      </c>
      <c r="W11" s="42"/>
    </row>
    <row r="12" spans="2:23" ht="31.2" customHeight="1" x14ac:dyDescent="0.35">
      <c r="B12" s="122"/>
      <c r="C12" s="123"/>
      <c r="D12" s="156"/>
      <c r="E12" s="3"/>
      <c r="F12" s="3"/>
      <c r="G12" s="3"/>
      <c r="H12" s="3"/>
      <c r="I12" s="151"/>
      <c r="J12" s="3">
        <f>ROUNDDOWN(E4/4-80,0)</f>
        <v>645</v>
      </c>
      <c r="K12" s="3">
        <f>K9-100</f>
        <v>2253</v>
      </c>
      <c r="L12" s="3">
        <f>G4*4</f>
        <v>4</v>
      </c>
      <c r="N12" s="15">
        <f t="shared" si="2"/>
        <v>10</v>
      </c>
      <c r="O12" s="112" t="s">
        <v>105</v>
      </c>
      <c r="P12" s="113"/>
      <c r="Q12" s="113"/>
      <c r="R12" s="29"/>
      <c r="S12" s="29"/>
      <c r="T12" s="33">
        <v>4</v>
      </c>
      <c r="U12" s="34">
        <v>15000</v>
      </c>
      <c r="V12" s="31">
        <f>U12*T12</f>
        <v>60000</v>
      </c>
      <c r="W12" s="15"/>
    </row>
    <row r="13" spans="2:23" ht="31.2" customHeight="1" x14ac:dyDescent="0.35">
      <c r="N13" s="15">
        <f t="shared" si="2"/>
        <v>11</v>
      </c>
      <c r="O13" s="125" t="s">
        <v>65</v>
      </c>
      <c r="P13" s="126"/>
      <c r="Q13" s="126"/>
      <c r="R13" s="126"/>
      <c r="S13" s="127"/>
      <c r="T13" s="35"/>
      <c r="U13" s="36"/>
      <c r="V13" s="37">
        <f>SUM(V3:V12)</f>
        <v>6477370.0499999998</v>
      </c>
      <c r="W13" s="15"/>
    </row>
    <row r="14" spans="2:23" ht="31.2" customHeight="1" x14ac:dyDescent="0.4">
      <c r="L14" s="98">
        <f>J12*K12*L12*0.22</f>
        <v>1278802.8</v>
      </c>
      <c r="N14" s="24" t="s">
        <v>14</v>
      </c>
      <c r="O14" s="117" t="s">
        <v>51</v>
      </c>
      <c r="P14" s="117"/>
      <c r="Q14" s="117"/>
      <c r="R14" s="24" t="s">
        <v>52</v>
      </c>
      <c r="S14" s="30" t="s">
        <v>58</v>
      </c>
      <c r="T14" s="30"/>
      <c r="U14" s="24" t="s">
        <v>44</v>
      </c>
      <c r="V14" s="24" t="s">
        <v>45</v>
      </c>
      <c r="W14" s="26" t="s">
        <v>75</v>
      </c>
    </row>
    <row r="15" spans="2:23" ht="31.2" customHeight="1" x14ac:dyDescent="0.35"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N15" s="15">
        <v>1</v>
      </c>
      <c r="O15" s="112" t="s">
        <v>95</v>
      </c>
      <c r="P15" s="113"/>
      <c r="Q15" s="113"/>
      <c r="R15" s="38">
        <f>R6+R7+R8+R9*2</f>
        <v>34616</v>
      </c>
      <c r="S15" s="2">
        <v>1</v>
      </c>
      <c r="T15" s="25"/>
      <c r="U15" s="38">
        <v>1000</v>
      </c>
      <c r="V15" s="38">
        <f>U15*R15*S15/1000</f>
        <v>34616</v>
      </c>
      <c r="W15" s="26"/>
    </row>
    <row r="16" spans="2:23" ht="31.2" customHeight="1" x14ac:dyDescent="0.35">
      <c r="B16" s="115"/>
      <c r="C16" s="115"/>
      <c r="D16" s="130"/>
      <c r="E16" s="130"/>
      <c r="F16" s="130"/>
      <c r="G16" s="130"/>
      <c r="H16" s="130"/>
      <c r="I16" s="130"/>
      <c r="J16" s="115"/>
      <c r="K16" s="115"/>
      <c r="N16" s="15">
        <v>2</v>
      </c>
      <c r="O16" s="112" t="s">
        <v>68</v>
      </c>
      <c r="P16" s="113"/>
      <c r="Q16" s="114"/>
      <c r="R16" s="38"/>
      <c r="S16" s="56">
        <v>1</v>
      </c>
      <c r="T16" s="25"/>
      <c r="U16" s="38">
        <v>1000</v>
      </c>
      <c r="V16" s="38">
        <f t="shared" ref="V16:V17" si="5">U16*S16</f>
        <v>1000</v>
      </c>
      <c r="W16" s="2"/>
    </row>
    <row r="17" spans="2:23" ht="31.2" customHeight="1" x14ac:dyDescent="0.35">
      <c r="B17" s="115"/>
      <c r="C17" s="115"/>
      <c r="D17" s="130"/>
      <c r="E17" s="130"/>
      <c r="F17" s="130"/>
      <c r="G17" s="130"/>
      <c r="H17" s="130"/>
      <c r="I17" s="130"/>
      <c r="J17" s="115"/>
      <c r="K17" s="115"/>
      <c r="N17" s="15">
        <f t="shared" ref="N17:N18" si="6">N16+1</f>
        <v>3</v>
      </c>
      <c r="O17" s="112" t="s">
        <v>70</v>
      </c>
      <c r="P17" s="113"/>
      <c r="Q17" s="114"/>
      <c r="R17" s="38"/>
      <c r="S17" s="2">
        <v>1</v>
      </c>
      <c r="T17" s="25"/>
      <c r="U17" s="38">
        <v>2000</v>
      </c>
      <c r="V17" s="38">
        <f t="shared" si="5"/>
        <v>2000</v>
      </c>
      <c r="W17" s="2"/>
    </row>
    <row r="18" spans="2:23" ht="31.2" customHeight="1" x14ac:dyDescent="0.35">
      <c r="B18" s="115"/>
      <c r="C18" s="115"/>
      <c r="D18" s="130"/>
      <c r="E18" s="130"/>
      <c r="F18" s="130"/>
      <c r="G18" s="130"/>
      <c r="H18" s="130"/>
      <c r="I18" s="130"/>
      <c r="J18" s="115"/>
      <c r="K18" s="115"/>
      <c r="N18" s="15">
        <f t="shared" si="6"/>
        <v>4</v>
      </c>
      <c r="O18" s="133" t="s">
        <v>69</v>
      </c>
      <c r="P18" s="133"/>
      <c r="Q18" s="133"/>
      <c r="R18" s="133"/>
      <c r="S18" s="133"/>
      <c r="T18" s="35"/>
      <c r="U18" s="36"/>
      <c r="V18" s="37">
        <f>SUM(V15:V17)</f>
        <v>37616</v>
      </c>
      <c r="W18" s="2"/>
    </row>
    <row r="19" spans="2:23" ht="31.2" customHeight="1" x14ac:dyDescent="0.4">
      <c r="B19" s="115"/>
      <c r="C19" s="115"/>
      <c r="D19" s="115"/>
      <c r="E19" s="115"/>
      <c r="F19" s="115"/>
      <c r="G19" s="115"/>
      <c r="H19" s="130"/>
      <c r="I19" s="130"/>
      <c r="J19" s="115"/>
      <c r="K19" s="115"/>
      <c r="N19" s="96"/>
      <c r="O19" s="134" t="s">
        <v>137</v>
      </c>
      <c r="P19" s="135"/>
      <c r="Q19" s="135"/>
      <c r="R19" s="135"/>
      <c r="S19" s="135"/>
      <c r="T19" s="135"/>
      <c r="U19" s="136"/>
      <c r="V19" s="98">
        <f>V13+V18</f>
        <v>6514986.0499999998</v>
      </c>
      <c r="W19" s="97"/>
    </row>
    <row r="20" spans="2:23" ht="31.2" customHeight="1" x14ac:dyDescent="0.35">
      <c r="B20" s="115"/>
      <c r="C20" s="115"/>
      <c r="D20" s="130"/>
      <c r="E20" s="130"/>
      <c r="F20" s="130"/>
      <c r="G20" s="130"/>
      <c r="H20" s="130"/>
      <c r="I20" s="130"/>
      <c r="J20" s="115"/>
      <c r="K20" s="115"/>
      <c r="V20" s="1">
        <f>F6*350</f>
        <v>2436000</v>
      </c>
    </row>
    <row r="21" spans="2:23" ht="31.2" customHeight="1" x14ac:dyDescent="0.4">
      <c r="B21" s="115"/>
      <c r="C21" s="115"/>
      <c r="D21" s="115"/>
      <c r="E21" s="115"/>
      <c r="F21" s="115"/>
      <c r="G21" s="115"/>
      <c r="H21" s="130"/>
      <c r="I21" s="130"/>
      <c r="J21" s="115"/>
      <c r="K21" s="115"/>
      <c r="U21" s="98">
        <v>1200000</v>
      </c>
      <c r="V21" s="20">
        <f>V19+V20+L14</f>
        <v>10229788.850000001</v>
      </c>
    </row>
    <row r="22" spans="2:23" ht="31.2" customHeight="1" x14ac:dyDescent="0.35">
      <c r="B22" s="115"/>
      <c r="C22" s="115"/>
      <c r="D22" s="115"/>
      <c r="E22" s="115"/>
      <c r="F22" s="115"/>
      <c r="G22" s="115"/>
      <c r="H22" s="137"/>
      <c r="I22" s="137"/>
      <c r="J22" s="115"/>
      <c r="K22" s="115"/>
      <c r="T22" s="1">
        <f>F6*1250</f>
        <v>8700000</v>
      </c>
      <c r="V22" s="100">
        <f>V21/F6</f>
        <v>1469.7972485632185</v>
      </c>
    </row>
    <row r="23" spans="2:23" ht="31.2" customHeight="1" x14ac:dyDescent="0.35">
      <c r="B23" s="115"/>
      <c r="C23" s="115"/>
      <c r="D23" s="115"/>
      <c r="E23" s="115"/>
      <c r="F23" s="115"/>
      <c r="G23" s="115"/>
      <c r="H23" s="130"/>
      <c r="I23" s="130"/>
      <c r="J23" s="115"/>
      <c r="K23" s="115"/>
      <c r="V23" s="20">
        <f>U21</f>
        <v>1200000</v>
      </c>
    </row>
    <row r="24" spans="2:23" ht="31.2" customHeight="1" x14ac:dyDescent="0.35">
      <c r="B24" s="53"/>
      <c r="C24" s="53"/>
      <c r="D24" s="53"/>
      <c r="E24" s="53"/>
      <c r="F24" s="53"/>
      <c r="G24" s="53"/>
      <c r="H24" s="53"/>
      <c r="I24" s="53"/>
      <c r="J24" s="53"/>
      <c r="K24" s="53"/>
      <c r="V24" s="20">
        <f>V21+V23</f>
        <v>11429788.850000001</v>
      </c>
    </row>
    <row r="25" spans="2:23" ht="31.2" customHeight="1" x14ac:dyDescent="0.35">
      <c r="V25" s="1">
        <f>F6*2500</f>
        <v>17400000</v>
      </c>
    </row>
    <row r="26" spans="2:23" ht="31.2" customHeight="1" x14ac:dyDescent="0.35">
      <c r="V26" s="100">
        <f>V24/V25</f>
        <v>0.65688441666666675</v>
      </c>
    </row>
  </sheetData>
  <mergeCells count="64">
    <mergeCell ref="O19:U19"/>
    <mergeCell ref="O14:Q14"/>
    <mergeCell ref="O15:Q15"/>
    <mergeCell ref="O16:Q16"/>
    <mergeCell ref="O17:Q17"/>
    <mergeCell ref="O18:S18"/>
    <mergeCell ref="B23:C23"/>
    <mergeCell ref="D23:E23"/>
    <mergeCell ref="F23:G23"/>
    <mergeCell ref="H23:I23"/>
    <mergeCell ref="J23:K23"/>
    <mergeCell ref="B21:G21"/>
    <mergeCell ref="H21:I21"/>
    <mergeCell ref="J21:K21"/>
    <mergeCell ref="B22:G22"/>
    <mergeCell ref="H22:I22"/>
    <mergeCell ref="J22:K22"/>
    <mergeCell ref="B19:G19"/>
    <mergeCell ref="H19:I19"/>
    <mergeCell ref="J19:K19"/>
    <mergeCell ref="B20:C20"/>
    <mergeCell ref="D20:E20"/>
    <mergeCell ref="F20:G20"/>
    <mergeCell ref="H20:I20"/>
    <mergeCell ref="J20:K20"/>
    <mergeCell ref="B18:C18"/>
    <mergeCell ref="D18:E18"/>
    <mergeCell ref="F18:G18"/>
    <mergeCell ref="H18:I18"/>
    <mergeCell ref="J18:K18"/>
    <mergeCell ref="B17:C17"/>
    <mergeCell ref="D17:E17"/>
    <mergeCell ref="F17:G17"/>
    <mergeCell ref="H17:I17"/>
    <mergeCell ref="J17:K17"/>
    <mergeCell ref="B16:C16"/>
    <mergeCell ref="D16:E16"/>
    <mergeCell ref="F16:G16"/>
    <mergeCell ref="H16:I16"/>
    <mergeCell ref="J16:K16"/>
    <mergeCell ref="J15:K15"/>
    <mergeCell ref="B1:L1"/>
    <mergeCell ref="I2:L2"/>
    <mergeCell ref="I11:I12"/>
    <mergeCell ref="B3:D12"/>
    <mergeCell ref="B2:F2"/>
    <mergeCell ref="B15:C15"/>
    <mergeCell ref="D15:E15"/>
    <mergeCell ref="F15:G15"/>
    <mergeCell ref="H15:I15"/>
    <mergeCell ref="N1:W1"/>
    <mergeCell ref="O2:Q2"/>
    <mergeCell ref="O3:Q3"/>
    <mergeCell ref="W3:W9"/>
    <mergeCell ref="O13:S13"/>
    <mergeCell ref="O4:Q4"/>
    <mergeCell ref="O5:Q5"/>
    <mergeCell ref="O6:Q6"/>
    <mergeCell ref="O7:Q7"/>
    <mergeCell ref="O8:Q8"/>
    <mergeCell ref="O9:Q9"/>
    <mergeCell ref="O11:Q11"/>
    <mergeCell ref="O12:Q12"/>
    <mergeCell ref="O10:Q10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W26"/>
  <sheetViews>
    <sheetView zoomScale="50" zoomScaleNormal="50" workbookViewId="0">
      <selection activeCell="T7" sqref="T7"/>
    </sheetView>
  </sheetViews>
  <sheetFormatPr defaultColWidth="17.6640625" defaultRowHeight="34.200000000000003" customHeight="1" x14ac:dyDescent="0.35"/>
  <cols>
    <col min="1" max="21" width="17.6640625" style="1"/>
    <col min="22" max="22" width="23.77734375" style="1" customWidth="1"/>
    <col min="23" max="23" width="35.6640625" style="1" customWidth="1"/>
    <col min="24" max="16384" width="17.6640625" style="1"/>
  </cols>
  <sheetData>
    <row r="1" spans="2:23" ht="34.200000000000003" customHeight="1" x14ac:dyDescent="0.45"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N1" s="116" t="s">
        <v>64</v>
      </c>
      <c r="O1" s="116"/>
      <c r="P1" s="116"/>
      <c r="Q1" s="116"/>
      <c r="R1" s="116"/>
      <c r="S1" s="116"/>
      <c r="T1" s="116"/>
      <c r="U1" s="116"/>
      <c r="V1" s="116"/>
      <c r="W1" s="116"/>
    </row>
    <row r="2" spans="2:23" ht="34.200000000000003" customHeight="1" x14ac:dyDescent="0.35">
      <c r="B2" s="157" t="s">
        <v>8</v>
      </c>
      <c r="C2" s="158"/>
      <c r="D2" s="158"/>
      <c r="E2" s="158"/>
      <c r="F2" s="174"/>
      <c r="G2" s="12"/>
      <c r="H2" s="7"/>
      <c r="I2" s="157" t="s">
        <v>9</v>
      </c>
      <c r="J2" s="158"/>
      <c r="K2" s="158"/>
      <c r="L2" s="158"/>
      <c r="M2" s="2"/>
      <c r="N2" s="24" t="s">
        <v>14</v>
      </c>
      <c r="O2" s="117" t="s">
        <v>51</v>
      </c>
      <c r="P2" s="117"/>
      <c r="Q2" s="117"/>
      <c r="R2" s="24" t="s">
        <v>52</v>
      </c>
      <c r="S2" s="30" t="s">
        <v>62</v>
      </c>
      <c r="T2" s="30" t="s">
        <v>63</v>
      </c>
      <c r="U2" s="24" t="s">
        <v>44</v>
      </c>
      <c r="V2" s="24" t="s">
        <v>45</v>
      </c>
      <c r="W2" s="24" t="s">
        <v>39</v>
      </c>
    </row>
    <row r="3" spans="2:23" ht="34.200000000000003" customHeight="1" x14ac:dyDescent="0.35">
      <c r="B3" s="152"/>
      <c r="C3" s="153"/>
      <c r="D3" s="153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12" t="s">
        <v>98</v>
      </c>
      <c r="P3" s="113"/>
      <c r="Q3" s="113"/>
      <c r="R3" s="34">
        <f>K6*L6</f>
        <v>3092</v>
      </c>
      <c r="S3" s="84">
        <v>1.0269999999999999</v>
      </c>
      <c r="T3" s="32">
        <f>S3*R3</f>
        <v>3175.4839999999999</v>
      </c>
      <c r="U3" s="34">
        <v>125000</v>
      </c>
      <c r="V3" s="31">
        <f>U3*T3/1000</f>
        <v>396935.5</v>
      </c>
      <c r="W3" s="138"/>
    </row>
    <row r="4" spans="2:23" ht="34.200000000000003" customHeight="1" x14ac:dyDescent="0.35">
      <c r="B4" s="120"/>
      <c r="C4" s="121"/>
      <c r="D4" s="121"/>
      <c r="E4" s="3">
        <v>2100</v>
      </c>
      <c r="F4" s="3">
        <v>1600</v>
      </c>
      <c r="G4" s="3">
        <v>1</v>
      </c>
      <c r="H4" s="6" t="s">
        <v>19</v>
      </c>
      <c r="I4" s="3" t="s">
        <v>29</v>
      </c>
      <c r="J4" s="6" t="str">
        <f>CONCATENATE($G$2,"-",$D$10,"-","F1411","-","1")</f>
        <v>--F1411-1</v>
      </c>
      <c r="K4" s="3">
        <f>E4</f>
        <v>2100</v>
      </c>
      <c r="L4" s="3">
        <f>G4*1</f>
        <v>1</v>
      </c>
      <c r="N4" s="15">
        <f>N3+1</f>
        <v>2</v>
      </c>
      <c r="O4" s="112" t="s">
        <v>99</v>
      </c>
      <c r="P4" s="113"/>
      <c r="Q4" s="113"/>
      <c r="R4" s="34">
        <f>K4*L4</f>
        <v>2100</v>
      </c>
      <c r="S4" s="84">
        <v>3.1070000000000002</v>
      </c>
      <c r="T4" s="32">
        <f t="shared" ref="T4:T6" si="0">S4*R4</f>
        <v>6524.7000000000007</v>
      </c>
      <c r="U4" s="34">
        <v>125000</v>
      </c>
      <c r="V4" s="31">
        <f t="shared" ref="V4:V8" si="1">U4*T4/1000</f>
        <v>815587.50000000012</v>
      </c>
      <c r="W4" s="139"/>
    </row>
    <row r="5" spans="2:23" ht="34.200000000000003" customHeight="1" x14ac:dyDescent="0.35">
      <c r="B5" s="120"/>
      <c r="C5" s="121"/>
      <c r="D5" s="121"/>
      <c r="E5" s="88"/>
      <c r="F5" s="41" t="s">
        <v>46</v>
      </c>
      <c r="G5" s="41" t="s">
        <v>119</v>
      </c>
      <c r="H5" s="6" t="s">
        <v>20</v>
      </c>
      <c r="I5" s="3" t="s">
        <v>30</v>
      </c>
      <c r="J5" s="6" t="str">
        <f>CONCATENATE($G$2,"-",$D$10,"-","C5409","-","1")</f>
        <v>--C5409-1</v>
      </c>
      <c r="K5" s="3">
        <f>E4-38.5*2</f>
        <v>2023</v>
      </c>
      <c r="L5" s="3">
        <f>G4*1</f>
        <v>1</v>
      </c>
      <c r="N5" s="15">
        <f t="shared" ref="N5:N13" si="2">N4+1</f>
        <v>3</v>
      </c>
      <c r="O5" s="112" t="s">
        <v>100</v>
      </c>
      <c r="P5" s="113"/>
      <c r="Q5" s="113"/>
      <c r="R5" s="34">
        <f>R4</f>
        <v>2100</v>
      </c>
      <c r="S5" s="84">
        <v>1.351</v>
      </c>
      <c r="T5" s="32">
        <f t="shared" si="0"/>
        <v>2837.1</v>
      </c>
      <c r="U5" s="34">
        <v>125000</v>
      </c>
      <c r="V5" s="31">
        <f t="shared" si="1"/>
        <v>354637.5</v>
      </c>
      <c r="W5" s="139"/>
    </row>
    <row r="6" spans="2:23" ht="34.200000000000003" customHeight="1" x14ac:dyDescent="0.35">
      <c r="B6" s="120"/>
      <c r="C6" s="121"/>
      <c r="D6" s="121"/>
      <c r="E6" s="56"/>
      <c r="F6" s="17">
        <f>F4*E4/1000</f>
        <v>3360</v>
      </c>
      <c r="G6" s="87">
        <f>SUM(T3:T8)</f>
        <v>37222.814000000006</v>
      </c>
      <c r="H6" s="6" t="s">
        <v>21</v>
      </c>
      <c r="I6" s="3" t="s">
        <v>11</v>
      </c>
      <c r="J6" s="6" t="str">
        <f>CONCATENATE($G$2,"-",$D$10,"-","F1412","-","2")</f>
        <v>--F1412-2</v>
      </c>
      <c r="K6" s="3">
        <f>F4-54</f>
        <v>1546</v>
      </c>
      <c r="L6" s="3">
        <f>G4*2</f>
        <v>2</v>
      </c>
      <c r="N6" s="15">
        <f t="shared" si="2"/>
        <v>4</v>
      </c>
      <c r="O6" s="112" t="s">
        <v>108</v>
      </c>
      <c r="P6" s="113"/>
      <c r="Q6" s="113"/>
      <c r="R6" s="34">
        <f>K7*L7+K8*L8</f>
        <v>16224</v>
      </c>
      <c r="S6" s="84">
        <v>1.254</v>
      </c>
      <c r="T6" s="32">
        <f t="shared" si="0"/>
        <v>20344.896000000001</v>
      </c>
      <c r="U6" s="34">
        <v>125000</v>
      </c>
      <c r="V6" s="31">
        <f t="shared" si="1"/>
        <v>2543112</v>
      </c>
      <c r="W6" s="139"/>
    </row>
    <row r="7" spans="2:23" ht="34.200000000000003" customHeight="1" x14ac:dyDescent="0.35">
      <c r="B7" s="120"/>
      <c r="C7" s="121"/>
      <c r="D7" s="121"/>
      <c r="E7" s="2"/>
      <c r="F7" s="2"/>
      <c r="G7" s="2"/>
      <c r="H7" s="6" t="s">
        <v>22</v>
      </c>
      <c r="I7" s="3" t="s">
        <v>37</v>
      </c>
      <c r="J7" s="6" t="str">
        <f>CONCATENATE($G$2,"-",$D$10,"-","F1415","-","1")</f>
        <v>--F1415-1</v>
      </c>
      <c r="K7" s="3">
        <f>ROUNDDOWN((E4-117)/4,0)</f>
        <v>495</v>
      </c>
      <c r="L7" s="3">
        <f>G4*8</f>
        <v>8</v>
      </c>
      <c r="N7" s="15">
        <f t="shared" si="2"/>
        <v>5</v>
      </c>
      <c r="O7" s="112" t="s">
        <v>55</v>
      </c>
      <c r="P7" s="113"/>
      <c r="Q7" s="113"/>
      <c r="R7" s="34">
        <f>R6</f>
        <v>16224</v>
      </c>
      <c r="S7" s="84">
        <v>0.222</v>
      </c>
      <c r="T7" s="32">
        <f t="shared" ref="T7:T8" si="3">S7*R7</f>
        <v>3601.7280000000001</v>
      </c>
      <c r="U7" s="34">
        <v>125000</v>
      </c>
      <c r="V7" s="31">
        <f t="shared" si="1"/>
        <v>450216</v>
      </c>
      <c r="W7" s="139"/>
    </row>
    <row r="8" spans="2:23" ht="34.200000000000003" customHeight="1" x14ac:dyDescent="0.35">
      <c r="B8" s="120"/>
      <c r="C8" s="121"/>
      <c r="D8" s="121"/>
      <c r="E8" s="2"/>
      <c r="F8" s="2"/>
      <c r="G8" s="2"/>
      <c r="H8" s="6" t="s">
        <v>25</v>
      </c>
      <c r="I8" s="3" t="s">
        <v>38</v>
      </c>
      <c r="J8" s="6" t="str">
        <f>CONCATENATE($G$2,"-",$D$10,"-","F1415","-","2")</f>
        <v>--F1415-2</v>
      </c>
      <c r="K8" s="3">
        <f>F4-55-12</f>
        <v>1533</v>
      </c>
      <c r="L8" s="3">
        <f>G4*8</f>
        <v>8</v>
      </c>
      <c r="N8" s="15">
        <f t="shared" si="2"/>
        <v>6</v>
      </c>
      <c r="O8" s="112" t="s">
        <v>109</v>
      </c>
      <c r="P8" s="113"/>
      <c r="Q8" s="113"/>
      <c r="R8" s="34">
        <f>K8*2</f>
        <v>3066</v>
      </c>
      <c r="S8" s="84">
        <v>0.24099999999999999</v>
      </c>
      <c r="T8" s="32">
        <f t="shared" si="3"/>
        <v>738.90599999999995</v>
      </c>
      <c r="U8" s="34">
        <v>125000</v>
      </c>
      <c r="V8" s="31">
        <f t="shared" si="1"/>
        <v>92363.25</v>
      </c>
      <c r="W8" s="140"/>
    </row>
    <row r="9" spans="2:23" ht="34.200000000000003" customHeight="1" x14ac:dyDescent="0.35">
      <c r="B9" s="120"/>
      <c r="C9" s="121"/>
      <c r="D9" s="121"/>
      <c r="E9" s="3"/>
      <c r="F9" s="3"/>
      <c r="G9" s="3"/>
      <c r="H9" s="6" t="s">
        <v>28</v>
      </c>
      <c r="I9" s="177" t="s">
        <v>79</v>
      </c>
      <c r="J9" s="3" t="s">
        <v>6</v>
      </c>
      <c r="K9" s="3" t="s">
        <v>7</v>
      </c>
      <c r="L9" s="5" t="s">
        <v>2</v>
      </c>
      <c r="N9" s="15">
        <f t="shared" si="2"/>
        <v>7</v>
      </c>
      <c r="O9" s="112" t="s">
        <v>78</v>
      </c>
      <c r="P9" s="113"/>
      <c r="Q9" s="114"/>
      <c r="R9" s="34"/>
      <c r="S9" s="29"/>
      <c r="T9" s="76"/>
      <c r="U9" s="54">
        <v>0.15</v>
      </c>
      <c r="V9" s="34">
        <f>SUM(V3:V8)*U9</f>
        <v>697927.76249999995</v>
      </c>
      <c r="W9" s="42"/>
    </row>
    <row r="10" spans="2:23" ht="34.200000000000003" customHeight="1" x14ac:dyDescent="0.35">
      <c r="B10" s="122"/>
      <c r="C10" s="123"/>
      <c r="D10" s="123"/>
      <c r="E10" s="3"/>
      <c r="F10" s="3"/>
      <c r="G10" s="3"/>
      <c r="H10" s="6" t="s">
        <v>106</v>
      </c>
      <c r="I10" s="178"/>
      <c r="J10" s="3">
        <f>K7-115</f>
        <v>380</v>
      </c>
      <c r="K10" s="3">
        <f>K8-115</f>
        <v>1418</v>
      </c>
      <c r="L10" s="3">
        <f>G4*4</f>
        <v>4</v>
      </c>
      <c r="N10" s="15">
        <f t="shared" si="2"/>
        <v>8</v>
      </c>
      <c r="O10" s="112" t="s">
        <v>110</v>
      </c>
      <c r="P10" s="113"/>
      <c r="Q10" s="113"/>
      <c r="R10" s="29"/>
      <c r="S10" s="29"/>
      <c r="T10" s="33">
        <v>2</v>
      </c>
      <c r="U10" s="44">
        <v>7000</v>
      </c>
      <c r="V10" s="31">
        <f t="shared" ref="V10:V12" si="4">U10*T10</f>
        <v>14000</v>
      </c>
      <c r="W10" s="15"/>
    </row>
    <row r="11" spans="2:23" ht="34.200000000000003" customHeight="1" x14ac:dyDescent="0.35">
      <c r="N11" s="15">
        <f t="shared" si="2"/>
        <v>9</v>
      </c>
      <c r="O11" s="112" t="s">
        <v>111</v>
      </c>
      <c r="P11" s="113"/>
      <c r="Q11" s="113"/>
      <c r="R11" s="29"/>
      <c r="S11" s="29"/>
      <c r="T11" s="33">
        <f>4*4</f>
        <v>16</v>
      </c>
      <c r="U11" s="44">
        <v>13000</v>
      </c>
      <c r="V11" s="31">
        <f t="shared" si="4"/>
        <v>208000</v>
      </c>
      <c r="W11" s="26" t="s">
        <v>73</v>
      </c>
    </row>
    <row r="12" spans="2:23" ht="34.200000000000003" customHeight="1" x14ac:dyDescent="0.35">
      <c r="E12" s="4"/>
      <c r="G12" s="11"/>
      <c r="N12" s="15">
        <f t="shared" si="2"/>
        <v>10</v>
      </c>
      <c r="O12" s="112" t="s">
        <v>61</v>
      </c>
      <c r="P12" s="113"/>
      <c r="Q12" s="113"/>
      <c r="R12" s="29"/>
      <c r="S12" s="29"/>
      <c r="T12" s="33">
        <f>T11</f>
        <v>16</v>
      </c>
      <c r="U12" s="34">
        <v>100</v>
      </c>
      <c r="V12" s="31">
        <f t="shared" si="4"/>
        <v>1600</v>
      </c>
      <c r="W12" s="26" t="s">
        <v>113</v>
      </c>
    </row>
    <row r="13" spans="2:23" ht="34.200000000000003" customHeight="1" x14ac:dyDescent="0.35">
      <c r="E13" s="4"/>
      <c r="G13" s="11"/>
      <c r="N13" s="15">
        <f t="shared" si="2"/>
        <v>11</v>
      </c>
      <c r="O13" s="125" t="s">
        <v>65</v>
      </c>
      <c r="P13" s="126"/>
      <c r="Q13" s="126"/>
      <c r="R13" s="126"/>
      <c r="S13" s="127"/>
      <c r="T13" s="35"/>
      <c r="U13" s="36"/>
      <c r="V13" s="37">
        <f>SUM(V3:V12)</f>
        <v>5574379.5125000002</v>
      </c>
      <c r="W13" s="15"/>
    </row>
    <row r="14" spans="2:23" ht="34.200000000000003" customHeight="1" x14ac:dyDescent="0.35"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N14" s="24" t="s">
        <v>14</v>
      </c>
      <c r="O14" s="117" t="s">
        <v>51</v>
      </c>
      <c r="P14" s="117"/>
      <c r="Q14" s="117"/>
      <c r="R14" s="24" t="s">
        <v>52</v>
      </c>
      <c r="S14" s="30" t="s">
        <v>58</v>
      </c>
      <c r="T14" s="30"/>
      <c r="U14" s="24" t="s">
        <v>44</v>
      </c>
      <c r="V14" s="24" t="s">
        <v>45</v>
      </c>
      <c r="W14" s="2"/>
    </row>
    <row r="15" spans="2:23" ht="34.200000000000003" customHeight="1" x14ac:dyDescent="0.35">
      <c r="B15" s="115"/>
      <c r="C15" s="115"/>
      <c r="D15" s="130"/>
      <c r="E15" s="130"/>
      <c r="F15" s="130"/>
      <c r="G15" s="130"/>
      <c r="H15" s="130"/>
      <c r="I15" s="130"/>
      <c r="J15" s="115"/>
      <c r="K15" s="115"/>
      <c r="N15" s="15">
        <v>1</v>
      </c>
      <c r="O15" s="112" t="s">
        <v>112</v>
      </c>
      <c r="P15" s="113"/>
      <c r="Q15" s="113"/>
      <c r="R15" s="38">
        <f>R6+R8*2</f>
        <v>22356</v>
      </c>
      <c r="S15" s="2">
        <v>1</v>
      </c>
      <c r="T15" s="25"/>
      <c r="U15" s="38">
        <v>1000</v>
      </c>
      <c r="V15" s="38">
        <f>U15*R15*S15/1000</f>
        <v>22356</v>
      </c>
      <c r="W15" s="2"/>
    </row>
    <row r="16" spans="2:23" ht="34.200000000000003" customHeight="1" x14ac:dyDescent="0.35">
      <c r="B16" s="115"/>
      <c r="C16" s="115"/>
      <c r="D16" s="130"/>
      <c r="E16" s="130"/>
      <c r="F16" s="130"/>
      <c r="G16" s="130"/>
      <c r="H16" s="130"/>
      <c r="I16" s="130"/>
      <c r="J16" s="115"/>
      <c r="K16" s="115"/>
      <c r="M16" s="11"/>
      <c r="N16" s="15">
        <f>N15+1</f>
        <v>2</v>
      </c>
      <c r="O16" s="112" t="s">
        <v>68</v>
      </c>
      <c r="P16" s="113"/>
      <c r="Q16" s="114"/>
      <c r="R16" s="38"/>
      <c r="S16" s="56">
        <v>1</v>
      </c>
      <c r="T16" s="25"/>
      <c r="U16" s="38">
        <v>1000</v>
      </c>
      <c r="V16" s="38">
        <f t="shared" ref="V16:V17" si="5">U16*S16</f>
        <v>1000</v>
      </c>
      <c r="W16" s="26"/>
    </row>
    <row r="17" spans="2:23" ht="34.200000000000003" customHeight="1" x14ac:dyDescent="0.35">
      <c r="B17" s="115"/>
      <c r="C17" s="115"/>
      <c r="D17" s="130"/>
      <c r="E17" s="130"/>
      <c r="F17" s="130"/>
      <c r="G17" s="130"/>
      <c r="H17" s="130"/>
      <c r="I17" s="130"/>
      <c r="J17" s="115"/>
      <c r="K17" s="115"/>
      <c r="M17" s="11"/>
      <c r="N17" s="15">
        <f t="shared" ref="N17:N18" si="6">N16+1</f>
        <v>3</v>
      </c>
      <c r="O17" s="112" t="s">
        <v>70</v>
      </c>
      <c r="P17" s="113"/>
      <c r="Q17" s="114"/>
      <c r="R17" s="38"/>
      <c r="S17" s="2">
        <v>1</v>
      </c>
      <c r="T17" s="25"/>
      <c r="U17" s="38">
        <v>2000</v>
      </c>
      <c r="V17" s="38">
        <f t="shared" si="5"/>
        <v>2000</v>
      </c>
      <c r="W17" s="2"/>
    </row>
    <row r="18" spans="2:23" ht="34.200000000000003" customHeight="1" x14ac:dyDescent="0.35">
      <c r="B18" s="115"/>
      <c r="C18" s="115"/>
      <c r="D18" s="115"/>
      <c r="E18" s="115"/>
      <c r="F18" s="115"/>
      <c r="G18" s="115"/>
      <c r="H18" s="130"/>
      <c r="I18" s="130"/>
      <c r="J18" s="115"/>
      <c r="K18" s="115"/>
      <c r="M18" s="11"/>
      <c r="N18" s="15">
        <f t="shared" si="6"/>
        <v>4</v>
      </c>
      <c r="O18" s="133" t="s">
        <v>69</v>
      </c>
      <c r="P18" s="133"/>
      <c r="Q18" s="133"/>
      <c r="R18" s="133"/>
      <c r="S18" s="133"/>
      <c r="T18" s="35"/>
      <c r="U18" s="36"/>
      <c r="V18" s="37">
        <f>SUM(V15:V17)</f>
        <v>25356</v>
      </c>
      <c r="W18" s="2"/>
    </row>
    <row r="19" spans="2:23" ht="34.200000000000003" customHeight="1" x14ac:dyDescent="0.4">
      <c r="B19" s="115"/>
      <c r="C19" s="115"/>
      <c r="D19" s="130"/>
      <c r="E19" s="130"/>
      <c r="F19" s="130"/>
      <c r="G19" s="130"/>
      <c r="H19" s="130"/>
      <c r="I19" s="130"/>
      <c r="J19" s="115"/>
      <c r="K19" s="115"/>
      <c r="M19" s="11"/>
      <c r="N19" s="96"/>
      <c r="O19" s="134" t="s">
        <v>137</v>
      </c>
      <c r="P19" s="135"/>
      <c r="Q19" s="135"/>
      <c r="R19" s="135"/>
      <c r="S19" s="135"/>
      <c r="T19" s="135"/>
      <c r="U19" s="136"/>
      <c r="V19" s="98">
        <f>V13+V18</f>
        <v>5599735.5125000002</v>
      </c>
      <c r="W19" s="97"/>
    </row>
    <row r="20" spans="2:23" ht="34.200000000000003" customHeight="1" x14ac:dyDescent="0.35">
      <c r="B20" s="115"/>
      <c r="C20" s="115"/>
      <c r="D20" s="115"/>
      <c r="E20" s="115"/>
      <c r="F20" s="115"/>
      <c r="G20" s="115"/>
      <c r="H20" s="130"/>
      <c r="I20" s="130"/>
      <c r="J20" s="115"/>
      <c r="K20" s="115"/>
      <c r="M20" s="11"/>
      <c r="V20" s="1">
        <f>F6*350</f>
        <v>1176000</v>
      </c>
    </row>
    <row r="21" spans="2:23" ht="34.200000000000003" customHeight="1" x14ac:dyDescent="0.35">
      <c r="B21" s="115"/>
      <c r="C21" s="115"/>
      <c r="D21" s="115"/>
      <c r="E21" s="115"/>
      <c r="F21" s="115"/>
      <c r="G21" s="115"/>
      <c r="H21" s="137"/>
      <c r="I21" s="137"/>
      <c r="J21" s="115"/>
      <c r="K21" s="115"/>
      <c r="M21" s="11"/>
      <c r="V21" s="20">
        <f>V20+V19</f>
        <v>6775735.5125000002</v>
      </c>
    </row>
    <row r="22" spans="2:23" ht="34.200000000000003" customHeight="1" x14ac:dyDescent="0.35">
      <c r="B22" s="115"/>
      <c r="C22" s="115"/>
      <c r="D22" s="115"/>
      <c r="E22" s="115"/>
      <c r="F22" s="115"/>
      <c r="G22" s="115"/>
      <c r="H22" s="130"/>
      <c r="I22" s="130"/>
      <c r="J22" s="115"/>
      <c r="K22" s="115"/>
      <c r="M22" s="11"/>
      <c r="V22" s="1">
        <v>1800000</v>
      </c>
    </row>
    <row r="23" spans="2:23" ht="34.200000000000003" customHeight="1" x14ac:dyDescent="0.35">
      <c r="E23" s="4"/>
      <c r="G23" s="11"/>
      <c r="M23" s="11"/>
      <c r="V23" s="20">
        <f>J10*K10*L10*0.22</f>
        <v>474179.2</v>
      </c>
    </row>
    <row r="24" spans="2:23" ht="34.200000000000003" customHeight="1" x14ac:dyDescent="0.35">
      <c r="E24" s="4"/>
      <c r="G24" s="11"/>
      <c r="V24" s="20">
        <f>V23+V22+V21</f>
        <v>9049914.7125000004</v>
      </c>
    </row>
    <row r="25" spans="2:23" ht="34.200000000000003" customHeight="1" x14ac:dyDescent="0.35">
      <c r="E25" s="4"/>
      <c r="G25" s="11"/>
      <c r="V25" s="1">
        <f>7200*2600</f>
        <v>18720000</v>
      </c>
    </row>
    <row r="26" spans="2:23" ht="34.200000000000003" customHeight="1" x14ac:dyDescent="0.35">
      <c r="V26" s="100">
        <f>V24/V25</f>
        <v>0.48343561498397436</v>
      </c>
    </row>
  </sheetData>
  <mergeCells count="64">
    <mergeCell ref="O11:Q11"/>
    <mergeCell ref="O12:Q12"/>
    <mergeCell ref="O13:S13"/>
    <mergeCell ref="O17:Q17"/>
    <mergeCell ref="O19:U19"/>
    <mergeCell ref="O18:S18"/>
    <mergeCell ref="O14:Q14"/>
    <mergeCell ref="O15:Q15"/>
    <mergeCell ref="O16:Q16"/>
    <mergeCell ref="B22:C22"/>
    <mergeCell ref="D22:E22"/>
    <mergeCell ref="F22:G22"/>
    <mergeCell ref="H22:I22"/>
    <mergeCell ref="J22:K22"/>
    <mergeCell ref="B20:G20"/>
    <mergeCell ref="H20:I20"/>
    <mergeCell ref="J20:K20"/>
    <mergeCell ref="B21:G21"/>
    <mergeCell ref="H21:I21"/>
    <mergeCell ref="J21:K21"/>
    <mergeCell ref="B18:G18"/>
    <mergeCell ref="H18:I18"/>
    <mergeCell ref="J18:K18"/>
    <mergeCell ref="B19:C19"/>
    <mergeCell ref="D19:E19"/>
    <mergeCell ref="F19:G19"/>
    <mergeCell ref="H19:I19"/>
    <mergeCell ref="J19:K19"/>
    <mergeCell ref="B17:C17"/>
    <mergeCell ref="D17:E17"/>
    <mergeCell ref="F17:G17"/>
    <mergeCell ref="H17:I17"/>
    <mergeCell ref="J17:K17"/>
    <mergeCell ref="B16:C16"/>
    <mergeCell ref="D16:E16"/>
    <mergeCell ref="F16:G16"/>
    <mergeCell ref="H16:I16"/>
    <mergeCell ref="J16:K16"/>
    <mergeCell ref="B14:C14"/>
    <mergeCell ref="D14:E14"/>
    <mergeCell ref="F14:G14"/>
    <mergeCell ref="H14:I14"/>
    <mergeCell ref="J14:K14"/>
    <mergeCell ref="B15:C15"/>
    <mergeCell ref="D15:E15"/>
    <mergeCell ref="F15:G15"/>
    <mergeCell ref="H15:I15"/>
    <mergeCell ref="J15:K15"/>
    <mergeCell ref="B3:D10"/>
    <mergeCell ref="I9:I10"/>
    <mergeCell ref="B1:L1"/>
    <mergeCell ref="O7:Q7"/>
    <mergeCell ref="O8:Q8"/>
    <mergeCell ref="B2:F2"/>
    <mergeCell ref="I2:L2"/>
    <mergeCell ref="N1:W1"/>
    <mergeCell ref="O2:Q2"/>
    <mergeCell ref="O3:Q3"/>
    <mergeCell ref="O4:Q4"/>
    <mergeCell ref="O5:Q5"/>
    <mergeCell ref="O6:Q6"/>
    <mergeCell ref="W3:W8"/>
    <mergeCell ref="O9:Q9"/>
    <mergeCell ref="O10:Q10"/>
  </mergeCells>
  <pageMargins left="0.25" right="0.25" top="0.75" bottom="0.75" header="0.3" footer="0.3"/>
  <pageSetup paperSize="9" scale="5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W32"/>
  <sheetViews>
    <sheetView topLeftCell="D1" zoomScale="45" zoomScaleNormal="45" workbookViewId="0">
      <selection activeCell="O13" sqref="O13:Q13"/>
    </sheetView>
  </sheetViews>
  <sheetFormatPr defaultColWidth="17.6640625" defaultRowHeight="34.200000000000003" customHeight="1" x14ac:dyDescent="0.35"/>
  <cols>
    <col min="1" max="11" width="17.6640625" style="1"/>
    <col min="12" max="12" width="20.88671875" style="1" customWidth="1"/>
    <col min="13" max="21" width="17.6640625" style="1"/>
    <col min="22" max="22" width="22.33203125" style="1" customWidth="1"/>
    <col min="23" max="23" width="35.6640625" style="1" customWidth="1"/>
    <col min="24" max="16384" width="17.6640625" style="1"/>
  </cols>
  <sheetData>
    <row r="1" spans="2:23" ht="34.200000000000003" customHeight="1" x14ac:dyDescent="0.45"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N1" s="116" t="s">
        <v>64</v>
      </c>
      <c r="O1" s="116"/>
      <c r="P1" s="116"/>
      <c r="Q1" s="116"/>
      <c r="R1" s="116"/>
      <c r="S1" s="116"/>
      <c r="T1" s="116"/>
      <c r="U1" s="116"/>
      <c r="V1" s="116"/>
      <c r="W1" s="116"/>
    </row>
    <row r="2" spans="2:23" ht="34.200000000000003" customHeight="1" x14ac:dyDescent="0.35">
      <c r="B2" s="157" t="s">
        <v>8</v>
      </c>
      <c r="C2" s="158"/>
      <c r="D2" s="158"/>
      <c r="E2" s="158"/>
      <c r="F2" s="174"/>
      <c r="G2" s="12"/>
      <c r="H2" s="7"/>
      <c r="I2" s="157" t="s">
        <v>9</v>
      </c>
      <c r="J2" s="158"/>
      <c r="K2" s="158"/>
      <c r="L2" s="158"/>
      <c r="M2" s="2"/>
      <c r="N2" s="24" t="s">
        <v>14</v>
      </c>
      <c r="O2" s="117" t="s">
        <v>51</v>
      </c>
      <c r="P2" s="117"/>
      <c r="Q2" s="117"/>
      <c r="R2" s="24" t="s">
        <v>52</v>
      </c>
      <c r="S2" s="30" t="s">
        <v>62</v>
      </c>
      <c r="T2" s="30" t="s">
        <v>63</v>
      </c>
      <c r="U2" s="24" t="s">
        <v>44</v>
      </c>
      <c r="V2" s="24" t="s">
        <v>45</v>
      </c>
      <c r="W2" s="24" t="s">
        <v>39</v>
      </c>
    </row>
    <row r="3" spans="2:23" ht="34.200000000000003" customHeight="1" x14ac:dyDescent="0.35">
      <c r="B3" s="152"/>
      <c r="C3" s="153"/>
      <c r="D3" s="153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12" t="s">
        <v>98</v>
      </c>
      <c r="P3" s="113"/>
      <c r="Q3" s="113"/>
      <c r="R3" s="34">
        <f>K4*L4</f>
        <v>7440</v>
      </c>
      <c r="S3" s="84">
        <v>0.80200000000000005</v>
      </c>
      <c r="T3" s="32">
        <f>S3*R3</f>
        <v>5966.88</v>
      </c>
      <c r="U3" s="34">
        <v>115000</v>
      </c>
      <c r="V3" s="31">
        <f>U3*T3/1000</f>
        <v>686191.2</v>
      </c>
      <c r="W3" s="77"/>
    </row>
    <row r="4" spans="2:23" ht="34.200000000000003" customHeight="1" x14ac:dyDescent="0.35">
      <c r="B4" s="120"/>
      <c r="C4" s="121"/>
      <c r="D4" s="121"/>
      <c r="E4" s="3">
        <v>400</v>
      </c>
      <c r="F4" s="3">
        <v>3720</v>
      </c>
      <c r="G4" s="3">
        <v>1</v>
      </c>
      <c r="H4" s="6" t="s">
        <v>19</v>
      </c>
      <c r="I4" s="3" t="s">
        <v>11</v>
      </c>
      <c r="J4" s="6" t="s">
        <v>125</v>
      </c>
      <c r="K4" s="3">
        <f>F4</f>
        <v>3720</v>
      </c>
      <c r="L4" s="3">
        <f>G4*2</f>
        <v>2</v>
      </c>
      <c r="N4" s="15">
        <f>N3+1</f>
        <v>2</v>
      </c>
      <c r="O4" s="112" t="s">
        <v>120</v>
      </c>
      <c r="P4" s="113"/>
      <c r="Q4" s="113"/>
      <c r="R4" s="34">
        <f>K5*L5</f>
        <v>800</v>
      </c>
      <c r="S4" s="84">
        <v>0.80200000000000005</v>
      </c>
      <c r="T4" s="32">
        <f t="shared" ref="T4:T5" si="0">S4*R4</f>
        <v>641.6</v>
      </c>
      <c r="U4" s="34">
        <v>115000</v>
      </c>
      <c r="V4" s="31">
        <f t="shared" ref="V4:V5" si="1">U4*T4/1000</f>
        <v>73784</v>
      </c>
      <c r="W4" s="78"/>
    </row>
    <row r="5" spans="2:23" ht="34.200000000000003" customHeight="1" x14ac:dyDescent="0.35">
      <c r="B5" s="120"/>
      <c r="C5" s="121"/>
      <c r="D5" s="121"/>
      <c r="E5" s="88"/>
      <c r="F5" s="41" t="s">
        <v>46</v>
      </c>
      <c r="G5" s="41" t="s">
        <v>119</v>
      </c>
      <c r="H5" s="6" t="s">
        <v>20</v>
      </c>
      <c r="I5" s="3" t="s">
        <v>10</v>
      </c>
      <c r="J5" s="6" t="s">
        <v>126</v>
      </c>
      <c r="K5" s="3">
        <f>E4</f>
        <v>400</v>
      </c>
      <c r="L5" s="3">
        <f>G4*2</f>
        <v>2</v>
      </c>
      <c r="N5" s="15">
        <f t="shared" ref="N5:N14" si="2">N4+1</f>
        <v>3</v>
      </c>
      <c r="O5" s="112" t="s">
        <v>124</v>
      </c>
      <c r="P5" s="113"/>
      <c r="Q5" s="113"/>
      <c r="R5" s="34">
        <f>R3+R4</f>
        <v>8240</v>
      </c>
      <c r="S5" s="84">
        <v>0.27100000000000002</v>
      </c>
      <c r="T5" s="32">
        <f t="shared" si="0"/>
        <v>2233.04</v>
      </c>
      <c r="U5" s="34">
        <v>115000</v>
      </c>
      <c r="V5" s="31">
        <f t="shared" si="1"/>
        <v>256799.6</v>
      </c>
      <c r="W5" s="78"/>
    </row>
    <row r="6" spans="2:23" ht="34.200000000000003" customHeight="1" x14ac:dyDescent="0.35">
      <c r="B6" s="120"/>
      <c r="C6" s="121"/>
      <c r="D6" s="121"/>
      <c r="E6" s="56"/>
      <c r="F6" s="17">
        <f>F4*E4*G4/1000</f>
        <v>1488</v>
      </c>
      <c r="G6" s="87">
        <f>SUM(T3:T5)</f>
        <v>8841.52</v>
      </c>
      <c r="H6" s="6" t="s">
        <v>21</v>
      </c>
      <c r="I6" s="3" t="s">
        <v>123</v>
      </c>
      <c r="J6" s="6" t="s">
        <v>127</v>
      </c>
      <c r="K6" s="3">
        <f>E4</f>
        <v>400</v>
      </c>
      <c r="L6" s="3">
        <f>G4*1</f>
        <v>1</v>
      </c>
      <c r="N6" s="15">
        <f t="shared" si="2"/>
        <v>4</v>
      </c>
      <c r="O6" s="112" t="s">
        <v>78</v>
      </c>
      <c r="P6" s="113"/>
      <c r="Q6" s="114"/>
      <c r="R6" s="34"/>
      <c r="S6" s="29"/>
      <c r="T6" s="76"/>
      <c r="U6" s="54">
        <v>0.05</v>
      </c>
      <c r="V6" s="34">
        <f>SUM(V3:V5)*U6</f>
        <v>50838.74</v>
      </c>
      <c r="W6" s="42"/>
    </row>
    <row r="7" spans="2:23" ht="34.200000000000003" customHeight="1" x14ac:dyDescent="0.35">
      <c r="B7" s="120"/>
      <c r="C7" s="121"/>
      <c r="D7" s="121"/>
      <c r="E7" s="56"/>
      <c r="F7" s="17"/>
      <c r="G7" s="87"/>
      <c r="H7" s="6" t="s">
        <v>21</v>
      </c>
      <c r="I7" s="177" t="s">
        <v>79</v>
      </c>
      <c r="J7" s="3" t="s">
        <v>6</v>
      </c>
      <c r="K7" s="3" t="s">
        <v>7</v>
      </c>
      <c r="L7" s="5" t="s">
        <v>2</v>
      </c>
      <c r="N7" s="15">
        <f t="shared" si="2"/>
        <v>5</v>
      </c>
      <c r="O7" s="112" t="s">
        <v>122</v>
      </c>
      <c r="P7" s="113"/>
      <c r="Q7" s="113"/>
      <c r="R7" s="29"/>
      <c r="S7" s="29"/>
      <c r="T7" s="33">
        <v>4</v>
      </c>
      <c r="U7" s="44">
        <v>4200</v>
      </c>
      <c r="V7" s="31">
        <f>U7*T7</f>
        <v>16800</v>
      </c>
      <c r="W7" s="26" t="s">
        <v>121</v>
      </c>
    </row>
    <row r="8" spans="2:23" ht="34.200000000000003" customHeight="1" x14ac:dyDescent="0.35">
      <c r="B8" s="122"/>
      <c r="C8" s="123"/>
      <c r="D8" s="123"/>
      <c r="E8" s="3"/>
      <c r="F8" s="3"/>
      <c r="G8" s="3"/>
      <c r="H8" s="6" t="s">
        <v>22</v>
      </c>
      <c r="I8" s="178"/>
      <c r="J8" s="3">
        <f>K4-75</f>
        <v>3645</v>
      </c>
      <c r="K8" s="3">
        <f>K5-75</f>
        <v>325</v>
      </c>
      <c r="L8" s="3">
        <f>G4</f>
        <v>1</v>
      </c>
      <c r="N8" s="15">
        <f t="shared" si="2"/>
        <v>6</v>
      </c>
      <c r="O8" s="112" t="s">
        <v>61</v>
      </c>
      <c r="P8" s="113"/>
      <c r="Q8" s="113"/>
      <c r="R8" s="29"/>
      <c r="S8" s="29"/>
      <c r="T8" s="33">
        <v>4</v>
      </c>
      <c r="U8" s="34">
        <v>100</v>
      </c>
      <c r="V8" s="31">
        <f t="shared" ref="V8" si="3">U8*T8</f>
        <v>400</v>
      </c>
      <c r="W8" s="26" t="s">
        <v>113</v>
      </c>
    </row>
    <row r="9" spans="2:23" ht="34.200000000000003" customHeight="1" x14ac:dyDescent="0.35">
      <c r="L9" s="1">
        <f>(J8*K8*L8)/1000000</f>
        <v>1.184625</v>
      </c>
      <c r="N9" s="15">
        <f t="shared" si="2"/>
        <v>7</v>
      </c>
      <c r="O9" s="125" t="s">
        <v>65</v>
      </c>
      <c r="P9" s="126"/>
      <c r="Q9" s="126"/>
      <c r="R9" s="126"/>
      <c r="S9" s="127"/>
      <c r="T9" s="35"/>
      <c r="U9" s="36"/>
      <c r="V9" s="37">
        <f>SUM(V3:V8)</f>
        <v>1084813.54</v>
      </c>
      <c r="W9" s="15"/>
    </row>
    <row r="10" spans="2:23" ht="34.200000000000003" customHeight="1" x14ac:dyDescent="0.35">
      <c r="I10" s="1">
        <f>(E4+F4)*2</f>
        <v>8240</v>
      </c>
      <c r="L10" s="1">
        <v>285000</v>
      </c>
      <c r="N10" s="15">
        <f t="shared" si="2"/>
        <v>8</v>
      </c>
      <c r="O10" s="117" t="s">
        <v>51</v>
      </c>
      <c r="P10" s="117"/>
      <c r="Q10" s="117"/>
      <c r="R10" s="24" t="s">
        <v>52</v>
      </c>
      <c r="S10" s="30" t="s">
        <v>58</v>
      </c>
      <c r="T10" s="30"/>
      <c r="U10" s="24" t="s">
        <v>44</v>
      </c>
      <c r="V10" s="24" t="s">
        <v>45</v>
      </c>
      <c r="W10" s="2"/>
    </row>
    <row r="11" spans="2:23" ht="34.200000000000003" customHeight="1" x14ac:dyDescent="0.4">
      <c r="E11" s="4"/>
      <c r="G11" s="11"/>
      <c r="K11" s="20">
        <f>L13+V15</f>
        <v>1955271.665</v>
      </c>
      <c r="L11" s="98">
        <f>L10*L9</f>
        <v>337618.125</v>
      </c>
      <c r="N11" s="15">
        <f t="shared" si="2"/>
        <v>9</v>
      </c>
      <c r="O11" s="112" t="s">
        <v>47</v>
      </c>
      <c r="P11" s="113"/>
      <c r="Q11" s="113"/>
      <c r="R11" s="38">
        <f>R3+R4*2</f>
        <v>9040</v>
      </c>
      <c r="S11" s="2">
        <v>1</v>
      </c>
      <c r="T11" s="25"/>
      <c r="U11" s="38">
        <v>1000</v>
      </c>
      <c r="V11" s="38">
        <f>U11*R11*S11/1000</f>
        <v>9040</v>
      </c>
      <c r="W11" s="2"/>
    </row>
    <row r="12" spans="2:23" ht="34.200000000000003" customHeight="1" x14ac:dyDescent="0.35">
      <c r="E12" s="4"/>
      <c r="G12" s="11"/>
      <c r="L12" s="1">
        <f>F6*350</f>
        <v>520800</v>
      </c>
      <c r="N12" s="15">
        <f t="shared" si="2"/>
        <v>10</v>
      </c>
      <c r="O12" s="112" t="s">
        <v>68</v>
      </c>
      <c r="P12" s="113"/>
      <c r="Q12" s="114"/>
      <c r="R12" s="38"/>
      <c r="S12" s="56">
        <v>1</v>
      </c>
      <c r="T12" s="25"/>
      <c r="U12" s="38">
        <v>1000</v>
      </c>
      <c r="V12" s="38">
        <f t="shared" ref="V12:V13" si="4">U12*S12</f>
        <v>1000</v>
      </c>
      <c r="W12" s="26"/>
    </row>
    <row r="13" spans="2:23" ht="34.200000000000003" customHeight="1" x14ac:dyDescent="0.35"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20">
        <f>L11+L12</f>
        <v>858418.125</v>
      </c>
      <c r="N13" s="15">
        <f t="shared" si="2"/>
        <v>11</v>
      </c>
      <c r="O13" s="112" t="s">
        <v>70</v>
      </c>
      <c r="P13" s="113"/>
      <c r="Q13" s="114"/>
      <c r="R13" s="38"/>
      <c r="S13" s="2">
        <v>1</v>
      </c>
      <c r="T13" s="25"/>
      <c r="U13" s="38">
        <v>2000</v>
      </c>
      <c r="V13" s="38">
        <f t="shared" si="4"/>
        <v>2000</v>
      </c>
      <c r="W13" s="2"/>
    </row>
    <row r="14" spans="2:23" ht="34.200000000000003" customHeight="1" x14ac:dyDescent="0.35">
      <c r="B14" s="115"/>
      <c r="C14" s="115"/>
      <c r="D14" s="130"/>
      <c r="E14" s="130"/>
      <c r="F14" s="130"/>
      <c r="G14" s="130"/>
      <c r="H14" s="130"/>
      <c r="I14" s="130"/>
      <c r="J14" s="115"/>
      <c r="K14" s="115"/>
      <c r="L14" s="100">
        <f>L13/F6</f>
        <v>576.89390120967744</v>
      </c>
      <c r="N14" s="15">
        <f t="shared" si="2"/>
        <v>12</v>
      </c>
      <c r="O14" s="133" t="s">
        <v>69</v>
      </c>
      <c r="P14" s="133"/>
      <c r="Q14" s="133"/>
      <c r="R14" s="133"/>
      <c r="S14" s="133"/>
      <c r="T14" s="35"/>
      <c r="U14" s="36"/>
      <c r="V14" s="37">
        <f>SUM(V11:V13)</f>
        <v>12040</v>
      </c>
      <c r="W14" s="2"/>
    </row>
    <row r="15" spans="2:23" ht="34.200000000000003" customHeight="1" x14ac:dyDescent="0.4">
      <c r="B15" s="115"/>
      <c r="C15" s="115"/>
      <c r="D15" s="130"/>
      <c r="E15" s="130"/>
      <c r="F15" s="130"/>
      <c r="G15" s="130"/>
      <c r="H15" s="130"/>
      <c r="I15" s="130"/>
      <c r="J15" s="115"/>
      <c r="K15" s="115"/>
      <c r="L15" s="20">
        <f>V15+L12+L11</f>
        <v>1955271.665</v>
      </c>
      <c r="N15" s="96"/>
      <c r="O15" s="134" t="s">
        <v>137</v>
      </c>
      <c r="P15" s="135"/>
      <c r="Q15" s="135"/>
      <c r="R15" s="135"/>
      <c r="S15" s="135"/>
      <c r="T15" s="135"/>
      <c r="U15" s="136"/>
      <c r="V15" s="98">
        <f>V9+V14</f>
        <v>1096853.54</v>
      </c>
      <c r="W15" s="97"/>
    </row>
    <row r="16" spans="2:23" ht="34.200000000000003" customHeight="1" x14ac:dyDescent="0.45">
      <c r="B16" s="115"/>
      <c r="C16" s="115"/>
      <c r="D16" s="130"/>
      <c r="E16" s="130"/>
      <c r="F16" s="130"/>
      <c r="G16" s="130"/>
      <c r="H16" s="130"/>
      <c r="I16" s="130"/>
      <c r="J16" s="115"/>
      <c r="K16" s="115"/>
      <c r="L16" s="100">
        <f>L15/F6</f>
        <v>1314.0266565860215</v>
      </c>
      <c r="M16" s="11"/>
      <c r="N16" s="116" t="s">
        <v>64</v>
      </c>
      <c r="O16" s="116"/>
      <c r="P16" s="116"/>
      <c r="Q16" s="116"/>
      <c r="R16" s="116"/>
      <c r="S16" s="116"/>
      <c r="T16" s="116"/>
      <c r="U16" s="116"/>
      <c r="V16" s="116"/>
      <c r="W16" s="116"/>
    </row>
    <row r="17" spans="2:23" ht="34.200000000000003" customHeight="1" x14ac:dyDescent="0.35">
      <c r="B17" s="115"/>
      <c r="C17" s="115"/>
      <c r="D17" s="115"/>
      <c r="E17" s="115"/>
      <c r="F17" s="115"/>
      <c r="G17" s="115"/>
      <c r="H17" s="130"/>
      <c r="I17" s="130"/>
      <c r="J17" s="115"/>
      <c r="K17" s="115"/>
      <c r="L17" s="20">
        <f>V27+V15+L12</f>
        <v>1770093.977</v>
      </c>
      <c r="M17" s="11"/>
      <c r="N17" s="24" t="s">
        <v>14</v>
      </c>
      <c r="O17" s="117" t="s">
        <v>51</v>
      </c>
      <c r="P17" s="117"/>
      <c r="Q17" s="117"/>
      <c r="R17" s="24" t="s">
        <v>52</v>
      </c>
      <c r="S17" s="30" t="s">
        <v>62</v>
      </c>
      <c r="T17" s="30" t="s">
        <v>63</v>
      </c>
      <c r="U17" s="24" t="s">
        <v>44</v>
      </c>
      <c r="V17" s="24" t="s">
        <v>45</v>
      </c>
      <c r="W17" s="24" t="s">
        <v>39</v>
      </c>
    </row>
    <row r="18" spans="2:23" ht="42" customHeight="1" x14ac:dyDescent="0.35">
      <c r="B18" s="115"/>
      <c r="C18" s="115"/>
      <c r="D18" s="130"/>
      <c r="E18" s="130"/>
      <c r="F18" s="130"/>
      <c r="G18" s="130"/>
      <c r="H18" s="130"/>
      <c r="I18" s="130"/>
      <c r="J18" s="115"/>
      <c r="K18" s="115"/>
      <c r="L18" s="100">
        <f>L17/F6</f>
        <v>1189.5792856182795</v>
      </c>
      <c r="M18" s="11"/>
      <c r="N18" s="15">
        <v>1</v>
      </c>
      <c r="O18" s="112" t="s">
        <v>136</v>
      </c>
      <c r="P18" s="113"/>
      <c r="Q18" s="113"/>
      <c r="R18" s="84">
        <v>400</v>
      </c>
      <c r="S18" s="84">
        <v>0.80200000000000005</v>
      </c>
      <c r="T18" s="32">
        <f>S18*R18</f>
        <v>320.8</v>
      </c>
      <c r="U18" s="34">
        <v>162000</v>
      </c>
      <c r="V18" s="31">
        <f>U18*T18/1000</f>
        <v>51969.599999999999</v>
      </c>
      <c r="W18" s="77"/>
    </row>
    <row r="19" spans="2:23" ht="34.200000000000003" customHeight="1" x14ac:dyDescent="0.35">
      <c r="B19" s="115"/>
      <c r="C19" s="115"/>
      <c r="D19" s="115"/>
      <c r="E19" s="115"/>
      <c r="F19" s="115"/>
      <c r="G19" s="115"/>
      <c r="H19" s="130"/>
      <c r="I19" s="130"/>
      <c r="J19" s="115"/>
      <c r="K19" s="115"/>
      <c r="M19" s="11"/>
      <c r="N19" s="15">
        <v>2</v>
      </c>
      <c r="O19" s="112" t="s">
        <v>124</v>
      </c>
      <c r="P19" s="113"/>
      <c r="Q19" s="113"/>
      <c r="R19" s="34">
        <f>R18*2</f>
        <v>800</v>
      </c>
      <c r="S19" s="84">
        <v>0.27100000000000002</v>
      </c>
      <c r="T19" s="32">
        <f t="shared" ref="T19" si="5">S19*R19</f>
        <v>216.8</v>
      </c>
      <c r="U19" s="34">
        <v>162000</v>
      </c>
      <c r="V19" s="31">
        <f t="shared" ref="V19" si="6">U19*T19/1000</f>
        <v>35121.599999999999</v>
      </c>
      <c r="W19" s="78"/>
    </row>
    <row r="20" spans="2:23" ht="34.200000000000003" customHeight="1" x14ac:dyDescent="0.35">
      <c r="B20" s="115"/>
      <c r="C20" s="115"/>
      <c r="D20" s="115"/>
      <c r="E20" s="115"/>
      <c r="F20" s="115"/>
      <c r="G20" s="115"/>
      <c r="H20" s="137"/>
      <c r="I20" s="137"/>
      <c r="J20" s="115"/>
      <c r="K20" s="115"/>
      <c r="L20" s="20">
        <f>V27+V15</f>
        <v>1249293.977</v>
      </c>
      <c r="M20" s="11"/>
      <c r="N20" s="15">
        <f t="shared" ref="N20:N26" si="7">N19+1</f>
        <v>3</v>
      </c>
      <c r="O20" s="112" t="s">
        <v>78</v>
      </c>
      <c r="P20" s="113"/>
      <c r="Q20" s="114"/>
      <c r="R20" s="34"/>
      <c r="S20" s="29"/>
      <c r="T20" s="76"/>
      <c r="U20" s="54">
        <v>0.05</v>
      </c>
      <c r="V20" s="34">
        <f>SUM(V12:V19)*U20</f>
        <v>59949.237000000016</v>
      </c>
      <c r="W20" s="42"/>
    </row>
    <row r="21" spans="2:23" ht="34.200000000000003" customHeight="1" x14ac:dyDescent="0.35">
      <c r="B21" s="115"/>
      <c r="C21" s="115"/>
      <c r="D21" s="115"/>
      <c r="E21" s="115"/>
      <c r="F21" s="115"/>
      <c r="G21" s="115"/>
      <c r="H21" s="130"/>
      <c r="I21" s="130"/>
      <c r="J21" s="115"/>
      <c r="K21" s="115"/>
      <c r="L21" s="1">
        <f>F6*200</f>
        <v>297600</v>
      </c>
      <c r="M21" s="11"/>
      <c r="N21" s="15">
        <f t="shared" si="7"/>
        <v>4</v>
      </c>
      <c r="O21" s="125" t="s">
        <v>65</v>
      </c>
      <c r="P21" s="126"/>
      <c r="Q21" s="126"/>
      <c r="R21" s="126"/>
      <c r="S21" s="127"/>
      <c r="T21" s="35"/>
      <c r="U21" s="36"/>
      <c r="V21" s="37">
        <f>SUM(V18:V20)</f>
        <v>147040.43700000001</v>
      </c>
      <c r="W21" s="15"/>
    </row>
    <row r="22" spans="2:23" ht="34.200000000000003" customHeight="1" x14ac:dyDescent="0.35">
      <c r="E22" s="4"/>
      <c r="G22" s="11"/>
      <c r="L22" s="20">
        <f>L21+L20</f>
        <v>1546893.977</v>
      </c>
      <c r="M22" s="11"/>
      <c r="N22" s="15">
        <f t="shared" si="7"/>
        <v>5</v>
      </c>
      <c r="O22" s="117" t="s">
        <v>51</v>
      </c>
      <c r="P22" s="117"/>
      <c r="Q22" s="117"/>
      <c r="R22" s="24" t="s">
        <v>52</v>
      </c>
      <c r="S22" s="30" t="s">
        <v>58</v>
      </c>
      <c r="T22" s="30"/>
      <c r="U22" s="24" t="s">
        <v>44</v>
      </c>
      <c r="V22" s="24" t="s">
        <v>45</v>
      </c>
      <c r="W22" s="2"/>
    </row>
    <row r="23" spans="2:23" ht="34.200000000000003" customHeight="1" x14ac:dyDescent="0.35">
      <c r="E23" s="4"/>
      <c r="G23" s="11"/>
      <c r="L23" s="100">
        <f>L22/F6</f>
        <v>1039.5792856182795</v>
      </c>
      <c r="M23" s="11"/>
      <c r="N23" s="15">
        <f t="shared" si="7"/>
        <v>6</v>
      </c>
      <c r="O23" s="112" t="s">
        <v>47</v>
      </c>
      <c r="P23" s="113"/>
      <c r="Q23" s="113"/>
      <c r="R23" s="38">
        <f>R18*2+R19*2</f>
        <v>2400</v>
      </c>
      <c r="S23" s="2">
        <v>1</v>
      </c>
      <c r="T23" s="25"/>
      <c r="U23" s="38">
        <v>1000</v>
      </c>
      <c r="V23" s="38">
        <f>U23*R23*S23/1000</f>
        <v>2400</v>
      </c>
      <c r="W23" s="2"/>
    </row>
    <row r="24" spans="2:23" ht="34.200000000000003" customHeight="1" x14ac:dyDescent="0.35">
      <c r="E24" s="4"/>
      <c r="G24" s="11"/>
      <c r="N24" s="15">
        <f t="shared" si="7"/>
        <v>7</v>
      </c>
      <c r="O24" s="112" t="s">
        <v>68</v>
      </c>
      <c r="P24" s="113"/>
      <c r="Q24" s="114"/>
      <c r="R24" s="38"/>
      <c r="S24" s="56">
        <v>1</v>
      </c>
      <c r="T24" s="25"/>
      <c r="U24" s="38">
        <v>1000</v>
      </c>
      <c r="V24" s="38">
        <f t="shared" ref="V24:V25" si="8">U24*S24</f>
        <v>1000</v>
      </c>
      <c r="W24" s="26"/>
    </row>
    <row r="25" spans="2:23" ht="34.200000000000003" customHeight="1" x14ac:dyDescent="0.35">
      <c r="N25" s="15">
        <f t="shared" si="7"/>
        <v>8</v>
      </c>
      <c r="O25" s="112" t="s">
        <v>70</v>
      </c>
      <c r="P25" s="113"/>
      <c r="Q25" s="114"/>
      <c r="R25" s="38"/>
      <c r="S25" s="2">
        <v>1</v>
      </c>
      <c r="T25" s="25"/>
      <c r="U25" s="38">
        <v>2000</v>
      </c>
      <c r="V25" s="38">
        <f t="shared" si="8"/>
        <v>2000</v>
      </c>
      <c r="W25" s="2"/>
    </row>
    <row r="26" spans="2:23" ht="34.200000000000003" customHeight="1" x14ac:dyDescent="0.35">
      <c r="N26" s="15">
        <f t="shared" si="7"/>
        <v>9</v>
      </c>
      <c r="O26" s="133" t="s">
        <v>69</v>
      </c>
      <c r="P26" s="133"/>
      <c r="Q26" s="133"/>
      <c r="R26" s="133"/>
      <c r="S26" s="133"/>
      <c r="T26" s="35"/>
      <c r="U26" s="36"/>
      <c r="V26" s="37">
        <f>SUM(V23:V25)</f>
        <v>5400</v>
      </c>
      <c r="W26" s="2"/>
    </row>
    <row r="27" spans="2:23" ht="34.200000000000003" customHeight="1" x14ac:dyDescent="0.4">
      <c r="N27" s="96"/>
      <c r="O27" s="134" t="s">
        <v>137</v>
      </c>
      <c r="P27" s="135"/>
      <c r="Q27" s="135"/>
      <c r="R27" s="135"/>
      <c r="S27" s="135"/>
      <c r="T27" s="135"/>
      <c r="U27" s="136"/>
      <c r="V27" s="98">
        <f>V21+V26</f>
        <v>152440.43700000001</v>
      </c>
      <c r="W27" s="97"/>
    </row>
    <row r="28" spans="2:23" ht="34.200000000000003" customHeight="1" x14ac:dyDescent="0.35">
      <c r="T28" s="20">
        <f>V27+V15+V28+L11</f>
        <v>1958912.102</v>
      </c>
      <c r="U28" s="1">
        <f>12*70000</f>
        <v>840000</v>
      </c>
      <c r="V28" s="20">
        <f>F6*250</f>
        <v>372000</v>
      </c>
      <c r="W28" s="20">
        <f>V15+V28</f>
        <v>1468853.54</v>
      </c>
    </row>
    <row r="29" spans="2:23" ht="34.200000000000003" customHeight="1" x14ac:dyDescent="0.35">
      <c r="L29" s="20">
        <f>V27+V15</f>
        <v>1249293.977</v>
      </c>
      <c r="S29" s="1">
        <v>300000</v>
      </c>
      <c r="T29" s="20">
        <f>T28+'ĐI QUAY 4 CÁNH'!V25</f>
        <v>17862996.073200002</v>
      </c>
      <c r="V29" s="20">
        <f>V15+V28+V27</f>
        <v>1621293.977</v>
      </c>
      <c r="W29" s="20">
        <f>F6*250</f>
        <v>372000</v>
      </c>
    </row>
    <row r="30" spans="2:23" ht="34.200000000000003" customHeight="1" x14ac:dyDescent="0.35">
      <c r="L30" s="1">
        <f>F6*150</f>
        <v>223200</v>
      </c>
      <c r="S30" s="20">
        <f>S29+V27</f>
        <v>452440.43700000003</v>
      </c>
      <c r="T30" s="1">
        <v>26000000</v>
      </c>
      <c r="U30" s="20">
        <f>V15+U28+L11</f>
        <v>2274471.665</v>
      </c>
      <c r="V30" s="20">
        <f>V29+L11</f>
        <v>1958912.102</v>
      </c>
      <c r="W30" s="20">
        <f>W28+W29</f>
        <v>1840853.54</v>
      </c>
    </row>
    <row r="31" spans="2:23" ht="34.200000000000003" customHeight="1" x14ac:dyDescent="0.35">
      <c r="L31" s="20">
        <f>L30+L29</f>
        <v>1472493.977</v>
      </c>
      <c r="T31" s="100">
        <f>T29/T30</f>
        <v>0.68703831050769237</v>
      </c>
      <c r="V31" s="1">
        <f>F6*200</f>
        <v>297600</v>
      </c>
      <c r="W31" s="104">
        <f>V30/W30</f>
        <v>1.0641325121389069</v>
      </c>
    </row>
    <row r="32" spans="2:23" ht="34.200000000000003" customHeight="1" x14ac:dyDescent="0.35">
      <c r="L32" s="100">
        <f>L31/F6</f>
        <v>989.57928561827953</v>
      </c>
      <c r="V32" s="20">
        <f>V31+V30</f>
        <v>2256512.102</v>
      </c>
      <c r="W32" s="100">
        <f>W30/I10</f>
        <v>223.40455582524271</v>
      </c>
    </row>
  </sheetData>
  <mergeCells count="71">
    <mergeCell ref="O15:U15"/>
    <mergeCell ref="O27:U27"/>
    <mergeCell ref="O5:Q5"/>
    <mergeCell ref="O6:Q6"/>
    <mergeCell ref="B1:L1"/>
    <mergeCell ref="N1:W1"/>
    <mergeCell ref="B2:F2"/>
    <mergeCell ref="I2:L2"/>
    <mergeCell ref="O2:Q2"/>
    <mergeCell ref="O11:Q11"/>
    <mergeCell ref="O7:Q7"/>
    <mergeCell ref="O8:Q8"/>
    <mergeCell ref="O9:S9"/>
    <mergeCell ref="B13:C13"/>
    <mergeCell ref="D13:E13"/>
    <mergeCell ref="F13:G13"/>
    <mergeCell ref="I7:I8"/>
    <mergeCell ref="B3:D8"/>
    <mergeCell ref="O3:Q3"/>
    <mergeCell ref="O4:Q4"/>
    <mergeCell ref="H15:I15"/>
    <mergeCell ref="J15:K15"/>
    <mergeCell ref="B14:C14"/>
    <mergeCell ref="D14:E14"/>
    <mergeCell ref="F14:G14"/>
    <mergeCell ref="H14:I14"/>
    <mergeCell ref="J14:K14"/>
    <mergeCell ref="H13:I13"/>
    <mergeCell ref="J13:K13"/>
    <mergeCell ref="O10:Q10"/>
    <mergeCell ref="O12:Q12"/>
    <mergeCell ref="O13:Q13"/>
    <mergeCell ref="H19:I19"/>
    <mergeCell ref="J19:K19"/>
    <mergeCell ref="O14:S14"/>
    <mergeCell ref="B18:C18"/>
    <mergeCell ref="D18:E18"/>
    <mergeCell ref="F18:G18"/>
    <mergeCell ref="H18:I18"/>
    <mergeCell ref="J18:K18"/>
    <mergeCell ref="B16:C16"/>
    <mergeCell ref="D16:E16"/>
    <mergeCell ref="F16:G16"/>
    <mergeCell ref="H16:I16"/>
    <mergeCell ref="J16:K16"/>
    <mergeCell ref="B15:C15"/>
    <mergeCell ref="D15:E15"/>
    <mergeCell ref="F15:G15"/>
    <mergeCell ref="N16:W16"/>
    <mergeCell ref="O17:Q17"/>
    <mergeCell ref="O18:Q18"/>
    <mergeCell ref="O19:Q19"/>
    <mergeCell ref="B21:C21"/>
    <mergeCell ref="D21:E21"/>
    <mergeCell ref="F21:G21"/>
    <mergeCell ref="H21:I21"/>
    <mergeCell ref="J21:K21"/>
    <mergeCell ref="B20:G20"/>
    <mergeCell ref="H20:I20"/>
    <mergeCell ref="J20:K20"/>
    <mergeCell ref="B17:G17"/>
    <mergeCell ref="H17:I17"/>
    <mergeCell ref="J17:K17"/>
    <mergeCell ref="B19:G19"/>
    <mergeCell ref="O23:Q23"/>
    <mergeCell ref="O24:Q24"/>
    <mergeCell ref="O25:Q25"/>
    <mergeCell ref="O26:S26"/>
    <mergeCell ref="O20:Q20"/>
    <mergeCell ref="O21:S21"/>
    <mergeCell ref="O22:Q2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W23"/>
  <sheetViews>
    <sheetView zoomScale="46" zoomScaleNormal="46" workbookViewId="0">
      <selection activeCell="I5" sqref="I5"/>
    </sheetView>
  </sheetViews>
  <sheetFormatPr defaultColWidth="17.6640625" defaultRowHeight="34.200000000000003" customHeight="1" x14ac:dyDescent="0.35"/>
  <cols>
    <col min="1" max="21" width="17.6640625" style="1"/>
    <col min="22" max="22" width="25.109375" style="1" customWidth="1"/>
    <col min="23" max="23" width="35.6640625" style="1" customWidth="1"/>
    <col min="24" max="16384" width="17.6640625" style="1"/>
  </cols>
  <sheetData>
    <row r="1" spans="2:23" ht="34.200000000000003" customHeight="1" x14ac:dyDescent="0.45"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N1" s="116" t="s">
        <v>64</v>
      </c>
      <c r="O1" s="116"/>
      <c r="P1" s="116"/>
      <c r="Q1" s="116"/>
      <c r="R1" s="116"/>
      <c r="S1" s="116"/>
      <c r="T1" s="116"/>
      <c r="U1" s="116"/>
      <c r="V1" s="116"/>
      <c r="W1" s="116"/>
    </row>
    <row r="2" spans="2:23" ht="34.200000000000003" customHeight="1" x14ac:dyDescent="0.35">
      <c r="B2" s="157" t="s">
        <v>8</v>
      </c>
      <c r="C2" s="158"/>
      <c r="D2" s="158"/>
      <c r="E2" s="158"/>
      <c r="F2" s="174"/>
      <c r="G2" s="12"/>
      <c r="H2" s="7"/>
      <c r="I2" s="157" t="s">
        <v>9</v>
      </c>
      <c r="J2" s="158"/>
      <c r="K2" s="158"/>
      <c r="L2" s="158"/>
      <c r="M2" s="2"/>
      <c r="N2" s="24" t="s">
        <v>14</v>
      </c>
      <c r="O2" s="117" t="s">
        <v>51</v>
      </c>
      <c r="P2" s="117"/>
      <c r="Q2" s="117"/>
      <c r="R2" s="24" t="s">
        <v>52</v>
      </c>
      <c r="S2" s="30" t="s">
        <v>62</v>
      </c>
      <c r="T2" s="30" t="s">
        <v>63</v>
      </c>
      <c r="U2" s="24" t="s">
        <v>44</v>
      </c>
      <c r="V2" s="24" t="s">
        <v>45</v>
      </c>
      <c r="W2" s="24" t="s">
        <v>39</v>
      </c>
    </row>
    <row r="3" spans="2:23" ht="34.200000000000003" customHeight="1" x14ac:dyDescent="0.35">
      <c r="B3" s="152"/>
      <c r="C3" s="153"/>
      <c r="D3" s="153"/>
      <c r="E3" s="3" t="s">
        <v>0</v>
      </c>
      <c r="F3" s="3" t="s">
        <v>1</v>
      </c>
      <c r="G3" s="3" t="s">
        <v>2</v>
      </c>
      <c r="H3" s="3" t="s">
        <v>14</v>
      </c>
      <c r="I3" s="5" t="s">
        <v>23</v>
      </c>
      <c r="J3" s="5" t="s">
        <v>3</v>
      </c>
      <c r="K3" s="5" t="s">
        <v>5</v>
      </c>
      <c r="L3" s="5" t="s">
        <v>2</v>
      </c>
      <c r="N3" s="15">
        <v>1</v>
      </c>
      <c r="O3" s="112" t="s">
        <v>98</v>
      </c>
      <c r="P3" s="113"/>
      <c r="Q3" s="113"/>
      <c r="R3" s="34">
        <f>K4*L4</f>
        <v>1200</v>
      </c>
      <c r="S3" s="90">
        <v>0.28999999999999998</v>
      </c>
      <c r="T3" s="32">
        <f>S3*R3</f>
        <v>348</v>
      </c>
      <c r="U3" s="34">
        <v>170000</v>
      </c>
      <c r="V3" s="31">
        <f>U3*T3/1000</f>
        <v>59160</v>
      </c>
      <c r="W3" s="77"/>
    </row>
    <row r="4" spans="2:23" ht="34.200000000000003" customHeight="1" x14ac:dyDescent="0.35">
      <c r="B4" s="120"/>
      <c r="C4" s="121"/>
      <c r="D4" s="121"/>
      <c r="E4" s="3">
        <v>600</v>
      </c>
      <c r="F4" s="3">
        <v>1700</v>
      </c>
      <c r="G4" s="3">
        <v>1</v>
      </c>
      <c r="H4" s="6" t="s">
        <v>19</v>
      </c>
      <c r="I4" s="3" t="s">
        <v>128</v>
      </c>
      <c r="J4" s="6" t="s">
        <v>132</v>
      </c>
      <c r="K4" s="3">
        <f>E4</f>
        <v>600</v>
      </c>
      <c r="L4" s="3">
        <v>2</v>
      </c>
      <c r="N4" s="15">
        <f>N3+1</f>
        <v>2</v>
      </c>
      <c r="O4" s="112" t="s">
        <v>131</v>
      </c>
      <c r="P4" s="113"/>
      <c r="Q4" s="113"/>
      <c r="R4" s="34">
        <f>K5*L5</f>
        <v>3400</v>
      </c>
      <c r="S4" s="90">
        <v>0.28999999999999998</v>
      </c>
      <c r="T4" s="32">
        <f t="shared" ref="T4" si="0">S4*R4</f>
        <v>985.99999999999989</v>
      </c>
      <c r="U4" s="34">
        <v>170000</v>
      </c>
      <c r="V4" s="31">
        <f t="shared" ref="V4:V5" si="1">U4*T4/1000</f>
        <v>167619.99999999997</v>
      </c>
      <c r="W4" s="78"/>
    </row>
    <row r="5" spans="2:23" ht="34.200000000000003" customHeight="1" x14ac:dyDescent="0.35">
      <c r="B5" s="120"/>
      <c r="C5" s="121"/>
      <c r="D5" s="121"/>
      <c r="E5" s="88"/>
      <c r="F5" s="41" t="s">
        <v>46</v>
      </c>
      <c r="G5" s="41" t="s">
        <v>119</v>
      </c>
      <c r="H5" s="6" t="s">
        <v>20</v>
      </c>
      <c r="I5" s="3" t="s">
        <v>129</v>
      </c>
      <c r="J5" s="6" t="s">
        <v>132</v>
      </c>
      <c r="K5" s="3">
        <f>F4</f>
        <v>1700</v>
      </c>
      <c r="L5" s="3">
        <v>2</v>
      </c>
      <c r="N5" s="15">
        <f t="shared" ref="N5:N7" si="2">N4+1</f>
        <v>3</v>
      </c>
      <c r="O5" s="112" t="s">
        <v>130</v>
      </c>
      <c r="P5" s="113"/>
      <c r="Q5" s="113"/>
      <c r="R5" s="34">
        <f>K6*L6</f>
        <v>20060</v>
      </c>
      <c r="S5" s="84">
        <v>0.317</v>
      </c>
      <c r="T5" s="32">
        <f>S5*R5</f>
        <v>6359.02</v>
      </c>
      <c r="U5" s="34">
        <v>170000</v>
      </c>
      <c r="V5" s="31">
        <f t="shared" si="1"/>
        <v>1081033.3999999999</v>
      </c>
      <c r="W5" s="78"/>
    </row>
    <row r="6" spans="2:23" ht="34.200000000000003" customHeight="1" x14ac:dyDescent="0.35">
      <c r="B6" s="122"/>
      <c r="C6" s="123"/>
      <c r="D6" s="123"/>
      <c r="E6" s="56"/>
      <c r="F6" s="17">
        <f>F4*E4/1000</f>
        <v>1020</v>
      </c>
      <c r="G6" s="87">
        <f>SUM(T3:T5)</f>
        <v>7693.02</v>
      </c>
      <c r="H6" s="6" t="s">
        <v>21</v>
      </c>
      <c r="I6" s="3" t="s">
        <v>130</v>
      </c>
      <c r="J6" s="6" t="s">
        <v>133</v>
      </c>
      <c r="K6" s="3">
        <f>E4-10</f>
        <v>590</v>
      </c>
      <c r="L6" s="3">
        <f>F4/50</f>
        <v>34</v>
      </c>
      <c r="N6" s="15">
        <f t="shared" si="2"/>
        <v>4</v>
      </c>
      <c r="O6" s="112" t="s">
        <v>78</v>
      </c>
      <c r="P6" s="113"/>
      <c r="Q6" s="114"/>
      <c r="R6" s="34"/>
      <c r="S6" s="29"/>
      <c r="T6" s="76"/>
      <c r="U6" s="54">
        <v>0.05</v>
      </c>
      <c r="V6" s="34">
        <f>SUM(V3:V5)*U6</f>
        <v>65390.67</v>
      </c>
      <c r="W6" s="42"/>
    </row>
    <row r="7" spans="2:23" ht="34.200000000000003" customHeight="1" x14ac:dyDescent="0.35">
      <c r="N7" s="15">
        <f t="shared" si="2"/>
        <v>5</v>
      </c>
      <c r="O7" s="125" t="s">
        <v>65</v>
      </c>
      <c r="P7" s="126"/>
      <c r="Q7" s="126"/>
      <c r="R7" s="126"/>
      <c r="S7" s="127"/>
      <c r="T7" s="35"/>
      <c r="U7" s="36"/>
      <c r="V7" s="37">
        <f>SUM(V3:V6)</f>
        <v>1373204.0699999998</v>
      </c>
      <c r="W7" s="15"/>
    </row>
    <row r="8" spans="2:23" ht="34.200000000000003" customHeight="1" x14ac:dyDescent="0.35">
      <c r="E8" s="4"/>
      <c r="G8" s="11"/>
      <c r="N8" s="24" t="s">
        <v>14</v>
      </c>
      <c r="O8" s="117" t="s">
        <v>51</v>
      </c>
      <c r="P8" s="117"/>
      <c r="Q8" s="117"/>
      <c r="R8" s="24" t="s">
        <v>52</v>
      </c>
      <c r="S8" s="30" t="s">
        <v>58</v>
      </c>
      <c r="T8" s="30"/>
      <c r="U8" s="24" t="s">
        <v>44</v>
      </c>
      <c r="V8" s="24" t="s">
        <v>45</v>
      </c>
      <c r="W8" s="2"/>
    </row>
    <row r="9" spans="2:23" ht="34.200000000000003" customHeight="1" x14ac:dyDescent="0.35">
      <c r="E9" s="4"/>
      <c r="G9" s="11"/>
      <c r="N9" s="15">
        <v>1</v>
      </c>
      <c r="O9" s="112" t="s">
        <v>68</v>
      </c>
      <c r="P9" s="113"/>
      <c r="Q9" s="114"/>
      <c r="R9" s="38"/>
      <c r="S9" s="56">
        <v>10</v>
      </c>
      <c r="T9" s="25"/>
      <c r="U9" s="38">
        <v>1000</v>
      </c>
      <c r="V9" s="38">
        <f t="shared" ref="V9:V10" si="3">U9*S9</f>
        <v>10000</v>
      </c>
      <c r="W9" s="26"/>
    </row>
    <row r="10" spans="2:23" ht="34.200000000000003" customHeight="1" x14ac:dyDescent="0.35"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N10" s="15">
        <f t="shared" ref="N10:N11" si="4">N9+1</f>
        <v>2</v>
      </c>
      <c r="O10" s="112" t="s">
        <v>70</v>
      </c>
      <c r="P10" s="113"/>
      <c r="Q10" s="114"/>
      <c r="R10" s="38"/>
      <c r="S10" s="2">
        <v>1</v>
      </c>
      <c r="T10" s="25"/>
      <c r="U10" s="38">
        <v>2000</v>
      </c>
      <c r="V10" s="38">
        <f t="shared" si="3"/>
        <v>2000</v>
      </c>
      <c r="W10" s="2"/>
    </row>
    <row r="11" spans="2:23" ht="34.200000000000003" customHeight="1" x14ac:dyDescent="0.35">
      <c r="B11" s="115"/>
      <c r="C11" s="115"/>
      <c r="D11" s="130"/>
      <c r="E11" s="130"/>
      <c r="F11" s="130"/>
      <c r="G11" s="130"/>
      <c r="H11" s="130"/>
      <c r="I11" s="130"/>
      <c r="J11" s="115"/>
      <c r="K11" s="115"/>
      <c r="N11" s="15">
        <f t="shared" si="4"/>
        <v>3</v>
      </c>
      <c r="O11" s="133" t="s">
        <v>69</v>
      </c>
      <c r="P11" s="133"/>
      <c r="Q11" s="133"/>
      <c r="R11" s="133"/>
      <c r="S11" s="133"/>
      <c r="T11" s="35"/>
      <c r="U11" s="36"/>
      <c r="V11" s="37">
        <f>SUM(V9:V10)</f>
        <v>12000</v>
      </c>
      <c r="W11" s="2"/>
    </row>
    <row r="12" spans="2:23" ht="34.200000000000003" customHeight="1" x14ac:dyDescent="0.4">
      <c r="B12" s="115"/>
      <c r="C12" s="115"/>
      <c r="D12" s="130"/>
      <c r="E12" s="130"/>
      <c r="F12" s="130"/>
      <c r="G12" s="130"/>
      <c r="H12" s="130"/>
      <c r="I12" s="130"/>
      <c r="J12" s="115"/>
      <c r="K12" s="115"/>
      <c r="N12" s="96"/>
      <c r="O12" s="134" t="s">
        <v>137</v>
      </c>
      <c r="P12" s="135"/>
      <c r="Q12" s="135"/>
      <c r="R12" s="135"/>
      <c r="S12" s="135"/>
      <c r="T12" s="135"/>
      <c r="U12" s="136"/>
      <c r="V12" s="98">
        <f>V7+V11</f>
        <v>1385204.0699999998</v>
      </c>
      <c r="W12" s="97"/>
    </row>
    <row r="13" spans="2:23" ht="34.200000000000003" customHeight="1" x14ac:dyDescent="0.35">
      <c r="B13" s="115"/>
      <c r="C13" s="115"/>
      <c r="D13" s="130"/>
      <c r="E13" s="130"/>
      <c r="F13" s="130"/>
      <c r="G13" s="130"/>
      <c r="H13" s="130"/>
      <c r="I13" s="130"/>
      <c r="J13" s="115"/>
      <c r="K13" s="115"/>
      <c r="V13" s="1">
        <f>F6*300</f>
        <v>306000</v>
      </c>
    </row>
    <row r="14" spans="2:23" ht="34.200000000000003" customHeight="1" x14ac:dyDescent="0.35">
      <c r="B14" s="115"/>
      <c r="C14" s="115"/>
      <c r="D14" s="115"/>
      <c r="E14" s="115"/>
      <c r="F14" s="115"/>
      <c r="G14" s="115"/>
      <c r="H14" s="130"/>
      <c r="I14" s="130"/>
      <c r="J14" s="115"/>
      <c r="K14" s="115"/>
      <c r="V14" s="20">
        <f>V13+V12</f>
        <v>1691204.0699999998</v>
      </c>
    </row>
    <row r="15" spans="2:23" ht="34.200000000000003" customHeight="1" x14ac:dyDescent="0.35">
      <c r="B15" s="115"/>
      <c r="C15" s="115"/>
      <c r="D15" s="130"/>
      <c r="E15" s="130"/>
      <c r="F15" s="130"/>
      <c r="G15" s="130"/>
      <c r="H15" s="130"/>
      <c r="I15" s="130"/>
      <c r="J15" s="115"/>
      <c r="K15" s="115"/>
      <c r="V15" s="100">
        <f>V14/F6</f>
        <v>1658.0432058823528</v>
      </c>
    </row>
    <row r="16" spans="2:23" ht="34.200000000000003" customHeight="1" x14ac:dyDescent="0.35">
      <c r="B16" s="115"/>
      <c r="C16" s="115"/>
      <c r="D16" s="115"/>
      <c r="E16" s="115"/>
      <c r="F16" s="115"/>
      <c r="G16" s="115"/>
      <c r="H16" s="130"/>
      <c r="I16" s="130"/>
      <c r="J16" s="115"/>
      <c r="K16" s="115"/>
      <c r="M16" s="11"/>
    </row>
    <row r="17" spans="2:13" ht="34.200000000000003" customHeight="1" x14ac:dyDescent="0.35">
      <c r="B17" s="115"/>
      <c r="C17" s="115"/>
      <c r="D17" s="115"/>
      <c r="E17" s="115"/>
      <c r="F17" s="115"/>
      <c r="G17" s="115"/>
      <c r="H17" s="137"/>
      <c r="I17" s="137"/>
      <c r="J17" s="115"/>
      <c r="K17" s="115"/>
      <c r="M17" s="11"/>
    </row>
    <row r="18" spans="2:13" ht="34.200000000000003" customHeight="1" x14ac:dyDescent="0.35">
      <c r="B18" s="115"/>
      <c r="C18" s="115"/>
      <c r="D18" s="115"/>
      <c r="E18" s="115"/>
      <c r="F18" s="115"/>
      <c r="G18" s="115"/>
      <c r="H18" s="130"/>
      <c r="I18" s="130"/>
      <c r="J18" s="115"/>
      <c r="K18" s="115"/>
      <c r="M18" s="11"/>
    </row>
    <row r="19" spans="2:13" ht="34.200000000000003" customHeight="1" x14ac:dyDescent="0.35">
      <c r="E19" s="4"/>
      <c r="G19" s="11"/>
      <c r="M19" s="11"/>
    </row>
    <row r="20" spans="2:13" ht="34.200000000000003" customHeight="1" x14ac:dyDescent="0.35">
      <c r="E20" s="4"/>
      <c r="G20" s="11"/>
      <c r="M20" s="11"/>
    </row>
    <row r="21" spans="2:13" ht="34.200000000000003" customHeight="1" x14ac:dyDescent="0.35">
      <c r="E21" s="4"/>
      <c r="G21" s="11"/>
      <c r="M21" s="11"/>
    </row>
    <row r="22" spans="2:13" ht="34.200000000000003" customHeight="1" x14ac:dyDescent="0.35">
      <c r="M22" s="11"/>
    </row>
    <row r="23" spans="2:13" ht="34.200000000000003" customHeight="1" x14ac:dyDescent="0.35">
      <c r="M23" s="11"/>
    </row>
  </sheetData>
  <mergeCells count="55">
    <mergeCell ref="O12:U12"/>
    <mergeCell ref="O3:Q3"/>
    <mergeCell ref="O4:Q4"/>
    <mergeCell ref="O5:Q5"/>
    <mergeCell ref="O6:Q6"/>
    <mergeCell ref="O11:S11"/>
    <mergeCell ref="B1:L1"/>
    <mergeCell ref="N1:W1"/>
    <mergeCell ref="B2:F2"/>
    <mergeCell ref="I2:L2"/>
    <mergeCell ref="O2:Q2"/>
    <mergeCell ref="B3:D6"/>
    <mergeCell ref="O7:S7"/>
    <mergeCell ref="B10:C10"/>
    <mergeCell ref="D10:E10"/>
    <mergeCell ref="F10:G10"/>
    <mergeCell ref="H10:I10"/>
    <mergeCell ref="J10:K10"/>
    <mergeCell ref="O8:Q8"/>
    <mergeCell ref="O9:Q9"/>
    <mergeCell ref="O10:Q10"/>
    <mergeCell ref="B11:C11"/>
    <mergeCell ref="D11:E11"/>
    <mergeCell ref="F11:G11"/>
    <mergeCell ref="H11:I11"/>
    <mergeCell ref="J11:K11"/>
    <mergeCell ref="B15:C15"/>
    <mergeCell ref="D15:E15"/>
    <mergeCell ref="F15:G15"/>
    <mergeCell ref="H15:I15"/>
    <mergeCell ref="J15:K15"/>
    <mergeCell ref="B14:G14"/>
    <mergeCell ref="H14:I14"/>
    <mergeCell ref="J14:K14"/>
    <mergeCell ref="B12:C12"/>
    <mergeCell ref="D12:E12"/>
    <mergeCell ref="B13:C13"/>
    <mergeCell ref="D13:E13"/>
    <mergeCell ref="F13:G13"/>
    <mergeCell ref="H13:I13"/>
    <mergeCell ref="J13:K13"/>
    <mergeCell ref="F12:G12"/>
    <mergeCell ref="H12:I12"/>
    <mergeCell ref="J12:K12"/>
    <mergeCell ref="B16:G16"/>
    <mergeCell ref="H16:I16"/>
    <mergeCell ref="J16:K16"/>
    <mergeCell ref="B17:G17"/>
    <mergeCell ref="H17:I17"/>
    <mergeCell ref="J17:K17"/>
    <mergeCell ref="B18:C18"/>
    <mergeCell ref="D18:E18"/>
    <mergeCell ref="F18:G18"/>
    <mergeCell ref="H18:I18"/>
    <mergeCell ref="J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7</vt:i4>
      </vt:variant>
    </vt:vector>
  </HeadingPairs>
  <TitlesOfParts>
    <vt:vector size="24" baseType="lpstr">
      <vt:lpstr>ĐI QUAY 1 CÁNH</vt:lpstr>
      <vt:lpstr>ĐI QUAY 2 CÁNH</vt:lpstr>
      <vt:lpstr>ĐI QUAY 4 CÁNH</vt:lpstr>
      <vt:lpstr>Sổ QUAY 2 CÁNH</vt:lpstr>
      <vt:lpstr>SỔ QUAY 1CÁNH</vt:lpstr>
      <vt:lpstr>Sổ QUAY 3 CÁNH -Đố tĩnh</vt:lpstr>
      <vt:lpstr>Sổ QUAY 4 CÁNH đố động</vt:lpstr>
      <vt:lpstr>Sheet1</vt:lpstr>
      <vt:lpstr>Sổ QUAY 4 CÁNH đố tĩnh</vt:lpstr>
      <vt:lpstr>Sổ lùA 2 CÁNH</vt:lpstr>
      <vt:lpstr>Sổ lùa 4 CÁNH</vt:lpstr>
      <vt:lpstr>LÙA 93 2 CÁNH</vt:lpstr>
      <vt:lpstr>Lùa 93 3 CÁNH</vt:lpstr>
      <vt:lpstr>Lùa 93 4 CÁNH</vt:lpstr>
      <vt:lpstr>XẾP TRƯỢT 63 4 CÁNH</vt:lpstr>
      <vt:lpstr>Ô FIX KHÔNG ĐỐ</vt:lpstr>
      <vt:lpstr>KHUNG LÁ SÁCH</vt:lpstr>
      <vt:lpstr>'ĐI QUAY 1 CÁNH'!Print_Area</vt:lpstr>
      <vt:lpstr>'ĐI QUAY 4 CÁNH'!Print_Area</vt:lpstr>
      <vt:lpstr>'LÙA 93 2 CÁNH'!Print_Area</vt:lpstr>
      <vt:lpstr>'Lùa 93 3 CÁNH'!Print_Area</vt:lpstr>
      <vt:lpstr>'SỔ QUAY 1CÁNH'!Print_Area</vt:lpstr>
      <vt:lpstr>'Sổ QUAY 2 CÁNH'!Print_Area</vt:lpstr>
      <vt:lpstr>'XẾP TRƯỢT 63 4 CÁNH'!Print_Area</vt:lpstr>
    </vt:vector>
  </TitlesOfParts>
  <Company>Phan Danh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Le Phan Danh</dc:creator>
  <cp:lastModifiedBy>Hoang Quan</cp:lastModifiedBy>
  <cp:lastPrinted>2024-09-30T04:23:18Z</cp:lastPrinted>
  <dcterms:created xsi:type="dcterms:W3CDTF">2019-06-07T03:53:21Z</dcterms:created>
  <dcterms:modified xsi:type="dcterms:W3CDTF">2025-11-18T09:38:00Z</dcterms:modified>
</cp:coreProperties>
</file>
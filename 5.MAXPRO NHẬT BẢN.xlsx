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ao\OneDrive\Desktop\"/>
    </mc:Choice>
  </mc:AlternateContent>
  <xr:revisionPtr revIDLastSave="0" documentId="13_ncr:1_{487046A7-0E98-4B36-96E8-5818C18DCFB2}" xr6:coauthVersionLast="47" xr6:coauthVersionMax="47" xr10:uidLastSave="{00000000-0000-0000-0000-000000000000}"/>
  <bookViews>
    <workbookView xWindow="-108" yWindow="-108" windowWidth="23256" windowHeight="12456" firstSheet="17" activeTab="18" xr2:uid="{00000000-000D-0000-FFFF-FFFF00000000}"/>
  </bookViews>
  <sheets>
    <sheet name="BẢN TÍNH GIÁ THÀNH" sheetId="39" r:id="rId1"/>
    <sheet name="ĐI QUAY 1 CÁNH" sheetId="8" r:id="rId2"/>
    <sheet name="ĐI QUAY 2 CÁNH" sheetId="20" r:id="rId3"/>
    <sheet name="ĐI QUAY 4 CÁNH" sheetId="10" r:id="rId4"/>
    <sheet name="SỔ QUAY 1CÁNH" sheetId="13" r:id="rId5"/>
    <sheet name="Sổ QUAY 2 CÁNH" sheetId="14" r:id="rId6"/>
    <sheet name="Sổ QUAY 3 CÁNH -Đố tĩnh" sheetId="33" r:id="rId7"/>
    <sheet name="Sổ QUAY 4 CÁNH đố tĩnh" sheetId="23" r:id="rId8"/>
    <sheet name="VÁCH KÍNH 55" sheetId="49" r:id="rId9"/>
    <sheet name="ĐI QUAY 1 CÁNH 83" sheetId="42" r:id="rId10"/>
    <sheet name="ĐI QUAY 2 CÁNH 83 " sheetId="43" r:id="rId11"/>
    <sheet name="ĐI QUAY 4 CÁNH 83" sheetId="44" r:id="rId12"/>
    <sheet name="SỔ QUAY 1 CÁNH 83" sheetId="45" r:id="rId13"/>
    <sheet name="SỔ QUAY 2 CÁNH 83 " sheetId="46" r:id="rId14"/>
    <sheet name="SỔ QUAY 3 CÁNH 83" sheetId="47" r:id="rId15"/>
    <sheet name="SỔ QUAY 4 CÁNH 83" sheetId="48" r:id="rId16"/>
    <sheet name="VÁCH KÍNH 83" sheetId="40" r:id="rId17"/>
    <sheet name="Sổ lùA 2 CÁNH 83" sheetId="17" r:id="rId18"/>
    <sheet name="Sổ lùa 4 CÁNH 83" sheetId="18" r:id="rId19"/>
    <sheet name="ĐI LÙA 83 2 CÁNH" sheetId="24" r:id="rId20"/>
    <sheet name="ĐI Lùa 83 3 CÁNH" sheetId="29" r:id="rId21"/>
    <sheet name="ĐI Lùa 83 4 CÁNH" sheetId="28" r:id="rId22"/>
  </sheets>
  <definedNames>
    <definedName name="_xlnm.Print_Area" localSheetId="0">'BẢN TÍNH GIÁ THÀNH'!$A$1:$U$27</definedName>
    <definedName name="_xlnm.Print_Area" localSheetId="19">'ĐI LÙA 83 2 CÁNH'!$C$1:$M$12</definedName>
    <definedName name="_xlnm.Print_Area" localSheetId="20">'ĐI Lùa 83 3 CÁNH'!$H$1:$L$12</definedName>
    <definedName name="_xlnm.Print_Area" localSheetId="1">'ĐI QUAY 1 CÁNH'!$A$2:$Q$20</definedName>
    <definedName name="_xlnm.Print_Area" localSheetId="3">'ĐI QUAY 4 CÁNH'!$A$1:$L$11</definedName>
    <definedName name="_xlnm.Print_Area" localSheetId="4">'SỔ QUAY 1CÁNH'!$B$1:$L$10</definedName>
    <definedName name="_xlnm.Print_Area" localSheetId="5">'Sổ QUAY 2 CÁNH'!$A$1:$L$10</definedName>
  </definedNames>
  <calcPr calcId="191029" refMode="R1C1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4" i="18" l="1"/>
  <c r="V25" i="18"/>
  <c r="V23" i="18"/>
  <c r="V22" i="18"/>
  <c r="V21" i="18"/>
  <c r="V20" i="18"/>
  <c r="V19" i="18"/>
  <c r="V28" i="28"/>
  <c r="V29" i="28"/>
  <c r="V27" i="28"/>
  <c r="V26" i="28"/>
  <c r="V25" i="28"/>
  <c r="V24" i="28"/>
  <c r="V24" i="20" l="1"/>
  <c r="V23" i="20"/>
  <c r="V25" i="20"/>
  <c r="V26" i="20"/>
  <c r="V22" i="20"/>
  <c r="L15" i="13" l="1"/>
  <c r="L13" i="13"/>
  <c r="L12" i="13"/>
  <c r="L18" i="13"/>
  <c r="L14" i="13"/>
  <c r="L17" i="13"/>
  <c r="J15" i="10"/>
  <c r="J14" i="10"/>
  <c r="J13" i="10"/>
  <c r="F6" i="20"/>
  <c r="K25" i="8" l="1"/>
  <c r="I23" i="8"/>
  <c r="I22" i="8"/>
  <c r="K22" i="8"/>
  <c r="L8" i="49"/>
  <c r="Q17" i="39" l="1"/>
  <c r="R17" i="39"/>
  <c r="U17" i="39"/>
  <c r="L23" i="8"/>
  <c r="M3" i="39" l="1"/>
  <c r="K8" i="28" l="1"/>
  <c r="K7" i="28"/>
  <c r="K8" i="29"/>
  <c r="K7" i="29"/>
  <c r="K8" i="24"/>
  <c r="K7" i="24"/>
  <c r="K7" i="18"/>
  <c r="K6" i="18"/>
  <c r="K10" i="18"/>
  <c r="J10" i="18"/>
  <c r="K9" i="17"/>
  <c r="J9" i="17"/>
  <c r="K6" i="17"/>
  <c r="K7" i="17"/>
  <c r="K7" i="48"/>
  <c r="J11" i="48" s="1"/>
  <c r="K8" i="48"/>
  <c r="K11" i="48" s="1"/>
  <c r="K6" i="48"/>
  <c r="K6" i="47"/>
  <c r="J10" i="47" s="1"/>
  <c r="K8" i="47"/>
  <c r="K7" i="47"/>
  <c r="K10" i="47" s="1"/>
  <c r="K6" i="46"/>
  <c r="J10" i="46" s="1"/>
  <c r="K7" i="46"/>
  <c r="K10" i="46" s="1"/>
  <c r="K7" i="45"/>
  <c r="K9" i="45" s="1"/>
  <c r="K6" i="45"/>
  <c r="J9" i="45" s="1"/>
  <c r="K6" i="44"/>
  <c r="J11" i="44" s="1"/>
  <c r="K6" i="43"/>
  <c r="J11" i="43" s="1"/>
  <c r="L12" i="18" l="1"/>
  <c r="L13" i="18" s="1"/>
  <c r="V15" i="28"/>
  <c r="V14" i="28"/>
  <c r="S16" i="28"/>
  <c r="V16" i="28" s="1"/>
  <c r="R8" i="28"/>
  <c r="R8" i="24"/>
  <c r="R8" i="29"/>
  <c r="V14" i="29"/>
  <c r="V15" i="29"/>
  <c r="V13" i="29"/>
  <c r="S15" i="29"/>
  <c r="V14" i="24"/>
  <c r="V13" i="24"/>
  <c r="V9" i="18"/>
  <c r="T10" i="18"/>
  <c r="V10" i="18" s="1"/>
  <c r="T9" i="17"/>
  <c r="V9" i="17" s="1"/>
  <c r="T11" i="48"/>
  <c r="T10" i="47"/>
  <c r="T10" i="46"/>
  <c r="F22" i="39" l="1"/>
  <c r="I22" i="39" s="1"/>
  <c r="R12" i="28"/>
  <c r="T12" i="28" s="1"/>
  <c r="V12" i="28" s="1"/>
  <c r="V21" i="28"/>
  <c r="N21" i="28"/>
  <c r="N22" i="28" s="1"/>
  <c r="V20" i="28"/>
  <c r="R7" i="28"/>
  <c r="L6" i="28"/>
  <c r="K6" i="28"/>
  <c r="F6" i="28"/>
  <c r="F25" i="39" s="1"/>
  <c r="I25" i="39" s="1"/>
  <c r="L5" i="28"/>
  <c r="N4" i="28"/>
  <c r="N5" i="28" s="1"/>
  <c r="N6" i="28" s="1"/>
  <c r="N7" i="28" s="1"/>
  <c r="L4" i="28"/>
  <c r="K4" i="28"/>
  <c r="V20" i="29"/>
  <c r="N20" i="29"/>
  <c r="N21" i="29" s="1"/>
  <c r="V19" i="29"/>
  <c r="R7" i="29"/>
  <c r="T7" i="29" s="1"/>
  <c r="V7" i="29" s="1"/>
  <c r="R6" i="29"/>
  <c r="T6" i="29" s="1"/>
  <c r="V6" i="29" s="1"/>
  <c r="L6" i="29"/>
  <c r="K6" i="29"/>
  <c r="F6" i="29"/>
  <c r="F24" i="39" s="1"/>
  <c r="I24" i="39" s="1"/>
  <c r="L5" i="29"/>
  <c r="N4" i="29"/>
  <c r="N5" i="29" s="1"/>
  <c r="N6" i="29" s="1"/>
  <c r="N7" i="29" s="1"/>
  <c r="L4" i="29"/>
  <c r="K4" i="29"/>
  <c r="S15" i="24"/>
  <c r="V15" i="24" s="1"/>
  <c r="R6" i="24"/>
  <c r="R7" i="24"/>
  <c r="R3" i="29" l="1"/>
  <c r="T3" i="29" s="1"/>
  <c r="R4" i="29"/>
  <c r="T4" i="29" s="1"/>
  <c r="V4" i="29" s="1"/>
  <c r="J24" i="39"/>
  <c r="K24" i="39"/>
  <c r="L24" i="39"/>
  <c r="R10" i="29"/>
  <c r="T10" i="29" s="1"/>
  <c r="V10" i="29" s="1"/>
  <c r="L25" i="39"/>
  <c r="K25" i="39"/>
  <c r="J25" i="39"/>
  <c r="R10" i="28"/>
  <c r="T10" i="28" s="1"/>
  <c r="V10" i="28" s="1"/>
  <c r="R4" i="28"/>
  <c r="T4" i="28" s="1"/>
  <c r="V4" i="28" s="1"/>
  <c r="J22" i="39"/>
  <c r="K22" i="39"/>
  <c r="L22" i="39"/>
  <c r="R18" i="29"/>
  <c r="V18" i="29" s="1"/>
  <c r="V21" i="29" s="1"/>
  <c r="R18" i="24"/>
  <c r="K5" i="28"/>
  <c r="R11" i="28" s="1"/>
  <c r="T11" i="28" s="1"/>
  <c r="V11" i="28" s="1"/>
  <c r="R3" i="28"/>
  <c r="T3" i="28" s="1"/>
  <c r="R6" i="28"/>
  <c r="T7" i="28"/>
  <c r="V7" i="28" s="1"/>
  <c r="N8" i="28"/>
  <c r="R9" i="28"/>
  <c r="T9" i="28" s="1"/>
  <c r="V9" i="28" s="1"/>
  <c r="T8" i="28"/>
  <c r="V8" i="28" s="1"/>
  <c r="N8" i="29"/>
  <c r="N12" i="29"/>
  <c r="V3" i="29"/>
  <c r="K5" i="29"/>
  <c r="R9" i="29"/>
  <c r="T9" i="29" s="1"/>
  <c r="V9" i="29" s="1"/>
  <c r="T8" i="29"/>
  <c r="V8" i="29" s="1"/>
  <c r="V18" i="48"/>
  <c r="V17" i="48"/>
  <c r="V16" i="48"/>
  <c r="N15" i="48"/>
  <c r="N16" i="48" s="1"/>
  <c r="N17" i="48" s="1"/>
  <c r="N18" i="48" s="1"/>
  <c r="N19" i="48" s="1"/>
  <c r="L11" i="48"/>
  <c r="V11" i="48"/>
  <c r="V9" i="48"/>
  <c r="L9" i="48"/>
  <c r="L8" i="48"/>
  <c r="L7" i="48"/>
  <c r="L6" i="48"/>
  <c r="R7" i="48" s="1"/>
  <c r="T7" i="48" s="1"/>
  <c r="V7" i="48" s="1"/>
  <c r="F6" i="48"/>
  <c r="F20" i="39" s="1"/>
  <c r="I20" i="39" s="1"/>
  <c r="L5" i="48"/>
  <c r="K5" i="48"/>
  <c r="N4" i="48"/>
  <c r="N5" i="48" s="1"/>
  <c r="N6" i="48" s="1"/>
  <c r="N7" i="48" s="1"/>
  <c r="N8" i="48" s="1"/>
  <c r="N9" i="48" s="1"/>
  <c r="N10" i="48" s="1"/>
  <c r="N11" i="48" s="1"/>
  <c r="N12" i="48" s="1"/>
  <c r="L4" i="48"/>
  <c r="K4" i="48"/>
  <c r="V16" i="47"/>
  <c r="N16" i="47"/>
  <c r="N17" i="47" s="1"/>
  <c r="V15" i="47"/>
  <c r="N14" i="47"/>
  <c r="V10" i="47"/>
  <c r="L10" i="47"/>
  <c r="V9" i="47"/>
  <c r="V8" i="47"/>
  <c r="L8" i="47"/>
  <c r="R6" i="47" s="1"/>
  <c r="T6" i="47" s="1"/>
  <c r="V6" i="47" s="1"/>
  <c r="L7" i="47"/>
  <c r="L6" i="47"/>
  <c r="F6" i="47"/>
  <c r="F19" i="39" s="1"/>
  <c r="I19" i="39" s="1"/>
  <c r="L5" i="47"/>
  <c r="K5" i="47"/>
  <c r="N4" i="47"/>
  <c r="N5" i="47" s="1"/>
  <c r="N6" i="47" s="1"/>
  <c r="N7" i="47" s="1"/>
  <c r="N8" i="47" s="1"/>
  <c r="N9" i="47" s="1"/>
  <c r="N10" i="47" s="1"/>
  <c r="N11" i="47" s="1"/>
  <c r="L4" i="47"/>
  <c r="K4" i="47"/>
  <c r="V17" i="46"/>
  <c r="V16" i="46"/>
  <c r="V15" i="46"/>
  <c r="N14" i="46"/>
  <c r="N15" i="46" s="1"/>
  <c r="N16" i="46" s="1"/>
  <c r="N17" i="46" s="1"/>
  <c r="N18" i="46" s="1"/>
  <c r="V10" i="46"/>
  <c r="L10" i="46"/>
  <c r="V9" i="46"/>
  <c r="V8" i="46"/>
  <c r="L8" i="46"/>
  <c r="L7" i="46"/>
  <c r="L6" i="46"/>
  <c r="R4" i="46"/>
  <c r="F6" i="46"/>
  <c r="F18" i="39" s="1"/>
  <c r="I18" i="39" s="1"/>
  <c r="L5" i="46"/>
  <c r="K5" i="46"/>
  <c r="H5" i="46"/>
  <c r="H6" i="46" s="1"/>
  <c r="H7" i="46" s="1"/>
  <c r="H8" i="46" s="1"/>
  <c r="H9" i="46" s="1"/>
  <c r="H10" i="46" s="1"/>
  <c r="N4" i="46"/>
  <c r="N5" i="46" s="1"/>
  <c r="N6" i="46" s="1"/>
  <c r="N7" i="46" s="1"/>
  <c r="N8" i="46" s="1"/>
  <c r="N9" i="46" s="1"/>
  <c r="N10" i="46" s="1"/>
  <c r="N11" i="46" s="1"/>
  <c r="L4" i="46"/>
  <c r="K4" i="46"/>
  <c r="V15" i="45"/>
  <c r="V14" i="45"/>
  <c r="N13" i="45"/>
  <c r="N14" i="45" s="1"/>
  <c r="N15" i="45" s="1"/>
  <c r="N16" i="45" s="1"/>
  <c r="T9" i="45"/>
  <c r="V9" i="45" s="1"/>
  <c r="L9" i="45"/>
  <c r="V8" i="45"/>
  <c r="V7" i="45"/>
  <c r="L7" i="45"/>
  <c r="L6" i="45"/>
  <c r="F6" i="45"/>
  <c r="F17" i="39" s="1"/>
  <c r="L5" i="45"/>
  <c r="K5" i="45"/>
  <c r="N4" i="45"/>
  <c r="N5" i="45" s="1"/>
  <c r="N6" i="45" s="1"/>
  <c r="N7" i="45" s="1"/>
  <c r="N8" i="45" s="1"/>
  <c r="N9" i="45" s="1"/>
  <c r="N10" i="45" s="1"/>
  <c r="L4" i="45"/>
  <c r="K4" i="45"/>
  <c r="V3" i="28" l="1"/>
  <c r="L17" i="39"/>
  <c r="K17" i="39"/>
  <c r="J17" i="39"/>
  <c r="I17" i="39"/>
  <c r="R3" i="47"/>
  <c r="R3" i="45"/>
  <c r="R3" i="48"/>
  <c r="T3" i="48" s="1"/>
  <c r="R4" i="48"/>
  <c r="R15" i="48" s="1"/>
  <c r="V15" i="48" s="1"/>
  <c r="M24" i="39"/>
  <c r="R5" i="28"/>
  <c r="T5" i="28" s="1"/>
  <c r="V5" i="28" s="1"/>
  <c r="M25" i="39"/>
  <c r="M22" i="39"/>
  <c r="J20" i="39"/>
  <c r="K20" i="39"/>
  <c r="L20" i="39"/>
  <c r="J19" i="39"/>
  <c r="K19" i="39"/>
  <c r="L19" i="39"/>
  <c r="J18" i="39"/>
  <c r="K18" i="39"/>
  <c r="L18" i="39"/>
  <c r="R3" i="46"/>
  <c r="T6" i="28"/>
  <c r="V6" i="28" s="1"/>
  <c r="R19" i="28"/>
  <c r="V19" i="28" s="1"/>
  <c r="V22" i="28" s="1"/>
  <c r="N9" i="28"/>
  <c r="R11" i="29"/>
  <c r="T11" i="29" s="1"/>
  <c r="V11" i="29" s="1"/>
  <c r="R5" i="29"/>
  <c r="T5" i="29" s="1"/>
  <c r="T12" i="29" s="1"/>
  <c r="N13" i="29"/>
  <c r="N9" i="29"/>
  <c r="R5" i="48"/>
  <c r="T5" i="48" s="1"/>
  <c r="V5" i="48" s="1"/>
  <c r="V10" i="48"/>
  <c r="K9" i="48"/>
  <c r="R6" i="48" s="1"/>
  <c r="T6" i="48" s="1"/>
  <c r="V6" i="48" s="1"/>
  <c r="T3" i="47"/>
  <c r="R4" i="47"/>
  <c r="T3" i="46"/>
  <c r="T7" i="46" s="1"/>
  <c r="R14" i="46"/>
  <c r="V14" i="46" s="1"/>
  <c r="T4" i="46"/>
  <c r="V4" i="46" s="1"/>
  <c r="R5" i="46"/>
  <c r="T5" i="46" s="1"/>
  <c r="V5" i="46" s="1"/>
  <c r="K8" i="46"/>
  <c r="R6" i="46" s="1"/>
  <c r="T6" i="46" s="1"/>
  <c r="V6" i="46" s="1"/>
  <c r="T3" i="45"/>
  <c r="R4" i="45"/>
  <c r="F12" i="39"/>
  <c r="V25" i="49"/>
  <c r="V24" i="49"/>
  <c r="N20" i="49"/>
  <c r="N21" i="49" s="1"/>
  <c r="N22" i="49" s="1"/>
  <c r="N23" i="49" s="1"/>
  <c r="N24" i="49" s="1"/>
  <c r="N25" i="49" s="1"/>
  <c r="N26" i="49" s="1"/>
  <c r="R19" i="49"/>
  <c r="T19" i="49" s="1"/>
  <c r="T18" i="49"/>
  <c r="V13" i="49"/>
  <c r="V12" i="49"/>
  <c r="V8" i="49"/>
  <c r="V7" i="49"/>
  <c r="K6" i="49"/>
  <c r="F6" i="49"/>
  <c r="L12" i="49" s="1"/>
  <c r="K5" i="49"/>
  <c r="K8" i="49" s="1"/>
  <c r="N4" i="49"/>
  <c r="N5" i="49" s="1"/>
  <c r="N6" i="49" s="1"/>
  <c r="N7" i="49" s="1"/>
  <c r="N8" i="49" s="1"/>
  <c r="N9" i="49" s="1"/>
  <c r="N10" i="49" s="1"/>
  <c r="N11" i="49" s="1"/>
  <c r="N12" i="49" s="1"/>
  <c r="N13" i="49" s="1"/>
  <c r="N14" i="49" s="1"/>
  <c r="K4" i="49"/>
  <c r="R3" i="49" s="1"/>
  <c r="F11" i="39" l="1"/>
  <c r="I11" i="39" s="1"/>
  <c r="R4" i="49"/>
  <c r="T4" i="49" s="1"/>
  <c r="V4" i="49" s="1"/>
  <c r="T13" i="28"/>
  <c r="V13" i="28"/>
  <c r="V17" i="28" s="1"/>
  <c r="V23" i="28" s="1"/>
  <c r="G25" i="39" s="1"/>
  <c r="H25" i="39" s="1"/>
  <c r="T6" i="45"/>
  <c r="V18" i="49"/>
  <c r="T20" i="49"/>
  <c r="S20" i="49" s="1"/>
  <c r="T4" i="48"/>
  <c r="V4" i="48" s="1"/>
  <c r="R13" i="46"/>
  <c r="V13" i="46" s="1"/>
  <c r="V18" i="46" s="1"/>
  <c r="R23" i="49"/>
  <c r="V23" i="49" s="1"/>
  <c r="V26" i="49" s="1"/>
  <c r="G6" i="28"/>
  <c r="M20" i="39"/>
  <c r="M19" i="39"/>
  <c r="M18" i="39"/>
  <c r="M17" i="39"/>
  <c r="J12" i="39"/>
  <c r="I12" i="39"/>
  <c r="K12" i="39"/>
  <c r="L12" i="39"/>
  <c r="N10" i="28"/>
  <c r="V5" i="29"/>
  <c r="G6" i="29"/>
  <c r="E6" i="29" s="1"/>
  <c r="N14" i="29"/>
  <c r="N10" i="29"/>
  <c r="G6" i="48"/>
  <c r="V3" i="48"/>
  <c r="V8" i="48" s="1"/>
  <c r="R14" i="48"/>
  <c r="V14" i="48" s="1"/>
  <c r="V19" i="48" s="1"/>
  <c r="T4" i="47"/>
  <c r="V4" i="47" s="1"/>
  <c r="R5" i="47"/>
  <c r="T5" i="47" s="1"/>
  <c r="V5" i="47" s="1"/>
  <c r="R14" i="47"/>
  <c r="V14" i="47" s="1"/>
  <c r="V3" i="47"/>
  <c r="V7" i="47" s="1"/>
  <c r="R13" i="47"/>
  <c r="V13" i="47" s="1"/>
  <c r="V3" i="46"/>
  <c r="G6" i="46"/>
  <c r="E6" i="46" s="1"/>
  <c r="T4" i="45"/>
  <c r="V4" i="45" s="1"/>
  <c r="R5" i="45"/>
  <c r="T5" i="45" s="1"/>
  <c r="V5" i="45" s="1"/>
  <c r="R13" i="45"/>
  <c r="V13" i="45" s="1"/>
  <c r="V3" i="45"/>
  <c r="R12" i="45"/>
  <c r="V12" i="45" s="1"/>
  <c r="V16" i="45" s="1"/>
  <c r="V19" i="49"/>
  <c r="T3" i="49"/>
  <c r="R5" i="49"/>
  <c r="T5" i="49" s="1"/>
  <c r="V5" i="49" s="1"/>
  <c r="J8" i="49"/>
  <c r="L11" i="39" l="1"/>
  <c r="K11" i="39"/>
  <c r="M11" i="39" s="1"/>
  <c r="J11" i="39"/>
  <c r="R11" i="49"/>
  <c r="V11" i="49" s="1"/>
  <c r="V14" i="49" s="1"/>
  <c r="V6" i="45"/>
  <c r="V10" i="45" s="1"/>
  <c r="V17" i="45" s="1"/>
  <c r="G17" i="39" s="1"/>
  <c r="T7" i="47"/>
  <c r="E6" i="47" s="1"/>
  <c r="V12" i="29"/>
  <c r="V16" i="29"/>
  <c r="V22" i="29" s="1"/>
  <c r="G24" i="39" s="1"/>
  <c r="H24" i="39" s="1"/>
  <c r="E6" i="28"/>
  <c r="T8" i="48"/>
  <c r="E6" i="48" s="1"/>
  <c r="T6" i="49"/>
  <c r="V7" i="46"/>
  <c r="V11" i="46" s="1"/>
  <c r="V19" i="46" s="1"/>
  <c r="G18" i="39" s="1"/>
  <c r="H18" i="39" s="1"/>
  <c r="M12" i="39"/>
  <c r="V17" i="47"/>
  <c r="V20" i="49"/>
  <c r="V12" i="48"/>
  <c r="V20" i="48" s="1"/>
  <c r="G20" i="39" s="1"/>
  <c r="H20" i="39" s="1"/>
  <c r="V11" i="47"/>
  <c r="V18" i="47" s="1"/>
  <c r="G19" i="39" s="1"/>
  <c r="H19" i="39" s="1"/>
  <c r="N25" i="39"/>
  <c r="P25" i="39" s="1"/>
  <c r="R25" i="39" s="1"/>
  <c r="N11" i="28"/>
  <c r="N12" i="28" s="1"/>
  <c r="N13" i="28" s="1"/>
  <c r="N14" i="28" s="1"/>
  <c r="N15" i="28" s="1"/>
  <c r="N16" i="28" s="1"/>
  <c r="N17" i="28" s="1"/>
  <c r="N15" i="29"/>
  <c r="N11" i="29"/>
  <c r="N16" i="29" s="1"/>
  <c r="G6" i="47"/>
  <c r="G6" i="45"/>
  <c r="E6" i="45" s="1"/>
  <c r="V3" i="49"/>
  <c r="G6" i="49"/>
  <c r="E6" i="49" l="1"/>
  <c r="V6" i="49"/>
  <c r="V9" i="49" s="1"/>
  <c r="V15" i="49" s="1"/>
  <c r="L13" i="49" s="1"/>
  <c r="L14" i="49" s="1"/>
  <c r="H17" i="39"/>
  <c r="N17" i="39"/>
  <c r="P17" i="39" s="1"/>
  <c r="N19" i="39"/>
  <c r="P19" i="39" s="1"/>
  <c r="R19" i="39" s="1"/>
  <c r="N18" i="39"/>
  <c r="P18" i="39" s="1"/>
  <c r="R18" i="39" s="1"/>
  <c r="N20" i="39"/>
  <c r="P20" i="39" s="1"/>
  <c r="R20" i="39" s="1"/>
  <c r="N24" i="39"/>
  <c r="P24" i="39" s="1"/>
  <c r="R24" i="39" s="1"/>
  <c r="O25" i="39"/>
  <c r="Q20" i="39" l="1"/>
  <c r="Q19" i="39"/>
  <c r="Q18" i="39"/>
  <c r="O20" i="39"/>
  <c r="O17" i="39"/>
  <c r="G11" i="39"/>
  <c r="V21" i="49"/>
  <c r="V27" i="49" s="1"/>
  <c r="Q25" i="39"/>
  <c r="S25" i="39"/>
  <c r="T25" i="39" s="1"/>
  <c r="O19" i="39"/>
  <c r="O24" i="39"/>
  <c r="O18" i="39"/>
  <c r="H21" i="44"/>
  <c r="V19" i="44"/>
  <c r="V18" i="44"/>
  <c r="V17" i="44"/>
  <c r="V16" i="44"/>
  <c r="N15" i="44"/>
  <c r="N16" i="44" s="1"/>
  <c r="N17" i="44" s="1"/>
  <c r="N18" i="44" s="1"/>
  <c r="N19" i="44" s="1"/>
  <c r="N20" i="44" s="1"/>
  <c r="T11" i="44"/>
  <c r="V11" i="44" s="1"/>
  <c r="L11" i="44"/>
  <c r="V10" i="44"/>
  <c r="V9" i="44"/>
  <c r="L9" i="44"/>
  <c r="L8" i="44"/>
  <c r="L7" i="44"/>
  <c r="L6" i="44"/>
  <c r="F6" i="44"/>
  <c r="F16" i="39" s="1"/>
  <c r="I16" i="39" s="1"/>
  <c r="L5" i="44"/>
  <c r="K5" i="44"/>
  <c r="K7" i="44" s="1"/>
  <c r="K11" i="44" s="1"/>
  <c r="H5" i="44"/>
  <c r="H6" i="44" s="1"/>
  <c r="H7" i="44" s="1"/>
  <c r="H8" i="44" s="1"/>
  <c r="H9" i="44" s="1"/>
  <c r="H10" i="44" s="1"/>
  <c r="H11" i="44" s="1"/>
  <c r="N4" i="44"/>
  <c r="N5" i="44" s="1"/>
  <c r="N6" i="44" s="1"/>
  <c r="N7" i="44" s="1"/>
  <c r="N8" i="44" s="1"/>
  <c r="N9" i="44" s="1"/>
  <c r="N10" i="44" s="1"/>
  <c r="N11" i="44" s="1"/>
  <c r="N12" i="44" s="1"/>
  <c r="L4" i="44"/>
  <c r="K4" i="44"/>
  <c r="V19" i="43"/>
  <c r="V18" i="43"/>
  <c r="V17" i="43"/>
  <c r="V16" i="43"/>
  <c r="N15" i="43"/>
  <c r="N16" i="43" s="1"/>
  <c r="N17" i="43" s="1"/>
  <c r="N18" i="43" s="1"/>
  <c r="N19" i="43" s="1"/>
  <c r="N20" i="43" s="1"/>
  <c r="T11" i="43"/>
  <c r="V11" i="43" s="1"/>
  <c r="L11" i="43"/>
  <c r="V10" i="43"/>
  <c r="V9" i="43"/>
  <c r="L9" i="43"/>
  <c r="L8" i="43"/>
  <c r="L7" i="43"/>
  <c r="L6" i="43"/>
  <c r="F6" i="43"/>
  <c r="F15" i="39" s="1"/>
  <c r="L5" i="43"/>
  <c r="K5" i="43"/>
  <c r="K7" i="43" s="1"/>
  <c r="H5" i="43"/>
  <c r="H6" i="43" s="1"/>
  <c r="H7" i="43" s="1"/>
  <c r="H8" i="43" s="1"/>
  <c r="H9" i="43" s="1"/>
  <c r="H10" i="43" s="1"/>
  <c r="H11" i="43" s="1"/>
  <c r="N4" i="43"/>
  <c r="N5" i="43" s="1"/>
  <c r="N6" i="43" s="1"/>
  <c r="N7" i="43" s="1"/>
  <c r="N8" i="43" s="1"/>
  <c r="N9" i="43" s="1"/>
  <c r="N10" i="43" s="1"/>
  <c r="N11" i="43" s="1"/>
  <c r="N12" i="43" s="1"/>
  <c r="L4" i="43"/>
  <c r="K4" i="43"/>
  <c r="H20" i="42"/>
  <c r="V17" i="42"/>
  <c r="V16" i="42"/>
  <c r="V15" i="42"/>
  <c r="N14" i="42"/>
  <c r="N15" i="42" s="1"/>
  <c r="N16" i="42" s="1"/>
  <c r="N17" i="42" s="1"/>
  <c r="N18" i="42" s="1"/>
  <c r="T10" i="42"/>
  <c r="V10" i="42" s="1"/>
  <c r="V9" i="42"/>
  <c r="V8" i="42"/>
  <c r="L8" i="42"/>
  <c r="L6" i="42"/>
  <c r="F6" i="42"/>
  <c r="F14" i="39" s="1"/>
  <c r="L5" i="42"/>
  <c r="K5" i="42"/>
  <c r="K7" i="42" s="1"/>
  <c r="K10" i="42" s="1"/>
  <c r="N4" i="42"/>
  <c r="N5" i="42" s="1"/>
  <c r="N6" i="42" s="1"/>
  <c r="N7" i="42" s="1"/>
  <c r="N8" i="42" s="1"/>
  <c r="N9" i="42" s="1"/>
  <c r="N10" i="42" s="1"/>
  <c r="N11" i="42" s="1"/>
  <c r="L4" i="42"/>
  <c r="K4" i="42"/>
  <c r="A15" i="39"/>
  <c r="A16" i="39" s="1"/>
  <c r="A17" i="39" s="1"/>
  <c r="A18" i="39" s="1"/>
  <c r="K6" i="42" l="1"/>
  <c r="J10" i="42" s="1"/>
  <c r="R3" i="42"/>
  <c r="T3" i="42" s="1"/>
  <c r="G12" i="39"/>
  <c r="S19" i="39"/>
  <c r="T19" i="39" s="1"/>
  <c r="S20" i="39"/>
  <c r="T20" i="39" s="1"/>
  <c r="S24" i="39"/>
  <c r="T24" i="39" s="1"/>
  <c r="Q24" i="39"/>
  <c r="S17" i="39"/>
  <c r="T17" i="39" s="1"/>
  <c r="S18" i="39"/>
  <c r="T18" i="39" s="1"/>
  <c r="H11" i="39"/>
  <c r="N11" i="39"/>
  <c r="P11" i="39" s="1"/>
  <c r="R11" i="39" s="1"/>
  <c r="K8" i="43"/>
  <c r="R7" i="43" s="1"/>
  <c r="T7" i="43" s="1"/>
  <c r="V7" i="43" s="1"/>
  <c r="K11" i="43"/>
  <c r="R3" i="43"/>
  <c r="T3" i="43" s="1"/>
  <c r="K15" i="39"/>
  <c r="I15" i="39"/>
  <c r="L15" i="39"/>
  <c r="J15" i="39"/>
  <c r="K14" i="39"/>
  <c r="L14" i="39"/>
  <c r="J14" i="39"/>
  <c r="I14" i="39"/>
  <c r="J16" i="39"/>
  <c r="M16" i="39" s="1"/>
  <c r="K16" i="39"/>
  <c r="L16" i="39"/>
  <c r="R3" i="44"/>
  <c r="T3" i="44" s="1"/>
  <c r="R4" i="44"/>
  <c r="R15" i="44" s="1"/>
  <c r="V15" i="44" s="1"/>
  <c r="A19" i="39"/>
  <c r="A20" i="39" s="1"/>
  <c r="A23" i="39" s="1"/>
  <c r="A24" i="39" s="1"/>
  <c r="A25" i="39" s="1"/>
  <c r="A26" i="39" s="1"/>
  <c r="A27" i="39" s="1"/>
  <c r="A21" i="39"/>
  <c r="A22" i="39" s="1"/>
  <c r="K9" i="44"/>
  <c r="K8" i="44"/>
  <c r="R4" i="43"/>
  <c r="K9" i="43"/>
  <c r="K8" i="42"/>
  <c r="R6" i="42" s="1"/>
  <c r="R4" i="42"/>
  <c r="A5" i="39"/>
  <c r="A6" i="39" s="1"/>
  <c r="A7" i="39" s="1"/>
  <c r="A8" i="39" s="1"/>
  <c r="A9" i="39" s="1"/>
  <c r="A10" i="39" s="1"/>
  <c r="A11" i="39" s="1"/>
  <c r="A12" i="39" s="1"/>
  <c r="R6" i="43" l="1"/>
  <c r="T6" i="43" s="1"/>
  <c r="V6" i="43" s="1"/>
  <c r="V3" i="42"/>
  <c r="T6" i="42"/>
  <c r="V6" i="42" s="1"/>
  <c r="R13" i="42"/>
  <c r="V13" i="42" s="1"/>
  <c r="T4" i="42"/>
  <c r="V4" i="42" s="1"/>
  <c r="N12" i="39"/>
  <c r="P12" i="39" s="1"/>
  <c r="R12" i="39" s="1"/>
  <c r="Q12" i="39" s="1"/>
  <c r="H12" i="39"/>
  <c r="Q11" i="39"/>
  <c r="O11" i="39"/>
  <c r="M15" i="39"/>
  <c r="M14" i="39"/>
  <c r="T4" i="44"/>
  <c r="V4" i="44" s="1"/>
  <c r="R5" i="44"/>
  <c r="T5" i="44" s="1"/>
  <c r="V5" i="44" s="1"/>
  <c r="R14" i="43"/>
  <c r="V14" i="43" s="1"/>
  <c r="R7" i="44"/>
  <c r="R6" i="44"/>
  <c r="T6" i="44" s="1"/>
  <c r="V6" i="44" s="1"/>
  <c r="V3" i="44"/>
  <c r="R15" i="43"/>
  <c r="V15" i="43" s="1"/>
  <c r="T4" i="43"/>
  <c r="V4" i="43" s="1"/>
  <c r="R5" i="43"/>
  <c r="T5" i="43" s="1"/>
  <c r="V5" i="43" s="1"/>
  <c r="V3" i="43"/>
  <c r="R14" i="42"/>
  <c r="V14" i="42" s="1"/>
  <c r="R5" i="42"/>
  <c r="T5" i="42" s="1"/>
  <c r="V5" i="42" s="1"/>
  <c r="R20" i="40"/>
  <c r="R24" i="40" s="1"/>
  <c r="V26" i="40"/>
  <c r="V25" i="40"/>
  <c r="N21" i="40"/>
  <c r="N22" i="40" s="1"/>
  <c r="N23" i="40" s="1"/>
  <c r="N24" i="40" s="1"/>
  <c r="N25" i="40" s="1"/>
  <c r="N26" i="40" s="1"/>
  <c r="T19" i="40"/>
  <c r="T7" i="42" l="1"/>
  <c r="V7" i="42"/>
  <c r="V20" i="43"/>
  <c r="V8" i="43"/>
  <c r="V12" i="43"/>
  <c r="V21" i="43" s="1"/>
  <c r="T8" i="44"/>
  <c r="V18" i="42"/>
  <c r="T8" i="43"/>
  <c r="E6" i="43" s="1"/>
  <c r="V11" i="42"/>
  <c r="O12" i="39"/>
  <c r="S12" i="39"/>
  <c r="T12" i="39" s="1"/>
  <c r="S11" i="39"/>
  <c r="T11" i="39" s="1"/>
  <c r="U11" i="39"/>
  <c r="G6" i="43"/>
  <c r="T7" i="44"/>
  <c r="R14" i="44"/>
  <c r="V14" i="44" s="1"/>
  <c r="V20" i="44" s="1"/>
  <c r="G6" i="42"/>
  <c r="N27" i="40"/>
  <c r="V19" i="40"/>
  <c r="T20" i="40"/>
  <c r="V20" i="40" s="1"/>
  <c r="V24" i="40"/>
  <c r="V27" i="40" s="1"/>
  <c r="V8" i="8"/>
  <c r="V19" i="42" l="1"/>
  <c r="G14" i="39" s="1"/>
  <c r="V21" i="40"/>
  <c r="V22" i="40"/>
  <c r="V28" i="40" s="1"/>
  <c r="T21" i="40"/>
  <c r="S21" i="40" s="1"/>
  <c r="E6" i="42"/>
  <c r="G15" i="39"/>
  <c r="V7" i="44"/>
  <c r="G6" i="44"/>
  <c r="E6" i="44" s="1"/>
  <c r="G22" i="39"/>
  <c r="H22" i="39" s="1"/>
  <c r="K6" i="40"/>
  <c r="V8" i="40"/>
  <c r="L8" i="40"/>
  <c r="K5" i="40"/>
  <c r="K4" i="40"/>
  <c r="J8" i="40" s="1"/>
  <c r="V14" i="40"/>
  <c r="V13" i="40"/>
  <c r="F6" i="40"/>
  <c r="F21" i="39" s="1"/>
  <c r="I21" i="39" s="1"/>
  <c r="N4" i="40"/>
  <c r="N5" i="40" s="1"/>
  <c r="N7" i="40" s="1"/>
  <c r="N8" i="40" s="1"/>
  <c r="N9" i="40" s="1"/>
  <c r="N10" i="40" s="1"/>
  <c r="N11" i="40" s="1"/>
  <c r="N12" i="40" s="1"/>
  <c r="N13" i="40" s="1"/>
  <c r="N14" i="40" s="1"/>
  <c r="N15" i="40" s="1"/>
  <c r="F6" i="24"/>
  <c r="F23" i="39" s="1"/>
  <c r="I23" i="39" s="1"/>
  <c r="F6" i="18"/>
  <c r="F6" i="17"/>
  <c r="F26" i="39" s="1"/>
  <c r="I26" i="39" s="1"/>
  <c r="F6" i="23"/>
  <c r="F10" i="39" s="1"/>
  <c r="F6" i="33"/>
  <c r="F9" i="39" s="1"/>
  <c r="F6" i="14"/>
  <c r="F8" i="39" s="1"/>
  <c r="F6" i="13"/>
  <c r="F6" i="10"/>
  <c r="F6" i="39" s="1"/>
  <c r="F5" i="39"/>
  <c r="F6" i="8"/>
  <c r="F4" i="39" s="1"/>
  <c r="F7" i="39" l="1"/>
  <c r="I7" i="39" s="1"/>
  <c r="F27" i="39"/>
  <c r="I27" i="39" s="1"/>
  <c r="L14" i="18"/>
  <c r="L15" i="18"/>
  <c r="N14" i="39"/>
  <c r="P14" i="39" s="1"/>
  <c r="R14" i="39" s="1"/>
  <c r="H14" i="39"/>
  <c r="V8" i="44"/>
  <c r="V12" i="44"/>
  <c r="V21" i="44" s="1"/>
  <c r="Q14" i="39"/>
  <c r="N22" i="39"/>
  <c r="P22" i="39" s="1"/>
  <c r="R22" i="39" s="1"/>
  <c r="O14" i="39"/>
  <c r="H15" i="39"/>
  <c r="N15" i="39"/>
  <c r="P15" i="39" s="1"/>
  <c r="R15" i="39" s="1"/>
  <c r="J23" i="39"/>
  <c r="K23" i="39"/>
  <c r="L23" i="39"/>
  <c r="L26" i="39"/>
  <c r="K26" i="39"/>
  <c r="J26" i="39"/>
  <c r="M26" i="39" s="1"/>
  <c r="K8" i="40"/>
  <c r="R6" i="40"/>
  <c r="T6" i="40" s="1"/>
  <c r="V6" i="40" s="1"/>
  <c r="J21" i="39"/>
  <c r="K21" i="39"/>
  <c r="L21" i="39"/>
  <c r="G16" i="39"/>
  <c r="I10" i="39"/>
  <c r="L10" i="39"/>
  <c r="J10" i="39"/>
  <c r="K10" i="39"/>
  <c r="I9" i="39"/>
  <c r="J9" i="39"/>
  <c r="K9" i="39"/>
  <c r="L9" i="39"/>
  <c r="K8" i="39"/>
  <c r="I8" i="39"/>
  <c r="J8" i="39"/>
  <c r="L8" i="39"/>
  <c r="J6" i="39"/>
  <c r="I6" i="39"/>
  <c r="K6" i="39"/>
  <c r="L6" i="39"/>
  <c r="I5" i="39"/>
  <c r="J5" i="39"/>
  <c r="K5" i="39"/>
  <c r="L5" i="39"/>
  <c r="K4" i="39"/>
  <c r="L4" i="39"/>
  <c r="J4" i="39"/>
  <c r="I4" i="39"/>
  <c r="R3" i="40"/>
  <c r="R4" i="40"/>
  <c r="T4" i="40" s="1"/>
  <c r="V4" i="40" s="1"/>
  <c r="V9" i="40"/>
  <c r="L27" i="39" l="1"/>
  <c r="J27" i="39"/>
  <c r="K27" i="39"/>
  <c r="L7" i="39"/>
  <c r="K7" i="39"/>
  <c r="J7" i="39"/>
  <c r="M4" i="39"/>
  <c r="M6" i="39"/>
  <c r="M5" i="39"/>
  <c r="N16" i="39"/>
  <c r="P16" i="39" s="1"/>
  <c r="H16" i="39"/>
  <c r="Q15" i="39"/>
  <c r="M23" i="39"/>
  <c r="O15" i="39"/>
  <c r="O22" i="39"/>
  <c r="M8" i="39"/>
  <c r="S14" i="39"/>
  <c r="T14" i="39" s="1"/>
  <c r="M27" i="39"/>
  <c r="M21" i="39"/>
  <c r="M10" i="39"/>
  <c r="M9" i="39"/>
  <c r="M7" i="39"/>
  <c r="R12" i="40"/>
  <c r="R5" i="40"/>
  <c r="T3" i="40"/>
  <c r="O16" i="39" l="1"/>
  <c r="R16" i="39"/>
  <c r="S15" i="39"/>
  <c r="T15" i="39" s="1"/>
  <c r="Q22" i="39"/>
  <c r="S22" i="39"/>
  <c r="T22" i="39" s="1"/>
  <c r="T5" i="40"/>
  <c r="G6" i="40" s="1"/>
  <c r="V12" i="40"/>
  <c r="V15" i="40" s="1"/>
  <c r="V3" i="40"/>
  <c r="K4" i="8"/>
  <c r="T7" i="40" l="1"/>
  <c r="E6" i="40" s="1"/>
  <c r="S16" i="39"/>
  <c r="T16" i="39" s="1"/>
  <c r="Q16" i="39"/>
  <c r="U14" i="39" s="1"/>
  <c r="V5" i="40"/>
  <c r="V7" i="40" s="1"/>
  <c r="V10" i="40" l="1"/>
  <c r="V16" i="40" s="1"/>
  <c r="G21" i="39"/>
  <c r="H21" i="39" s="1"/>
  <c r="N21" i="39" l="1"/>
  <c r="P21" i="39" s="1"/>
  <c r="R21" i="39" s="1"/>
  <c r="V16" i="18"/>
  <c r="V15" i="18"/>
  <c r="V14" i="18"/>
  <c r="N14" i="18"/>
  <c r="N15" i="18" s="1"/>
  <c r="N16" i="18" s="1"/>
  <c r="N17" i="18" s="1"/>
  <c r="V8" i="18"/>
  <c r="N4" i="18"/>
  <c r="N5" i="18" s="1"/>
  <c r="N6" i="18" s="1"/>
  <c r="N7" i="18" s="1"/>
  <c r="N8" i="18" s="1"/>
  <c r="N9" i="18" s="1"/>
  <c r="N10" i="18" s="1"/>
  <c r="N11" i="18" s="1"/>
  <c r="V17" i="10"/>
  <c r="O21" i="39" l="1"/>
  <c r="T10" i="23"/>
  <c r="T11" i="23" s="1"/>
  <c r="V11" i="23" s="1"/>
  <c r="V9" i="23"/>
  <c r="N15" i="23"/>
  <c r="N16" i="23" s="1"/>
  <c r="N17" i="23" s="1"/>
  <c r="N18" i="23" s="1"/>
  <c r="T10" i="8"/>
  <c r="T11" i="20"/>
  <c r="T11" i="10"/>
  <c r="T9" i="13"/>
  <c r="T10" i="14"/>
  <c r="V10" i="14" s="1"/>
  <c r="T10" i="33"/>
  <c r="H5" i="14"/>
  <c r="H6" i="14" s="1"/>
  <c r="H7" i="14" s="1"/>
  <c r="H8" i="14" s="1"/>
  <c r="H9" i="14" s="1"/>
  <c r="H10" i="14" s="1"/>
  <c r="Q21" i="39" l="1"/>
  <c r="U21" i="39" s="1"/>
  <c r="S21" i="39"/>
  <c r="T21" i="39" s="1"/>
  <c r="V10" i="23"/>
  <c r="K6" i="13"/>
  <c r="K7" i="13"/>
  <c r="H21" i="10"/>
  <c r="H5" i="10"/>
  <c r="H6" i="10" s="1"/>
  <c r="H7" i="10" s="1"/>
  <c r="H8" i="10" s="1"/>
  <c r="H9" i="10" s="1"/>
  <c r="H10" i="10" s="1"/>
  <c r="H11" i="10" s="1"/>
  <c r="V20" i="24" l="1"/>
  <c r="V19" i="24"/>
  <c r="N20" i="24"/>
  <c r="N21" i="24" s="1"/>
  <c r="N4" i="24"/>
  <c r="N5" i="24" s="1"/>
  <c r="N6" i="24" s="1"/>
  <c r="V15" i="17"/>
  <c r="V14" i="17"/>
  <c r="V13" i="17"/>
  <c r="N13" i="17"/>
  <c r="N14" i="17" s="1"/>
  <c r="N15" i="17" s="1"/>
  <c r="N16" i="17" s="1"/>
  <c r="V8" i="17"/>
  <c r="V7" i="17"/>
  <c r="N4" i="17"/>
  <c r="N5" i="17" s="1"/>
  <c r="N6" i="17" s="1"/>
  <c r="N7" i="17" s="1"/>
  <c r="N8" i="17" s="1"/>
  <c r="N9" i="17" s="1"/>
  <c r="N10" i="17" s="1"/>
  <c r="V18" i="23"/>
  <c r="V17" i="23"/>
  <c r="V16" i="23"/>
  <c r="N19" i="23"/>
  <c r="N4" i="23"/>
  <c r="N5" i="23" s="1"/>
  <c r="N6" i="23" s="1"/>
  <c r="N7" i="23" s="1"/>
  <c r="N8" i="23" s="1"/>
  <c r="N9" i="23" s="1"/>
  <c r="N10" i="23" s="1"/>
  <c r="N11" i="23" s="1"/>
  <c r="N12" i="23" s="1"/>
  <c r="V16" i="33"/>
  <c r="V15" i="33"/>
  <c r="N14" i="33"/>
  <c r="N16" i="33" s="1"/>
  <c r="N17" i="33" s="1"/>
  <c r="V10" i="33"/>
  <c r="V9" i="33"/>
  <c r="V8" i="33"/>
  <c r="N4" i="33"/>
  <c r="N5" i="33" s="1"/>
  <c r="N6" i="33" s="1"/>
  <c r="N7" i="33" s="1"/>
  <c r="N8" i="33" s="1"/>
  <c r="N9" i="33" s="1"/>
  <c r="N10" i="33" s="1"/>
  <c r="N11" i="33" s="1"/>
  <c r="V17" i="14"/>
  <c r="V16" i="14"/>
  <c r="V15" i="14"/>
  <c r="N14" i="14"/>
  <c r="N15" i="14" s="1"/>
  <c r="N16" i="14" s="1"/>
  <c r="N17" i="14" s="1"/>
  <c r="N18" i="14" s="1"/>
  <c r="V9" i="14"/>
  <c r="V8" i="14"/>
  <c r="N4" i="14"/>
  <c r="N5" i="14" s="1"/>
  <c r="N6" i="14" s="1"/>
  <c r="N7" i="14" s="1"/>
  <c r="N8" i="14" s="1"/>
  <c r="N9" i="14" s="1"/>
  <c r="N10" i="14" s="1"/>
  <c r="N11" i="14" s="1"/>
  <c r="V15" i="13"/>
  <c r="V14" i="13"/>
  <c r="N13" i="13"/>
  <c r="N14" i="13" s="1"/>
  <c r="N15" i="13" s="1"/>
  <c r="N16" i="13" s="1"/>
  <c r="V9" i="13"/>
  <c r="V8" i="13"/>
  <c r="V7" i="13"/>
  <c r="N4" i="13"/>
  <c r="N5" i="13" s="1"/>
  <c r="N6" i="13" s="1"/>
  <c r="N7" i="13" s="1"/>
  <c r="N8" i="13" s="1"/>
  <c r="N9" i="13" s="1"/>
  <c r="N10" i="13" s="1"/>
  <c r="N7" i="24" l="1"/>
  <c r="N8" i="24" l="1"/>
  <c r="N12" i="24"/>
  <c r="V17" i="20"/>
  <c r="H5" i="20"/>
  <c r="H6" i="20" s="1"/>
  <c r="H7" i="20" s="1"/>
  <c r="H8" i="20" s="1"/>
  <c r="H9" i="20" s="1"/>
  <c r="H10" i="20" s="1"/>
  <c r="H11" i="20" s="1"/>
  <c r="V19" i="10"/>
  <c r="V18" i="10"/>
  <c r="V16" i="10"/>
  <c r="N15" i="10"/>
  <c r="N16" i="10" s="1"/>
  <c r="V11" i="10"/>
  <c r="V10" i="10"/>
  <c r="V9" i="10"/>
  <c r="N4" i="10"/>
  <c r="N5" i="10" s="1"/>
  <c r="N6" i="10" s="1"/>
  <c r="N7" i="10" s="1"/>
  <c r="N8" i="10" s="1"/>
  <c r="N9" i="10" s="1"/>
  <c r="N10" i="10" s="1"/>
  <c r="N11" i="10" s="1"/>
  <c r="N12" i="10" s="1"/>
  <c r="V19" i="20"/>
  <c r="V18" i="20"/>
  <c r="V16" i="20"/>
  <c r="N15" i="20"/>
  <c r="N16" i="20" s="1"/>
  <c r="N17" i="20" s="1"/>
  <c r="N18" i="20" s="1"/>
  <c r="N19" i="20" s="1"/>
  <c r="N20" i="20" s="1"/>
  <c r="V11" i="20"/>
  <c r="V10" i="20"/>
  <c r="V9" i="20"/>
  <c r="N4" i="20"/>
  <c r="N5" i="20" s="1"/>
  <c r="N6" i="20" s="1"/>
  <c r="N7" i="20" s="1"/>
  <c r="N8" i="20" s="1"/>
  <c r="N9" i="20" s="1"/>
  <c r="N10" i="20" s="1"/>
  <c r="N11" i="20" s="1"/>
  <c r="N12" i="20" s="1"/>
  <c r="N9" i="24" l="1"/>
  <c r="N13" i="24"/>
  <c r="N17" i="10"/>
  <c r="N18" i="10" s="1"/>
  <c r="N19" i="10" s="1"/>
  <c r="N20" i="10" s="1"/>
  <c r="N10" i="24" l="1"/>
  <c r="N14" i="24"/>
  <c r="H20" i="8"/>
  <c r="V16" i="8"/>
  <c r="V17" i="8"/>
  <c r="V15" i="8"/>
  <c r="N14" i="8"/>
  <c r="N15" i="8" s="1"/>
  <c r="N16" i="8" s="1"/>
  <c r="N17" i="8" s="1"/>
  <c r="N18" i="8" s="1"/>
  <c r="N4" i="8"/>
  <c r="N5" i="8" s="1"/>
  <c r="N6" i="8" s="1"/>
  <c r="N7" i="8" s="1"/>
  <c r="N8" i="8" s="1"/>
  <c r="N9" i="8" s="1"/>
  <c r="N10" i="8" s="1"/>
  <c r="N11" i="8" s="1"/>
  <c r="V9" i="8"/>
  <c r="V10" i="8"/>
  <c r="N11" i="24" l="1"/>
  <c r="N16" i="24" s="1"/>
  <c r="N15" i="24"/>
  <c r="K5" i="8"/>
  <c r="K7" i="8" s="1"/>
  <c r="R5" i="17" l="1"/>
  <c r="L9" i="20" l="1"/>
  <c r="J9" i="20"/>
  <c r="K7" i="23" l="1"/>
  <c r="K8" i="23"/>
  <c r="K9" i="23" s="1"/>
  <c r="K6" i="23"/>
  <c r="K6" i="20"/>
  <c r="K5" i="20"/>
  <c r="L8" i="20"/>
  <c r="K6" i="14"/>
  <c r="L6" i="14"/>
  <c r="J7" i="13"/>
  <c r="J6" i="13"/>
  <c r="L10" i="33"/>
  <c r="L7" i="33"/>
  <c r="L6" i="33"/>
  <c r="L8" i="33"/>
  <c r="K6" i="33"/>
  <c r="K8" i="33"/>
  <c r="J8" i="33"/>
  <c r="K7" i="33"/>
  <c r="J7" i="33"/>
  <c r="J6" i="33"/>
  <c r="L5" i="33"/>
  <c r="K5" i="33"/>
  <c r="J5" i="33"/>
  <c r="L4" i="33"/>
  <c r="K4" i="33"/>
  <c r="J4" i="33"/>
  <c r="K7" i="14"/>
  <c r="L8" i="14"/>
  <c r="L11" i="20"/>
  <c r="L4" i="14"/>
  <c r="K5" i="14"/>
  <c r="L8" i="8"/>
  <c r="L9" i="10"/>
  <c r="J9" i="10"/>
  <c r="L5" i="24"/>
  <c r="L4" i="24"/>
  <c r="K4" i="24"/>
  <c r="L10" i="24"/>
  <c r="L6" i="24"/>
  <c r="K6" i="24"/>
  <c r="L10" i="18"/>
  <c r="L7" i="18"/>
  <c r="L6" i="18"/>
  <c r="L8" i="18"/>
  <c r="L6" i="23"/>
  <c r="J6" i="23"/>
  <c r="L9" i="23"/>
  <c r="L11" i="23"/>
  <c r="J9" i="23"/>
  <c r="L8" i="23"/>
  <c r="J8" i="23"/>
  <c r="L7" i="23"/>
  <c r="J7" i="23"/>
  <c r="L5" i="23"/>
  <c r="K5" i="23"/>
  <c r="J5" i="23"/>
  <c r="L4" i="23"/>
  <c r="K4" i="23"/>
  <c r="J4" i="23"/>
  <c r="K6" i="10"/>
  <c r="K4" i="10"/>
  <c r="K5" i="10"/>
  <c r="L7" i="14"/>
  <c r="L7" i="17"/>
  <c r="L6" i="17"/>
  <c r="R4" i="17" s="1"/>
  <c r="R12" i="17" s="1"/>
  <c r="L9" i="17"/>
  <c r="L10" i="14"/>
  <c r="J8" i="10"/>
  <c r="J8" i="20"/>
  <c r="L7" i="20"/>
  <c r="L6" i="20"/>
  <c r="J7" i="20"/>
  <c r="J6" i="20"/>
  <c r="L5" i="20"/>
  <c r="J5" i="20"/>
  <c r="L4" i="20"/>
  <c r="K4" i="20"/>
  <c r="J4" i="20"/>
  <c r="L5" i="18"/>
  <c r="K5" i="18"/>
  <c r="L4" i="18"/>
  <c r="K4" i="18"/>
  <c r="L5" i="17"/>
  <c r="K5" i="17"/>
  <c r="L4" i="17"/>
  <c r="K4" i="17"/>
  <c r="J8" i="14"/>
  <c r="J7" i="14"/>
  <c r="J6" i="14"/>
  <c r="L5" i="14"/>
  <c r="J5" i="14"/>
  <c r="K4" i="14"/>
  <c r="J4" i="14"/>
  <c r="L9" i="13"/>
  <c r="L7" i="13"/>
  <c r="L6" i="13"/>
  <c r="R4" i="13" s="1"/>
  <c r="J9" i="13"/>
  <c r="L11" i="13" s="1"/>
  <c r="L5" i="13"/>
  <c r="K5" i="13"/>
  <c r="J5" i="13"/>
  <c r="L4" i="13"/>
  <c r="K4" i="13"/>
  <c r="J4" i="13"/>
  <c r="L11" i="10"/>
  <c r="L8" i="10"/>
  <c r="L7" i="10"/>
  <c r="J7" i="10"/>
  <c r="L6" i="10"/>
  <c r="J6" i="10"/>
  <c r="L5" i="10"/>
  <c r="J5" i="10"/>
  <c r="L4" i="10"/>
  <c r="J4" i="10"/>
  <c r="L7" i="8"/>
  <c r="L6" i="8"/>
  <c r="L5" i="8"/>
  <c r="L4" i="8"/>
  <c r="K5" i="24" l="1"/>
  <c r="R9" i="24"/>
  <c r="T9" i="24" s="1"/>
  <c r="V9" i="24" s="1"/>
  <c r="R4" i="24"/>
  <c r="R3" i="24"/>
  <c r="R10" i="24"/>
  <c r="T10" i="24" s="1"/>
  <c r="V10" i="24" s="1"/>
  <c r="R3" i="17"/>
  <c r="T3" i="17" s="1"/>
  <c r="R3" i="8"/>
  <c r="T3" i="8" s="1"/>
  <c r="R4" i="18"/>
  <c r="R3" i="18"/>
  <c r="T3" i="18" s="1"/>
  <c r="K8" i="18"/>
  <c r="R6" i="18" s="1"/>
  <c r="T6" i="18" s="1"/>
  <c r="V6" i="18" s="1"/>
  <c r="R5" i="18"/>
  <c r="T5" i="18" s="1"/>
  <c r="V5" i="18" s="1"/>
  <c r="R6" i="33"/>
  <c r="T6" i="33" s="1"/>
  <c r="V6" i="33" s="1"/>
  <c r="T8" i="24"/>
  <c r="V8" i="24" s="1"/>
  <c r="T7" i="24"/>
  <c r="V7" i="24" s="1"/>
  <c r="V12" i="17"/>
  <c r="V16" i="17" s="1"/>
  <c r="T5" i="17"/>
  <c r="V5" i="17" s="1"/>
  <c r="K7" i="20"/>
  <c r="K8" i="20" s="1"/>
  <c r="R7" i="20" s="1"/>
  <c r="T7" i="20" s="1"/>
  <c r="V7" i="20" s="1"/>
  <c r="R3" i="20"/>
  <c r="T3" i="20" s="1"/>
  <c r="R3" i="23"/>
  <c r="R7" i="23"/>
  <c r="T7" i="23" s="1"/>
  <c r="V7" i="23" s="1"/>
  <c r="R6" i="23"/>
  <c r="T6" i="23" s="1"/>
  <c r="V6" i="23" s="1"/>
  <c r="R4" i="23"/>
  <c r="J11" i="23"/>
  <c r="R3" i="33"/>
  <c r="J10" i="33"/>
  <c r="R4" i="33"/>
  <c r="K10" i="33"/>
  <c r="J10" i="14"/>
  <c r="R4" i="14"/>
  <c r="R3" i="14"/>
  <c r="K8" i="14"/>
  <c r="R6" i="14" s="1"/>
  <c r="R3" i="13"/>
  <c r="R12" i="13" s="1"/>
  <c r="V12" i="13" s="1"/>
  <c r="K7" i="10"/>
  <c r="R4" i="10" s="1"/>
  <c r="R3" i="10"/>
  <c r="K6" i="8"/>
  <c r="J10" i="8" s="1"/>
  <c r="J11" i="10"/>
  <c r="K10" i="8"/>
  <c r="K11" i="23"/>
  <c r="K9" i="13"/>
  <c r="J11" i="20"/>
  <c r="K9" i="20"/>
  <c r="R6" i="20" s="1"/>
  <c r="T6" i="20" s="1"/>
  <c r="V6" i="20" s="1"/>
  <c r="K9" i="10"/>
  <c r="K10" i="14"/>
  <c r="K21" i="8" l="1"/>
  <c r="V3" i="8"/>
  <c r="R11" i="24"/>
  <c r="T11" i="24" s="1"/>
  <c r="V11" i="24" s="1"/>
  <c r="R5" i="24"/>
  <c r="T5" i="24" s="1"/>
  <c r="V5" i="24" s="1"/>
  <c r="R13" i="18"/>
  <c r="V13" i="18" s="1"/>
  <c r="V17" i="18" s="1"/>
  <c r="T4" i="18"/>
  <c r="V4" i="18" s="1"/>
  <c r="V3" i="18"/>
  <c r="V3" i="20"/>
  <c r="V3" i="17"/>
  <c r="T6" i="14"/>
  <c r="V6" i="14" s="1"/>
  <c r="T6" i="24"/>
  <c r="V6" i="24" s="1"/>
  <c r="V18" i="24"/>
  <c r="V21" i="24" s="1"/>
  <c r="T4" i="24"/>
  <c r="V4" i="24" s="1"/>
  <c r="T3" i="24"/>
  <c r="T4" i="17"/>
  <c r="V4" i="17" s="1"/>
  <c r="R5" i="23"/>
  <c r="T5" i="23" s="1"/>
  <c r="V5" i="23" s="1"/>
  <c r="R15" i="23"/>
  <c r="V15" i="23" s="1"/>
  <c r="R14" i="23"/>
  <c r="V14" i="23" s="1"/>
  <c r="T3" i="23"/>
  <c r="T8" i="23" s="1"/>
  <c r="R13" i="33"/>
  <c r="V13" i="33" s="1"/>
  <c r="R13" i="14"/>
  <c r="V13" i="14" s="1"/>
  <c r="K11" i="20"/>
  <c r="R4" i="20"/>
  <c r="T4" i="20" s="1"/>
  <c r="V4" i="20" s="1"/>
  <c r="T4" i="23"/>
  <c r="V4" i="23" s="1"/>
  <c r="R14" i="33"/>
  <c r="V14" i="33" s="1"/>
  <c r="R5" i="33"/>
  <c r="T5" i="33" s="1"/>
  <c r="V5" i="33" s="1"/>
  <c r="T4" i="33"/>
  <c r="V4" i="33" s="1"/>
  <c r="T3" i="33"/>
  <c r="R14" i="14"/>
  <c r="V14" i="14" s="1"/>
  <c r="R5" i="14"/>
  <c r="T5" i="14" s="1"/>
  <c r="V5" i="14" s="1"/>
  <c r="T4" i="14"/>
  <c r="V4" i="14" s="1"/>
  <c r="T3" i="14"/>
  <c r="R13" i="13"/>
  <c r="V13" i="13" s="1"/>
  <c r="V16" i="13" s="1"/>
  <c r="T4" i="13"/>
  <c r="V4" i="13" s="1"/>
  <c r="R5" i="13"/>
  <c r="T5" i="13" s="1"/>
  <c r="V5" i="13" s="1"/>
  <c r="T3" i="13"/>
  <c r="K8" i="10"/>
  <c r="K11" i="10"/>
  <c r="T3" i="10"/>
  <c r="R5" i="10"/>
  <c r="T5" i="10" s="1"/>
  <c r="V5" i="10" s="1"/>
  <c r="R15" i="10"/>
  <c r="V15" i="10" s="1"/>
  <c r="T4" i="10"/>
  <c r="V4" i="10" s="1"/>
  <c r="R4" i="8"/>
  <c r="K8" i="8"/>
  <c r="R6" i="8" s="1"/>
  <c r="T7" i="18" l="1"/>
  <c r="V19" i="23"/>
  <c r="T7" i="14"/>
  <c r="V6" i="17"/>
  <c r="V10" i="17" s="1"/>
  <c r="V17" i="17" s="1"/>
  <c r="G26" i="39" s="1"/>
  <c r="H26" i="39" s="1"/>
  <c r="T6" i="17"/>
  <c r="V3" i="24"/>
  <c r="T12" i="24"/>
  <c r="V7" i="18"/>
  <c r="V11" i="18" s="1"/>
  <c r="V18" i="18" s="1"/>
  <c r="V18" i="14"/>
  <c r="T6" i="13"/>
  <c r="T7" i="33"/>
  <c r="V17" i="33"/>
  <c r="G6" i="18"/>
  <c r="T6" i="8"/>
  <c r="V6" i="8" s="1"/>
  <c r="R13" i="8"/>
  <c r="V13" i="8" s="1"/>
  <c r="T4" i="8"/>
  <c r="G6" i="24"/>
  <c r="G6" i="17"/>
  <c r="V3" i="23"/>
  <c r="G6" i="23"/>
  <c r="E6" i="23" s="1"/>
  <c r="V3" i="14"/>
  <c r="G6" i="14"/>
  <c r="E6" i="14" s="1"/>
  <c r="V3" i="13"/>
  <c r="G6" i="13"/>
  <c r="V3" i="10"/>
  <c r="V3" i="33"/>
  <c r="G6" i="33"/>
  <c r="E6" i="33" s="1"/>
  <c r="R15" i="20"/>
  <c r="V15" i="20" s="1"/>
  <c r="R6" i="10"/>
  <c r="T6" i="10" s="1"/>
  <c r="R7" i="10"/>
  <c r="R5" i="20"/>
  <c r="T5" i="20" s="1"/>
  <c r="V5" i="20" s="1"/>
  <c r="V8" i="20" s="1"/>
  <c r="V12" i="20" s="1"/>
  <c r="R14" i="20"/>
  <c r="V14" i="20" s="1"/>
  <c r="R14" i="8"/>
  <c r="V14" i="8" s="1"/>
  <c r="R5" i="8"/>
  <c r="E6" i="13" l="1"/>
  <c r="L16" i="18"/>
  <c r="E6" i="18"/>
  <c r="V18" i="8"/>
  <c r="V7" i="14"/>
  <c r="V11" i="14"/>
  <c r="V19" i="14" s="1"/>
  <c r="G8" i="39" s="1"/>
  <c r="V8" i="23"/>
  <c r="V12" i="23" s="1"/>
  <c r="V20" i="23" s="1"/>
  <c r="G10" i="39" s="1"/>
  <c r="T8" i="20"/>
  <c r="V7" i="33"/>
  <c r="V11" i="33" s="1"/>
  <c r="V18" i="33" s="1"/>
  <c r="G9" i="39" s="1"/>
  <c r="E6" i="24"/>
  <c r="V20" i="20"/>
  <c r="V21" i="20" s="1"/>
  <c r="V12" i="24"/>
  <c r="V16" i="24"/>
  <c r="V22" i="24" s="1"/>
  <c r="G23" i="39" s="1"/>
  <c r="H23" i="39" s="1"/>
  <c r="V6" i="13"/>
  <c r="V10" i="13" s="1"/>
  <c r="V17" i="13" s="1"/>
  <c r="V4" i="8"/>
  <c r="E6" i="17"/>
  <c r="N26" i="39"/>
  <c r="P26" i="39" s="1"/>
  <c r="R26" i="39" s="1"/>
  <c r="T5" i="8"/>
  <c r="G6" i="20"/>
  <c r="V6" i="10"/>
  <c r="T7" i="10"/>
  <c r="V7" i="10" s="1"/>
  <c r="V8" i="10" s="1"/>
  <c r="V12" i="10" s="1"/>
  <c r="V21" i="10" s="1"/>
  <c r="R14" i="10"/>
  <c r="V14" i="10" s="1"/>
  <c r="V20" i="10" s="1"/>
  <c r="G5" i="39" l="1"/>
  <c r="H5" i="39" s="1"/>
  <c r="G7" i="39"/>
  <c r="N7" i="39" s="1"/>
  <c r="P7" i="39" s="1"/>
  <c r="R7" i="39" s="1"/>
  <c r="G27" i="39"/>
  <c r="H10" i="39"/>
  <c r="N10" i="39"/>
  <c r="P10" i="39" s="1"/>
  <c r="R10" i="39" s="1"/>
  <c r="H8" i="39"/>
  <c r="N8" i="39"/>
  <c r="P8" i="39" s="1"/>
  <c r="R8" i="39" s="1"/>
  <c r="G6" i="8"/>
  <c r="V5" i="8"/>
  <c r="T7" i="8"/>
  <c r="N23" i="39"/>
  <c r="P23" i="39" s="1"/>
  <c r="R23" i="39" s="1"/>
  <c r="E6" i="20"/>
  <c r="T8" i="10"/>
  <c r="Q10" i="39"/>
  <c r="Q8" i="39"/>
  <c r="O26" i="39"/>
  <c r="H7" i="39"/>
  <c r="H9" i="39"/>
  <c r="N9" i="39"/>
  <c r="P9" i="39" s="1"/>
  <c r="R9" i="39" s="1"/>
  <c r="O8" i="39"/>
  <c r="O10" i="39"/>
  <c r="O23" i="39"/>
  <c r="G6" i="10"/>
  <c r="G6" i="39"/>
  <c r="H6" i="39" s="1"/>
  <c r="N5" i="39" l="1"/>
  <c r="P5" i="39" s="1"/>
  <c r="R5" i="39" s="1"/>
  <c r="S5" i="39" s="1"/>
  <c r="T5" i="39" s="1"/>
  <c r="H27" i="39"/>
  <c r="N27" i="39"/>
  <c r="P27" i="39" s="1"/>
  <c r="E6" i="8"/>
  <c r="V7" i="8"/>
  <c r="V11" i="8" s="1"/>
  <c r="V19" i="8" s="1"/>
  <c r="K23" i="8" s="1"/>
  <c r="K26" i="8" s="1"/>
  <c r="E6" i="10"/>
  <c r="Q9" i="39"/>
  <c r="Q7" i="39"/>
  <c r="O7" i="39"/>
  <c r="Q23" i="39"/>
  <c r="U23" i="39" s="1"/>
  <c r="S23" i="39"/>
  <c r="T23" i="39" s="1"/>
  <c r="O9" i="39"/>
  <c r="N6" i="39"/>
  <c r="P6" i="39" s="1"/>
  <c r="R6" i="39" s="1"/>
  <c r="S10" i="39"/>
  <c r="T10" i="39" s="1"/>
  <c r="S8" i="39"/>
  <c r="T8" i="39" s="1"/>
  <c r="Q26" i="39"/>
  <c r="S26" i="39"/>
  <c r="T26" i="39" s="1"/>
  <c r="Q5" i="39" l="1"/>
  <c r="O5" i="39"/>
  <c r="R27" i="39"/>
  <c r="O27" i="39"/>
  <c r="G4" i="39"/>
  <c r="H4" i="39" s="1"/>
  <c r="Q6" i="39"/>
  <c r="O6" i="39"/>
  <c r="S9" i="39"/>
  <c r="T9" i="39" s="1"/>
  <c r="S7" i="39"/>
  <c r="T7" i="39" s="1"/>
  <c r="N4" i="39" l="1"/>
  <c r="P4" i="39" s="1"/>
  <c r="R4" i="39" s="1"/>
  <c r="S27" i="39"/>
  <c r="T27" i="39" s="1"/>
  <c r="Q27" i="39"/>
  <c r="U26" i="39" s="1"/>
  <c r="L24" i="8"/>
  <c r="L25" i="8" s="1"/>
  <c r="K24" i="8"/>
  <c r="O4" i="39"/>
  <c r="S6" i="39"/>
  <c r="T6" i="39" s="1"/>
  <c r="U7" i="39"/>
  <c r="S4" i="39" l="1"/>
  <c r="T4" i="39" s="1"/>
  <c r="Q4" i="39"/>
  <c r="U4" i="39" s="1"/>
</calcChain>
</file>

<file path=xl/sharedStrings.xml><?xml version="1.0" encoding="utf-8"?>
<sst xmlns="http://schemas.openxmlformats.org/spreadsheetml/2006/main" count="1414" uniqueCount="165">
  <si>
    <t>W</t>
  </si>
  <si>
    <t>H</t>
  </si>
  <si>
    <t>Số lượng</t>
  </si>
  <si>
    <t>Mã</t>
  </si>
  <si>
    <t>Tên</t>
  </si>
  <si>
    <t>Kích thước</t>
  </si>
  <si>
    <t>Ngang</t>
  </si>
  <si>
    <t>Cao</t>
  </si>
  <si>
    <t>THÔNG TIN CÔNG TRÌNH</t>
  </si>
  <si>
    <t>KÍCH THƯỚC SẢN XUẤT</t>
  </si>
  <si>
    <t>Ngang K.B</t>
  </si>
  <si>
    <t>Đứng K.B</t>
  </si>
  <si>
    <t>N. Cánh</t>
  </si>
  <si>
    <t>Đ. Cánh</t>
  </si>
  <si>
    <t>STT</t>
  </si>
  <si>
    <t>Kính</t>
  </si>
  <si>
    <t>Đố động</t>
  </si>
  <si>
    <t>N/Cánh</t>
  </si>
  <si>
    <t>Đ/Cánh</t>
  </si>
  <si>
    <t>01</t>
  </si>
  <si>
    <t>02</t>
  </si>
  <si>
    <t>03</t>
  </si>
  <si>
    <t>04</t>
  </si>
  <si>
    <t xml:space="preserve">Tên </t>
  </si>
  <si>
    <t>05</t>
  </si>
  <si>
    <t>06</t>
  </si>
  <si>
    <t>Trung gian</t>
  </si>
  <si>
    <t>Đố tĩnh</t>
  </si>
  <si>
    <t>07</t>
  </si>
  <si>
    <t>N/trên K.B</t>
  </si>
  <si>
    <t>N/dướiK.B</t>
  </si>
  <si>
    <t>Nẹp dưới</t>
  </si>
  <si>
    <t>AH</t>
  </si>
  <si>
    <t>GHI CHÚ</t>
  </si>
  <si>
    <t xml:space="preserve"> </t>
  </si>
  <si>
    <t>ĐỨNG K.B</t>
  </si>
  <si>
    <t>HỞ NỀN</t>
  </si>
  <si>
    <t>X</t>
  </si>
  <si>
    <t xml:space="preserve">ĐƠN GIÁ </t>
  </si>
  <si>
    <t>THÀNH TIỀN</t>
  </si>
  <si>
    <t>DIỆN TÍCH</t>
  </si>
  <si>
    <t>RON KÍNH</t>
  </si>
  <si>
    <t>CỬA ĐI 1 CÁNH MỞ QUAY</t>
  </si>
  <si>
    <t>ÂM NỀN</t>
  </si>
  <si>
    <t>BẢN SẢN XUẤT</t>
  </si>
  <si>
    <t>SẢN PHẨM</t>
  </si>
  <si>
    <t>MÉT DÀI</t>
  </si>
  <si>
    <t>KHUNG BAO CỬA ĐI</t>
  </si>
  <si>
    <t>CÁNH CỬA ĐI</t>
  </si>
  <si>
    <t>NẸP KÍNH CÁNH</t>
  </si>
  <si>
    <t>ỐP CHÂN CÁNH</t>
  </si>
  <si>
    <t>Ốp dưới</t>
  </si>
  <si>
    <t>SỐ LƯỢNG</t>
  </si>
  <si>
    <t>KE VĨNH CỬU KHUNG BAO</t>
  </si>
  <si>
    <t>KE VĨNH CỬU CÁNH</t>
  </si>
  <si>
    <t>KE TĂNG CỨNG</t>
  </si>
  <si>
    <t>TRỌNG LƯỢNG
MD</t>
  </si>
  <si>
    <t>SỐ LƯỢNG 
TRỌNG LƯỢNG T</t>
  </si>
  <si>
    <t xml:space="preserve">CHÍ PHÍ </t>
  </si>
  <si>
    <t>TỔNG CHI PHÍ VẬT LIỆU CHÍNH</t>
  </si>
  <si>
    <t>RON KHUNG BAO</t>
  </si>
  <si>
    <t>NHỰA ỐP CHÂN</t>
  </si>
  <si>
    <t>ỐC VÍT LIÊN KẾT</t>
  </si>
  <si>
    <t>TỔNG CHI PHÍ VẬT TƯ CỬA</t>
  </si>
  <si>
    <t>GIẤY ĐÓNG GÓI + PE</t>
  </si>
  <si>
    <t>ĐỐ ĐỘNG</t>
  </si>
  <si>
    <t>NHỰA ĐỐ ĐỘNG</t>
  </si>
  <si>
    <t>4 KE VĨNH CỬU 1 CÁNH</t>
  </si>
  <si>
    <t>8 KE TĂNG CỨNG 1 CÁNH</t>
  </si>
  <si>
    <t>1 CẶP CHO 1 CÁNH</t>
  </si>
  <si>
    <t>1 CÁI CHO 1 ĐẦU TRÊN</t>
  </si>
  <si>
    <t>1 BỘ CỬA</t>
  </si>
  <si>
    <t>KHẤU HAO DX NHÔM</t>
  </si>
  <si>
    <t>KÍNH</t>
  </si>
  <si>
    <t xml:space="preserve">KHUNG BAO CỬA SỔ </t>
  </si>
  <si>
    <t>CÁNH CỬA SỔ</t>
  </si>
  <si>
    <t>KE VĨNH CỬU CÁNH - 25*40</t>
  </si>
  <si>
    <t>KE VĨNH CỬU KHUNG BAO - 14*43</t>
  </si>
  <si>
    <t>4 KE VĨNH CỬU 1 KHUNG</t>
  </si>
  <si>
    <t xml:space="preserve">1 CẶP </t>
  </si>
  <si>
    <t>1 BỘ</t>
  </si>
  <si>
    <t>ĐỐ TĨNH</t>
  </si>
  <si>
    <t>`</t>
  </si>
  <si>
    <t xml:space="preserve">ĐỐ ĐỘNG </t>
  </si>
  <si>
    <t>KE KHUNG BAO - 14*43</t>
  </si>
  <si>
    <t>KE CÁNH - 25*40</t>
  </si>
  <si>
    <t>KHUNG BAO LÙA SỔ</t>
  </si>
  <si>
    <t>CÁNH LÙA SỔ</t>
  </si>
  <si>
    <t>ỐP MÓC</t>
  </si>
  <si>
    <t>LONG NHEO</t>
  </si>
  <si>
    <t>CHỐNG VA ĐẠP</t>
  </si>
  <si>
    <t>TRUNG GIAN</t>
  </si>
  <si>
    <t>KHUNG BAO ĐỨNG</t>
  </si>
  <si>
    <t>KHUNG BAO NGANG DƯỚI</t>
  </si>
  <si>
    <t>4 KE TĂNG CỨNG 1 CÁNH</t>
  </si>
  <si>
    <t xml:space="preserve">SỐ LƯỢNG 
TRỌNG LƯỢNG </t>
  </si>
  <si>
    <t>MÉT DÀI
( mm )</t>
  </si>
  <si>
    <t>KHUNG BAO CỬA SỔ</t>
  </si>
  <si>
    <t>SỐ KG</t>
  </si>
  <si>
    <t>KHUNG BAO NGANG</t>
  </si>
  <si>
    <t>4 KE  1 CÁNH</t>
  </si>
  <si>
    <t>KE  KHUNG BAO VÁCH KÍNH 14*51</t>
  </si>
  <si>
    <t>NẸP NỐI</t>
  </si>
  <si>
    <t xml:space="preserve">NẸP KÍNH </t>
  </si>
  <si>
    <t>KE KHUNG BAO - 31*41</t>
  </si>
  <si>
    <t>KE CÁNH - 31*41</t>
  </si>
  <si>
    <t>ĐỐ CHIA PANO</t>
  </si>
  <si>
    <t>GIÁ BÁN 
HOÀ VỐN</t>
  </si>
  <si>
    <t>DOANH THU
HOÀ VỐN</t>
  </si>
  <si>
    <t>GIÁ BÁN 
LỢI NHUẬN</t>
  </si>
  <si>
    <t>DOANH THU
LỢI NHUẬN</t>
  </si>
  <si>
    <t>LỢI NHUẬN 
SAU CÙNG</t>
  </si>
  <si>
    <t>NHÔM XINGFA QUẢNG ĐÔNG</t>
  </si>
  <si>
    <t>ĐỘ DÀY</t>
  </si>
  <si>
    <t>m2</t>
  </si>
  <si>
    <t>1M2</t>
  </si>
  <si>
    <t>2,0mm</t>
  </si>
  <si>
    <t>1,4mm</t>
  </si>
  <si>
    <t>VẬT TƯ</t>
  </si>
  <si>
    <t>BẢNG CÔNG THỨC TÍNH GIÁ GIA CÔNG NHÔM MAXPRO NHẬT BẢN</t>
  </si>
  <si>
    <t>KE KHUNG BAO</t>
  </si>
  <si>
    <t>8303-8304</t>
  </si>
  <si>
    <t>8301A</t>
  </si>
  <si>
    <t>N.cánh lùa</t>
  </si>
  <si>
    <t>Đ.cánh lùa</t>
  </si>
  <si>
    <t xml:space="preserve">KHUNG BAO NGANG TRÊN </t>
  </si>
  <si>
    <t>ĐỨNG CÁNH</t>
  </si>
  <si>
    <t>NGANG CÁNH</t>
  </si>
  <si>
    <t>ỐC MÓC</t>
  </si>
  <si>
    <t>ỐP MÁNG TRÊN</t>
  </si>
  <si>
    <t>ỐP KHUNG ĐỨNG</t>
  </si>
  <si>
    <t>ỐP RAY</t>
  </si>
  <si>
    <t>KE KHUNG BAO 21*46</t>
  </si>
  <si>
    <t>KE CÁNH 21*46</t>
  </si>
  <si>
    <t>KE KHUNG BAO 14*25</t>
  </si>
  <si>
    <t>KE CÁNH 21*27</t>
  </si>
  <si>
    <t>KE CÁNH LÙA 14*29</t>
  </si>
  <si>
    <t xml:space="preserve">NHÔM </t>
  </si>
  <si>
    <t>CÔNG THỢ</t>
  </si>
  <si>
    <t>CHI PHÍ 
CỐ ĐỊNH</t>
  </si>
  <si>
    <t>CHI PHÍ 
QUẢNG CÁO</t>
  </si>
  <si>
    <t>CHI PHÍ 
KHÁC</t>
  </si>
  <si>
    <t xml:space="preserve">TỔNG CHI PHÍ 
</t>
  </si>
  <si>
    <t>TỔNG VẬT TƯ</t>
  </si>
  <si>
    <t xml:space="preserve">
THUẾ ( VAT )
 </t>
  </si>
  <si>
    <t>TRUNG BÌNH</t>
  </si>
  <si>
    <t>HỆ NHÔM</t>
  </si>
  <si>
    <t>CHI PHÍ</t>
  </si>
  <si>
    <t>M2</t>
  </si>
  <si>
    <t>CỬA ĐI 2 CÁNH MỞ QUAY</t>
  </si>
  <si>
    <t>CỬA ĐI 4 CÁNH MỞ QUAY</t>
  </si>
  <si>
    <t>CỬA SỔ 1 CÁNH MỞ QUAY</t>
  </si>
  <si>
    <t>CỬA SỔ 2 CÁNH MỞ QUAY</t>
  </si>
  <si>
    <t>CỬA SỔ 3 CÁNH MỞ QUAY</t>
  </si>
  <si>
    <t>CỬA SỔ 4 CÁNH MỞ QUAY</t>
  </si>
  <si>
    <t>VÁCH KÍNH</t>
  </si>
  <si>
    <t>ĐỐ CHIA VÁCH</t>
  </si>
  <si>
    <t xml:space="preserve">VẬT TƯ </t>
  </si>
  <si>
    <t xml:space="preserve">CỬA ĐI LÙA 2 CÁNH </t>
  </si>
  <si>
    <t xml:space="preserve">CỬA ĐI LÙA 3 CÁNH </t>
  </si>
  <si>
    <t xml:space="preserve">CỬA ĐI LÙA 4 CÁNH </t>
  </si>
  <si>
    <t>CỬA SỔ LÙA 2 CÁNH</t>
  </si>
  <si>
    <t>CỬA SỔ LÙA 4 CÁNH</t>
  </si>
  <si>
    <t>KE CÁNH - 40*46,5</t>
  </si>
  <si>
    <t>KHẤU 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</si>
</sst>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%"/>
    <numFmt numFmtId="167" formatCode="0.000"/>
    <numFmt numFmtId="168" formatCode="_ * #,##0_ ;_ * \-#,##0_ ;_ * &quot;-&quot;??_ ;_ @_ "/>
    <numFmt numFmtId="169" formatCode="0.0"/>
  </numFmts>
  <fonts count="20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u/>
      <sz val="15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4" fontId="1" fillId="0" borderId="0" xfId="1" applyNumberFormat="1" applyFont="1"/>
    <xf numFmtId="0" fontId="1" fillId="0" borderId="0" xfId="0" applyFont="1" applyAlignment="1">
      <alignment vertical="center"/>
    </xf>
    <xf numFmtId="16" fontId="2" fillId="0" borderId="1" xfId="0" quotePrefix="1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4" fontId="5" fillId="0" borderId="0" xfId="1" applyNumberFormat="1" applyFont="1"/>
    <xf numFmtId="164" fontId="9" fillId="0" borderId="0" xfId="1" applyNumberFormat="1" applyFont="1"/>
    <xf numFmtId="0" fontId="1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1" xfId="1" applyNumberFormat="1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164" fontId="1" fillId="0" borderId="1" xfId="1" applyNumberFormat="1" applyFont="1" applyBorder="1" applyAlignment="1"/>
    <xf numFmtId="164" fontId="1" fillId="0" borderId="1" xfId="0" applyNumberFormat="1" applyFont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3" borderId="1" xfId="1" applyNumberFormat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164" fontId="1" fillId="3" borderId="0" xfId="1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/>
    </xf>
    <xf numFmtId="164" fontId="1" fillId="3" borderId="0" xfId="1" applyNumberFormat="1" applyFont="1" applyFill="1" applyBorder="1" applyAlignment="1"/>
    <xf numFmtId="164" fontId="1" fillId="3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9" fontId="1" fillId="0" borderId="1" xfId="2" applyFont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1" fillId="3" borderId="1" xfId="0" applyFont="1" applyFill="1" applyBorder="1"/>
    <xf numFmtId="0" fontId="1" fillId="0" borderId="9" xfId="0" applyFont="1" applyBorder="1" applyAlignment="1">
      <alignment horizontal="center"/>
    </xf>
    <xf numFmtId="0" fontId="1" fillId="0" borderId="12" xfId="0" applyFont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64" fontId="1" fillId="0" borderId="0" xfId="1" applyNumberFormat="1" applyFont="1" applyBorder="1" applyAlignment="1"/>
    <xf numFmtId="164" fontId="1" fillId="0" borderId="0" xfId="1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/>
    </xf>
    <xf numFmtId="3" fontId="1" fillId="3" borderId="0" xfId="1" applyNumberFormat="1" applyFont="1" applyFill="1" applyBorder="1"/>
    <xf numFmtId="164" fontId="1" fillId="3" borderId="0" xfId="1" applyNumberFormat="1" applyFont="1" applyFill="1" applyBorder="1"/>
    <xf numFmtId="164" fontId="1" fillId="3" borderId="0" xfId="1" applyNumberFormat="1" applyFont="1" applyFill="1" applyBorder="1" applyAlignment="1">
      <alignment horizontal="center"/>
    </xf>
    <xf numFmtId="43" fontId="1" fillId="3" borderId="0" xfId="1" applyFont="1" applyFill="1" applyBorder="1" applyAlignment="1">
      <alignment horizontal="center"/>
    </xf>
    <xf numFmtId="3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5" fontId="1" fillId="3" borderId="0" xfId="1" applyNumberFormat="1" applyFont="1" applyFill="1" applyBorder="1"/>
    <xf numFmtId="164" fontId="8" fillId="3" borderId="0" xfId="1" applyNumberFormat="1" applyFont="1" applyFill="1" applyBorder="1"/>
    <xf numFmtId="0" fontId="7" fillId="3" borderId="0" xfId="0" applyFont="1" applyFill="1"/>
    <xf numFmtId="0" fontId="1" fillId="0" borderId="9" xfId="0" quotePrefix="1" applyFont="1" applyBorder="1" applyAlignment="1">
      <alignment horizontal="center" vertical="center"/>
    </xf>
    <xf numFmtId="0" fontId="1" fillId="0" borderId="7" xfId="0" applyFont="1" applyBorder="1"/>
    <xf numFmtId="0" fontId="0" fillId="0" borderId="0" xfId="0" applyAlignment="1">
      <alignment vertical="center"/>
    </xf>
    <xf numFmtId="43" fontId="1" fillId="0" borderId="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0" borderId="1" xfId="1" quotePrefix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 vertical="center"/>
    </xf>
    <xf numFmtId="43" fontId="1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right"/>
    </xf>
    <xf numFmtId="43" fontId="1" fillId="0" borderId="0" xfId="1" applyFont="1" applyBorder="1" applyAlignment="1">
      <alignment horizontal="center"/>
    </xf>
    <xf numFmtId="167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5" xfId="0" applyFont="1" applyBorder="1"/>
    <xf numFmtId="0" fontId="1" fillId="3" borderId="1" xfId="0" applyFont="1" applyFill="1" applyBorder="1" applyAlignment="1">
      <alignment horizontal="left"/>
    </xf>
    <xf numFmtId="164" fontId="1" fillId="3" borderId="1" xfId="1" applyNumberFormat="1" applyFont="1" applyFill="1" applyBorder="1" applyAlignment="1"/>
    <xf numFmtId="164" fontId="1" fillId="3" borderId="1" xfId="0" applyNumberFormat="1" applyFont="1" applyFill="1" applyBorder="1"/>
    <xf numFmtId="164" fontId="1" fillId="4" borderId="1" xfId="1" quotePrefix="1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wrapText="1"/>
    </xf>
    <xf numFmtId="164" fontId="15" fillId="6" borderId="1" xfId="1" applyNumberFormat="1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164" fontId="15" fillId="6" borderId="1" xfId="1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 wrapText="1"/>
    </xf>
    <xf numFmtId="9" fontId="15" fillId="6" borderId="11" xfId="2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8" fontId="13" fillId="0" borderId="1" xfId="1" applyNumberFormat="1" applyFont="1" applyBorder="1" applyAlignment="1">
      <alignment horizontal="center" vertical="center"/>
    </xf>
    <xf numFmtId="168" fontId="13" fillId="7" borderId="1" xfId="0" applyNumberFormat="1" applyFont="1" applyFill="1" applyBorder="1" applyAlignment="1">
      <alignment horizontal="center" vertical="center"/>
    </xf>
    <xf numFmtId="168" fontId="13" fillId="2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4" fontId="13" fillId="0" borderId="1" xfId="1" applyNumberFormat="1" applyFont="1" applyBorder="1" applyAlignment="1">
      <alignment horizontal="right" vertical="center"/>
    </xf>
    <xf numFmtId="164" fontId="13" fillId="3" borderId="1" xfId="0" applyNumberFormat="1" applyFont="1" applyFill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0" fontId="0" fillId="5" borderId="10" xfId="0" applyFill="1" applyBorder="1" applyAlignment="1">
      <alignment vertical="center"/>
    </xf>
    <xf numFmtId="164" fontId="17" fillId="2" borderId="1" xfId="0" applyNumberFormat="1" applyFont="1" applyFill="1" applyBorder="1" applyAlignment="1">
      <alignment horizontal="center"/>
    </xf>
    <xf numFmtId="164" fontId="18" fillId="2" borderId="1" xfId="0" applyNumberFormat="1" applyFont="1" applyFill="1" applyBorder="1"/>
    <xf numFmtId="43" fontId="13" fillId="0" borderId="1" xfId="1" applyFont="1" applyBorder="1" applyAlignment="1">
      <alignment horizontal="right" vertical="center"/>
    </xf>
    <xf numFmtId="43" fontId="1" fillId="0" borderId="1" xfId="0" applyNumberFormat="1" applyFont="1" applyBorder="1" applyAlignment="1">
      <alignment horizontal="right"/>
    </xf>
    <xf numFmtId="0" fontId="19" fillId="0" borderId="0" xfId="0" applyFont="1" applyAlignment="1">
      <alignment vertical="center"/>
    </xf>
    <xf numFmtId="0" fontId="19" fillId="5" borderId="0" xfId="0" applyFont="1" applyFill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/>
    </xf>
    <xf numFmtId="43" fontId="1" fillId="0" borderId="0" xfId="0" applyNumberFormat="1" applyFont="1"/>
    <xf numFmtId="164" fontId="6" fillId="3" borderId="0" xfId="0" applyNumberFormat="1" applyFont="1" applyFill="1" applyAlignment="1">
      <alignment horizontal="center"/>
    </xf>
    <xf numFmtId="43" fontId="6" fillId="3" borderId="0" xfId="0" applyNumberFormat="1" applyFont="1" applyFill="1" applyAlignment="1">
      <alignment horizontal="center"/>
    </xf>
    <xf numFmtId="9" fontId="1" fillId="3" borderId="0" xfId="2" applyFont="1" applyFill="1" applyAlignment="1">
      <alignment horizontal="right"/>
    </xf>
    <xf numFmtId="9" fontId="6" fillId="3" borderId="0" xfId="2" applyFont="1" applyFill="1" applyAlignment="1">
      <alignment horizontal="center"/>
    </xf>
    <xf numFmtId="164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43" fontId="19" fillId="5" borderId="1" xfId="0" applyNumberFormat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6" fillId="3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164" fontId="6" fillId="3" borderId="0" xfId="1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5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6" fontId="6" fillId="3" borderId="0" xfId="2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6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43" fontId="7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831478</xdr:colOff>
      <xdr:row>2</xdr:row>
      <xdr:rowOff>375398</xdr:rowOff>
    </xdr:from>
    <xdr:to>
      <xdr:col>3</xdr:col>
      <xdr:colOff>510988</xdr:colOff>
      <xdr:row>8</xdr:row>
      <xdr:rowOff>286316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03831" y="1146363"/>
          <a:ext cx="2099981" cy="2988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720977</xdr:colOff>
      <xdr:row>2</xdr:row>
      <xdr:rowOff>467268</xdr:rowOff>
    </xdr:from>
    <xdr:to>
      <xdr:col>2</xdr:col>
      <xdr:colOff>1276692</xdr:colOff>
      <xdr:row>8</xdr:row>
      <xdr:rowOff>360317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6441" y="1419768"/>
          <a:ext cx="2081893" cy="275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217715</xdr:colOff>
      <xdr:row>3</xdr:row>
      <xdr:rowOff>298905</xdr:rowOff>
    </xdr:from>
    <xdr:to>
      <xdr:col>3</xdr:col>
      <xdr:colOff>762000</xdr:colOff>
      <xdr:row>8</xdr:row>
      <xdr:rowOff>290286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1" y="2040619"/>
          <a:ext cx="3156856" cy="2894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1111248</xdr:colOff>
      <xdr:row>2</xdr:row>
      <xdr:rowOff>289169</xdr:rowOff>
    </xdr:from>
    <xdr:ext cx="2815981" cy="242179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6633" y="1402861"/>
          <a:ext cx="2815981" cy="242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309554</xdr:colOff>
      <xdr:row>2</xdr:row>
      <xdr:rowOff>397183</xdr:rowOff>
    </xdr:from>
    <xdr:to>
      <xdr:col>3</xdr:col>
      <xdr:colOff>1044220</xdr:colOff>
      <xdr:row>9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5887" y="1469627"/>
          <a:ext cx="3867333" cy="3356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200922</xdr:colOff>
      <xdr:row>3</xdr:row>
      <xdr:rowOff>450371</xdr:rowOff>
    </xdr:from>
    <xdr:to>
      <xdr:col>3</xdr:col>
      <xdr:colOff>1092678</xdr:colOff>
      <xdr:row>8</xdr:row>
      <xdr:rowOff>115019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394" y="2132522"/>
          <a:ext cx="3594699" cy="246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663838</xdr:colOff>
      <xdr:row>3</xdr:row>
      <xdr:rowOff>40118</xdr:rowOff>
    </xdr:from>
    <xdr:to>
      <xdr:col>3</xdr:col>
      <xdr:colOff>609600</xdr:colOff>
      <xdr:row>8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63838" y="1731758"/>
          <a:ext cx="2414642" cy="3023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650094</xdr:colOff>
      <xdr:row>3</xdr:row>
      <xdr:rowOff>148293</xdr:rowOff>
    </xdr:from>
    <xdr:to>
      <xdr:col>3</xdr:col>
      <xdr:colOff>655675</xdr:colOff>
      <xdr:row>10</xdr:row>
      <xdr:rowOff>141768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7768" y="1849502"/>
          <a:ext cx="2840930" cy="3342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1156608</xdr:colOff>
      <xdr:row>3</xdr:row>
      <xdr:rowOff>68036</xdr:rowOff>
    </xdr:from>
    <xdr:to>
      <xdr:col>4</xdr:col>
      <xdr:colOff>27214</xdr:colOff>
      <xdr:row>9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608" y="1578429"/>
          <a:ext cx="4095749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1111248</xdr:colOff>
      <xdr:row>2</xdr:row>
      <xdr:rowOff>289169</xdr:rowOff>
    </xdr:from>
    <xdr:ext cx="2815981" cy="242179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4288" y="1607429"/>
          <a:ext cx="2815981" cy="242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948265</xdr:colOff>
      <xdr:row>2</xdr:row>
      <xdr:rowOff>349972</xdr:rowOff>
    </xdr:from>
    <xdr:to>
      <xdr:col>3</xdr:col>
      <xdr:colOff>491066</xdr:colOff>
      <xdr:row>8</xdr:row>
      <xdr:rowOff>199802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6132" y="1586105"/>
          <a:ext cx="2658534" cy="3101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450038</xdr:colOff>
      <xdr:row>2</xdr:row>
      <xdr:rowOff>479680</xdr:rowOff>
    </xdr:from>
    <xdr:to>
      <xdr:col>3</xdr:col>
      <xdr:colOff>747345</xdr:colOff>
      <xdr:row>8</xdr:row>
      <xdr:rowOff>542532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192" y="1593372"/>
          <a:ext cx="2993615" cy="3403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524933</xdr:colOff>
      <xdr:row>2</xdr:row>
      <xdr:rowOff>56091</xdr:rowOff>
    </xdr:from>
    <xdr:to>
      <xdr:col>3</xdr:col>
      <xdr:colOff>728132</xdr:colOff>
      <xdr:row>8</xdr:row>
      <xdr:rowOff>169333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733" y="970491"/>
          <a:ext cx="2844799" cy="2856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548105</xdr:colOff>
      <xdr:row>2</xdr:row>
      <xdr:rowOff>352927</xdr:rowOff>
    </xdr:from>
    <xdr:to>
      <xdr:col>3</xdr:col>
      <xdr:colOff>775369</xdr:colOff>
      <xdr:row>8</xdr:row>
      <xdr:rowOff>347579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47" y="1155032"/>
          <a:ext cx="2900948" cy="240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zoomScale="50" zoomScaleNormal="50" zoomScaleSheetLayoutView="47" workbookViewId="0">
      <pane ySplit="3" topLeftCell="A10" activePane="bottomLeft" state="frozen"/>
      <selection pane="bottomLeft" activeCell="Q18" sqref="Q18"/>
    </sheetView>
  </sheetViews>
  <sheetFormatPr defaultColWidth="17" defaultRowHeight="44.4" customHeight="1" x14ac:dyDescent="0.3"/>
  <cols>
    <col min="1" max="1" width="8.21875" style="81" customWidth="1"/>
    <col min="2" max="5" width="17" style="81"/>
    <col min="6" max="6" width="19.109375" style="81" bestFit="1" customWidth="1"/>
    <col min="7" max="11" width="17" style="81"/>
    <col min="12" max="12" width="18.44140625" style="81" bestFit="1" customWidth="1"/>
    <col min="13" max="20" width="17" style="81"/>
    <col min="21" max="21" width="26.5546875" style="143" customWidth="1"/>
    <col min="22" max="16384" width="17" style="81"/>
  </cols>
  <sheetData>
    <row r="1" spans="1:21" ht="59.4" customHeight="1" x14ac:dyDescent="0.3">
      <c r="A1" s="156" t="s">
        <v>119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1" ht="44.4" customHeight="1" x14ac:dyDescent="0.3">
      <c r="A2" s="161" t="s">
        <v>14</v>
      </c>
      <c r="B2" s="166" t="s">
        <v>45</v>
      </c>
      <c r="C2" s="167"/>
      <c r="D2" s="167"/>
      <c r="E2" s="168"/>
      <c r="F2" s="120" t="s">
        <v>40</v>
      </c>
      <c r="G2" s="121" t="s">
        <v>137</v>
      </c>
      <c r="H2" s="121" t="s">
        <v>157</v>
      </c>
      <c r="I2" s="121" t="s">
        <v>138</v>
      </c>
      <c r="J2" s="121" t="s">
        <v>139</v>
      </c>
      <c r="K2" s="121" t="s">
        <v>140</v>
      </c>
      <c r="L2" s="121" t="s">
        <v>141</v>
      </c>
      <c r="M2" s="122" t="s">
        <v>142</v>
      </c>
      <c r="N2" s="121" t="s">
        <v>143</v>
      </c>
      <c r="O2" s="121" t="s">
        <v>107</v>
      </c>
      <c r="P2" s="121" t="s">
        <v>108</v>
      </c>
      <c r="Q2" s="121" t="s">
        <v>109</v>
      </c>
      <c r="R2" s="121" t="s">
        <v>110</v>
      </c>
      <c r="S2" s="123" t="s">
        <v>144</v>
      </c>
      <c r="T2" s="159" t="s">
        <v>111</v>
      </c>
      <c r="U2" s="163" t="s">
        <v>145</v>
      </c>
    </row>
    <row r="3" spans="1:21" ht="44.4" customHeight="1" x14ac:dyDescent="0.3">
      <c r="A3" s="162"/>
      <c r="B3" s="165" t="s">
        <v>112</v>
      </c>
      <c r="C3" s="165"/>
      <c r="D3" s="120" t="s">
        <v>146</v>
      </c>
      <c r="E3" s="120" t="s">
        <v>113</v>
      </c>
      <c r="F3" s="120" t="s">
        <v>114</v>
      </c>
      <c r="G3" s="120" t="s">
        <v>118</v>
      </c>
      <c r="H3" s="124" t="s">
        <v>115</v>
      </c>
      <c r="I3" s="125">
        <v>108000</v>
      </c>
      <c r="J3" s="125">
        <v>44000</v>
      </c>
      <c r="K3" s="125">
        <v>24000</v>
      </c>
      <c r="L3" s="125">
        <v>7000</v>
      </c>
      <c r="M3" s="126">
        <f>SUM(I3:L3)</f>
        <v>183000</v>
      </c>
      <c r="N3" s="121" t="s">
        <v>147</v>
      </c>
      <c r="O3" s="124" t="s">
        <v>148</v>
      </c>
      <c r="P3" s="124" t="s">
        <v>148</v>
      </c>
      <c r="Q3" s="124" t="s">
        <v>148</v>
      </c>
      <c r="R3" s="124" t="s">
        <v>148</v>
      </c>
      <c r="S3" s="127">
        <v>0.02</v>
      </c>
      <c r="T3" s="160" t="s">
        <v>111</v>
      </c>
      <c r="U3" s="164"/>
    </row>
    <row r="4" spans="1:21" ht="44.4" customHeight="1" x14ac:dyDescent="0.3">
      <c r="A4" s="95">
        <v>1</v>
      </c>
      <c r="B4" s="158" t="s">
        <v>42</v>
      </c>
      <c r="C4" s="158"/>
      <c r="D4" s="128">
        <v>55</v>
      </c>
      <c r="E4" s="129" t="s">
        <v>116</v>
      </c>
      <c r="F4" s="137">
        <f>'ĐI QUAY 1 CÁNH'!F6/1000</f>
        <v>2.08304</v>
      </c>
      <c r="G4" s="96">
        <f>'ĐI QUAY 1 CÁNH'!V19</f>
        <v>3753165.9904000005</v>
      </c>
      <c r="H4" s="130">
        <f>G4/F4</f>
        <v>1801773.3650818036</v>
      </c>
      <c r="I4" s="131">
        <f>$I$3*F4</f>
        <v>224968.32000000001</v>
      </c>
      <c r="J4" s="131">
        <f>$J$3*F4</f>
        <v>91653.759999999995</v>
      </c>
      <c r="K4" s="131">
        <f>$K$3*F4</f>
        <v>49992.959999999999</v>
      </c>
      <c r="L4" s="131">
        <f>$L$3*F4</f>
        <v>14581.28</v>
      </c>
      <c r="M4" s="132">
        <f>SUM(I4:L4)</f>
        <v>381196.32000000007</v>
      </c>
      <c r="N4" s="133">
        <f>SUM(I4:L4)+G4</f>
        <v>4134362.3104000008</v>
      </c>
      <c r="O4" s="130">
        <f>P4/F4</f>
        <v>2025278.9439610245</v>
      </c>
      <c r="P4" s="97">
        <f>N4/(1-$S$3)</f>
        <v>4218737.0514285723</v>
      </c>
      <c r="Q4" s="130">
        <f t="shared" ref="Q4:Q12" si="0">R4/F4</f>
        <v>2227806.8383571268</v>
      </c>
      <c r="R4" s="134">
        <f t="shared" ref="R4:R12" si="1">P4*1.1</f>
        <v>4640610.7565714298</v>
      </c>
      <c r="S4" s="141">
        <f>R4*$S$3</f>
        <v>92812.215131428602</v>
      </c>
      <c r="T4" s="136">
        <f t="shared" ref="T4:T12" si="2">R4-N4-S4</f>
        <v>413436.23104000039</v>
      </c>
      <c r="U4" s="155">
        <f>SUM(Q4:Q6)/3</f>
        <v>2308011.7908452339</v>
      </c>
    </row>
    <row r="5" spans="1:21" ht="44.4" customHeight="1" x14ac:dyDescent="0.3">
      <c r="A5" s="95">
        <f>A4+1</f>
        <v>2</v>
      </c>
      <c r="B5" s="158" t="s">
        <v>149</v>
      </c>
      <c r="C5" s="158"/>
      <c r="D5" s="128">
        <v>55</v>
      </c>
      <c r="E5" s="129" t="s">
        <v>116</v>
      </c>
      <c r="F5" s="137">
        <f>'ĐI QUAY 2 CÁNH'!F6/1000</f>
        <v>3.6</v>
      </c>
      <c r="G5" s="96">
        <f>'ĐI QUAY 2 CÁNH'!V21</f>
        <v>6965012.2286400003</v>
      </c>
      <c r="H5" s="130">
        <f>G5/F5</f>
        <v>1934725.6190666668</v>
      </c>
      <c r="I5" s="131">
        <f t="shared" ref="I5:I12" si="3">$I$3*F5</f>
        <v>388800</v>
      </c>
      <c r="J5" s="131">
        <f t="shared" ref="J5:J12" si="4">$J$3*F5</f>
        <v>158400</v>
      </c>
      <c r="K5" s="131">
        <f t="shared" ref="K5:K12" si="5">$K$3*F5</f>
        <v>86400</v>
      </c>
      <c r="L5" s="131">
        <f t="shared" ref="L5:L12" si="6">$L$3*F5</f>
        <v>25200</v>
      </c>
      <c r="M5" s="132">
        <f>SUM(I5:L5)</f>
        <v>658800</v>
      </c>
      <c r="N5" s="133">
        <f t="shared" ref="N5:N12" si="7">SUM(I5:L5)+G5</f>
        <v>7623812.2286400003</v>
      </c>
      <c r="O5" s="130">
        <f t="shared" ref="O5:O12" si="8">P5/F5</f>
        <v>2160944.5092517007</v>
      </c>
      <c r="P5" s="97">
        <f t="shared" ref="P5:P12" si="9">N5/(1-$S$3)</f>
        <v>7779400.2333061229</v>
      </c>
      <c r="Q5" s="130">
        <f t="shared" si="0"/>
        <v>2377038.9601768707</v>
      </c>
      <c r="R5" s="134">
        <f t="shared" si="1"/>
        <v>8557340.2566367351</v>
      </c>
      <c r="S5" s="141">
        <f>R5*$S$3</f>
        <v>171146.80513273471</v>
      </c>
      <c r="T5" s="136">
        <f t="shared" si="2"/>
        <v>762381.22286400001</v>
      </c>
      <c r="U5" s="154"/>
    </row>
    <row r="6" spans="1:21" ht="44.4" customHeight="1" x14ac:dyDescent="0.3">
      <c r="A6" s="95">
        <f>A5+1</f>
        <v>3</v>
      </c>
      <c r="B6" s="158" t="s">
        <v>150</v>
      </c>
      <c r="C6" s="158"/>
      <c r="D6" s="128">
        <v>55</v>
      </c>
      <c r="E6" s="129" t="s">
        <v>116</v>
      </c>
      <c r="F6" s="137">
        <f>'ĐI QUAY 4 CÁNH'!F6/1000</f>
        <v>6.9794999999999998</v>
      </c>
      <c r="G6" s="96">
        <f>'ĐI QUAY 4 CÁNH'!V21</f>
        <v>13143704.190099997</v>
      </c>
      <c r="H6" s="130">
        <f>G6/F6</f>
        <v>1883187.0750197002</v>
      </c>
      <c r="I6" s="131">
        <f t="shared" si="3"/>
        <v>753786</v>
      </c>
      <c r="J6" s="131">
        <f t="shared" si="4"/>
        <v>307098</v>
      </c>
      <c r="K6" s="131">
        <f t="shared" si="5"/>
        <v>167508</v>
      </c>
      <c r="L6" s="131">
        <f t="shared" si="6"/>
        <v>48856.5</v>
      </c>
      <c r="M6" s="132">
        <f>SUM(I6:L6)</f>
        <v>1277248.5</v>
      </c>
      <c r="N6" s="133">
        <f t="shared" si="7"/>
        <v>14420952.690099997</v>
      </c>
      <c r="O6" s="130">
        <f t="shared" si="8"/>
        <v>2108354.1581833675</v>
      </c>
      <c r="P6" s="97">
        <f t="shared" si="9"/>
        <v>14715257.847040813</v>
      </c>
      <c r="Q6" s="130">
        <f t="shared" si="0"/>
        <v>2319189.5740017048</v>
      </c>
      <c r="R6" s="134">
        <f t="shared" si="1"/>
        <v>16186783.631744897</v>
      </c>
      <c r="S6" s="135">
        <f t="shared" ref="S6:S12" si="10">R6*$S$3</f>
        <v>323735.67263489793</v>
      </c>
      <c r="T6" s="136">
        <f t="shared" si="2"/>
        <v>1442095.2690100016</v>
      </c>
      <c r="U6" s="154"/>
    </row>
    <row r="7" spans="1:21" ht="44.4" customHeight="1" x14ac:dyDescent="0.3">
      <c r="A7" s="95">
        <f t="shared" ref="A7:A12" si="11">A6+1</f>
        <v>4</v>
      </c>
      <c r="B7" s="158" t="s">
        <v>151</v>
      </c>
      <c r="C7" s="158"/>
      <c r="D7" s="128">
        <v>55</v>
      </c>
      <c r="E7" s="129" t="s">
        <v>117</v>
      </c>
      <c r="F7" s="137">
        <f>'SỔ QUAY 1CÁNH'!F6/1000</f>
        <v>1.05</v>
      </c>
      <c r="G7" s="96">
        <f>'SỔ QUAY 1CÁNH'!V17</f>
        <v>1997308.12</v>
      </c>
      <c r="H7" s="130">
        <f t="shared" ref="H7:H12" si="12">G7/F7</f>
        <v>1902198.2095238096</v>
      </c>
      <c r="I7" s="131">
        <f t="shared" si="3"/>
        <v>113400</v>
      </c>
      <c r="J7" s="131">
        <f t="shared" si="4"/>
        <v>46200</v>
      </c>
      <c r="K7" s="131">
        <f t="shared" si="5"/>
        <v>25200</v>
      </c>
      <c r="L7" s="131">
        <f t="shared" si="6"/>
        <v>7350</v>
      </c>
      <c r="M7" s="132">
        <f t="shared" ref="M7:M12" si="13">SUM(I7:L7)</f>
        <v>192150</v>
      </c>
      <c r="N7" s="133">
        <f t="shared" si="7"/>
        <v>2189458.12</v>
      </c>
      <c r="O7" s="130">
        <f t="shared" si="8"/>
        <v>2127753.2750242958</v>
      </c>
      <c r="P7" s="97">
        <f t="shared" si="9"/>
        <v>2234140.9387755105</v>
      </c>
      <c r="Q7" s="130">
        <f t="shared" si="0"/>
        <v>2340528.6025267253</v>
      </c>
      <c r="R7" s="134">
        <f t="shared" si="1"/>
        <v>2457555.0326530617</v>
      </c>
      <c r="S7" s="135">
        <f t="shared" si="10"/>
        <v>49151.100653061236</v>
      </c>
      <c r="T7" s="136">
        <f t="shared" si="2"/>
        <v>218945.81200000033</v>
      </c>
      <c r="U7" s="153">
        <f>SUM(Q7:Q10)/4</f>
        <v>2132266.5325881727</v>
      </c>
    </row>
    <row r="8" spans="1:21" ht="44.4" customHeight="1" x14ac:dyDescent="0.3">
      <c r="A8" s="95">
        <f t="shared" si="11"/>
        <v>5</v>
      </c>
      <c r="B8" s="158" t="s">
        <v>152</v>
      </c>
      <c r="C8" s="158"/>
      <c r="D8" s="128">
        <v>55</v>
      </c>
      <c r="E8" s="129" t="s">
        <v>117</v>
      </c>
      <c r="F8" s="137">
        <f>'Sổ QUAY 2 CÁNH'!F6/1000</f>
        <v>1.8</v>
      </c>
      <c r="G8" s="96">
        <f>'Sổ QUAY 2 CÁNH'!V19</f>
        <v>2946275.2863000003</v>
      </c>
      <c r="H8" s="130">
        <f t="shared" si="12"/>
        <v>1636819.6035000002</v>
      </c>
      <c r="I8" s="131">
        <f t="shared" si="3"/>
        <v>194400</v>
      </c>
      <c r="J8" s="131">
        <f t="shared" si="4"/>
        <v>79200</v>
      </c>
      <c r="K8" s="131">
        <f t="shared" si="5"/>
        <v>43200</v>
      </c>
      <c r="L8" s="131">
        <f t="shared" si="6"/>
        <v>12600</v>
      </c>
      <c r="M8" s="132">
        <f t="shared" si="13"/>
        <v>329400</v>
      </c>
      <c r="N8" s="133">
        <f t="shared" si="7"/>
        <v>3275675.2863000003</v>
      </c>
      <c r="O8" s="130">
        <f t="shared" si="8"/>
        <v>1856958.7790816328</v>
      </c>
      <c r="P8" s="97">
        <f t="shared" si="9"/>
        <v>3342525.8023469392</v>
      </c>
      <c r="Q8" s="130">
        <f t="shared" si="0"/>
        <v>2042654.6569897963</v>
      </c>
      <c r="R8" s="134">
        <f t="shared" si="1"/>
        <v>3676778.3825816335</v>
      </c>
      <c r="S8" s="135">
        <f t="shared" si="10"/>
        <v>73535.567651632678</v>
      </c>
      <c r="T8" s="136">
        <f t="shared" si="2"/>
        <v>327567.52863000054</v>
      </c>
      <c r="U8" s="154"/>
    </row>
    <row r="9" spans="1:21" ht="44.4" customHeight="1" x14ac:dyDescent="0.3">
      <c r="A9" s="95">
        <f t="shared" si="11"/>
        <v>6</v>
      </c>
      <c r="B9" s="158" t="s">
        <v>153</v>
      </c>
      <c r="C9" s="158"/>
      <c r="D9" s="128">
        <v>55</v>
      </c>
      <c r="E9" s="129" t="s">
        <v>117</v>
      </c>
      <c r="F9" s="137">
        <f>'Sổ QUAY 3 CÁNH -Đố tĩnh'!F6/1000</f>
        <v>2.4</v>
      </c>
      <c r="G9" s="96">
        <f>'Sổ QUAY 3 CÁNH -Đố tĩnh'!V18</f>
        <v>4123144.3232</v>
      </c>
      <c r="H9" s="130">
        <f t="shared" si="12"/>
        <v>1717976.8013333334</v>
      </c>
      <c r="I9" s="131">
        <f t="shared" si="3"/>
        <v>259200</v>
      </c>
      <c r="J9" s="131">
        <f t="shared" si="4"/>
        <v>105600</v>
      </c>
      <c r="K9" s="131">
        <f t="shared" si="5"/>
        <v>57600</v>
      </c>
      <c r="L9" s="131">
        <f t="shared" si="6"/>
        <v>16800</v>
      </c>
      <c r="M9" s="132">
        <f t="shared" si="13"/>
        <v>439200</v>
      </c>
      <c r="N9" s="133">
        <f t="shared" si="7"/>
        <v>4562344.3232000005</v>
      </c>
      <c r="O9" s="130">
        <f t="shared" si="8"/>
        <v>1939772.2462585038</v>
      </c>
      <c r="P9" s="97">
        <f t="shared" si="9"/>
        <v>4655453.3910204088</v>
      </c>
      <c r="Q9" s="130">
        <f t="shared" si="0"/>
        <v>2133749.4708843543</v>
      </c>
      <c r="R9" s="134">
        <f t="shared" si="1"/>
        <v>5120998.7301224498</v>
      </c>
      <c r="S9" s="135">
        <f t="shared" si="10"/>
        <v>102419.974602449</v>
      </c>
      <c r="T9" s="136">
        <f t="shared" si="2"/>
        <v>456234.43232000037</v>
      </c>
      <c r="U9" s="154"/>
    </row>
    <row r="10" spans="1:21" ht="44.4" customHeight="1" x14ac:dyDescent="0.3">
      <c r="A10" s="95">
        <f t="shared" si="11"/>
        <v>7</v>
      </c>
      <c r="B10" s="158" t="s">
        <v>154</v>
      </c>
      <c r="C10" s="158"/>
      <c r="D10" s="128">
        <v>55</v>
      </c>
      <c r="E10" s="129" t="s">
        <v>117</v>
      </c>
      <c r="F10" s="137">
        <f>'Sổ QUAY 4 CÁNH đố tĩnh'!F6/1000</f>
        <v>3.6</v>
      </c>
      <c r="G10" s="96">
        <f>'Sổ QUAY 4 CÁNH đố tĩnh'!V20</f>
        <v>5794660.5773000009</v>
      </c>
      <c r="H10" s="130">
        <f t="shared" si="12"/>
        <v>1609627.9381388891</v>
      </c>
      <c r="I10" s="131">
        <f t="shared" si="3"/>
        <v>388800</v>
      </c>
      <c r="J10" s="131">
        <f t="shared" si="4"/>
        <v>158400</v>
      </c>
      <c r="K10" s="131">
        <f t="shared" si="5"/>
        <v>86400</v>
      </c>
      <c r="L10" s="131">
        <f t="shared" si="6"/>
        <v>25200</v>
      </c>
      <c r="M10" s="132">
        <f t="shared" si="13"/>
        <v>658800</v>
      </c>
      <c r="N10" s="133">
        <f t="shared" si="7"/>
        <v>6453460.5773000009</v>
      </c>
      <c r="O10" s="130">
        <f t="shared" si="8"/>
        <v>1829212.1817743767</v>
      </c>
      <c r="P10" s="97">
        <f t="shared" si="9"/>
        <v>6585163.8543877564</v>
      </c>
      <c r="Q10" s="130">
        <f t="shared" si="0"/>
        <v>2012133.3999518147</v>
      </c>
      <c r="R10" s="134">
        <f t="shared" si="1"/>
        <v>7243680.239826533</v>
      </c>
      <c r="S10" s="135">
        <f t="shared" si="10"/>
        <v>144873.60479653065</v>
      </c>
      <c r="T10" s="136">
        <f t="shared" si="2"/>
        <v>645346.0577300014</v>
      </c>
      <c r="U10" s="154"/>
    </row>
    <row r="11" spans="1:21" ht="44.4" customHeight="1" x14ac:dyDescent="0.3">
      <c r="A11" s="95">
        <f t="shared" si="11"/>
        <v>8</v>
      </c>
      <c r="B11" s="158" t="s">
        <v>155</v>
      </c>
      <c r="C11" s="158"/>
      <c r="D11" s="128">
        <v>55</v>
      </c>
      <c r="E11" s="129" t="s">
        <v>117</v>
      </c>
      <c r="F11" s="137">
        <f>'VÁCH KÍNH 55'!F6/1000</f>
        <v>0.40138000000000001</v>
      </c>
      <c r="G11" s="96">
        <f>'VÁCH KÍNH 55'!V15</f>
        <v>573100.47580000001</v>
      </c>
      <c r="H11" s="130">
        <f t="shared" si="12"/>
        <v>1427825.1925855798</v>
      </c>
      <c r="I11" s="131">
        <f t="shared" si="3"/>
        <v>43349.04</v>
      </c>
      <c r="J11" s="131">
        <f t="shared" si="4"/>
        <v>17660.72</v>
      </c>
      <c r="K11" s="131">
        <f t="shared" si="5"/>
        <v>9633.1200000000008</v>
      </c>
      <c r="L11" s="131">
        <f t="shared" si="6"/>
        <v>2809.6600000000003</v>
      </c>
      <c r="M11" s="132">
        <f t="shared" si="13"/>
        <v>73452.540000000008</v>
      </c>
      <c r="N11" s="133">
        <f t="shared" si="7"/>
        <v>646553.01580000005</v>
      </c>
      <c r="O11" s="130">
        <f t="shared" si="8"/>
        <v>1643699.1761077347</v>
      </c>
      <c r="P11" s="97">
        <f t="shared" si="9"/>
        <v>659747.97530612256</v>
      </c>
      <c r="Q11" s="130">
        <f t="shared" si="0"/>
        <v>1808069.0937185083</v>
      </c>
      <c r="R11" s="134">
        <f t="shared" si="1"/>
        <v>725722.77283673489</v>
      </c>
      <c r="S11" s="135">
        <f t="shared" si="10"/>
        <v>14514.455456734699</v>
      </c>
      <c r="T11" s="136">
        <f t="shared" si="2"/>
        <v>64655.301580000138</v>
      </c>
      <c r="U11" s="153">
        <f>SUM(Q11:Q12)/2</f>
        <v>1152765.6489000705</v>
      </c>
    </row>
    <row r="12" spans="1:21" ht="44.4" customHeight="1" x14ac:dyDescent="0.3">
      <c r="A12" s="95">
        <f t="shared" si="11"/>
        <v>9</v>
      </c>
      <c r="B12" s="158" t="s">
        <v>156</v>
      </c>
      <c r="C12" s="158"/>
      <c r="D12" s="128">
        <v>55</v>
      </c>
      <c r="E12" s="129" t="s">
        <v>117</v>
      </c>
      <c r="F12" s="137">
        <f>'VÁCH KÍNH 55'!R18/1000</f>
        <v>1</v>
      </c>
      <c r="G12" s="96">
        <f>'VÁCH KÍNH 55'!V27</f>
        <v>260193.6</v>
      </c>
      <c r="H12" s="130">
        <f t="shared" si="12"/>
        <v>260193.6</v>
      </c>
      <c r="I12" s="131">
        <f t="shared" si="3"/>
        <v>108000</v>
      </c>
      <c r="J12" s="131">
        <f t="shared" si="4"/>
        <v>44000</v>
      </c>
      <c r="K12" s="131">
        <f t="shared" si="5"/>
        <v>24000</v>
      </c>
      <c r="L12" s="131">
        <f t="shared" si="6"/>
        <v>7000</v>
      </c>
      <c r="M12" s="132">
        <f t="shared" si="13"/>
        <v>183000</v>
      </c>
      <c r="N12" s="133">
        <f t="shared" si="7"/>
        <v>443193.59999999998</v>
      </c>
      <c r="O12" s="130">
        <f t="shared" si="8"/>
        <v>452238.36734693876</v>
      </c>
      <c r="P12" s="97">
        <f t="shared" si="9"/>
        <v>452238.36734693876</v>
      </c>
      <c r="Q12" s="130">
        <f t="shared" si="0"/>
        <v>497462.20408163266</v>
      </c>
      <c r="R12" s="134">
        <f t="shared" si="1"/>
        <v>497462.20408163266</v>
      </c>
      <c r="S12" s="135">
        <f t="shared" si="10"/>
        <v>9949.2440816326543</v>
      </c>
      <c r="T12" s="136">
        <f t="shared" si="2"/>
        <v>44319.36000000003</v>
      </c>
      <c r="U12" s="154"/>
    </row>
    <row r="13" spans="1:21" ht="44.4" customHeight="1" x14ac:dyDescent="0.3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44"/>
    </row>
    <row r="14" spans="1:21" ht="44.4" customHeight="1" x14ac:dyDescent="0.3">
      <c r="A14" s="95">
        <v>1</v>
      </c>
      <c r="B14" s="158" t="s">
        <v>42</v>
      </c>
      <c r="C14" s="158"/>
      <c r="D14" s="128">
        <v>83</v>
      </c>
      <c r="E14" s="129" t="s">
        <v>116</v>
      </c>
      <c r="F14" s="137">
        <f>'ĐI QUAY 1 CÁNH 83'!F6/1000</f>
        <v>1.8</v>
      </c>
      <c r="G14" s="96">
        <f>'ĐI QUAY 1 CÁNH 83'!V19</f>
        <v>3669368.9643000006</v>
      </c>
      <c r="H14" s="130">
        <f>G14/F14</f>
        <v>2038538.3135000002</v>
      </c>
      <c r="I14" s="131">
        <f>$I$3*F14</f>
        <v>194400</v>
      </c>
      <c r="J14" s="131">
        <f>$J$3*F14</f>
        <v>79200</v>
      </c>
      <c r="K14" s="131">
        <f>$K$3*F14</f>
        <v>43200</v>
      </c>
      <c r="L14" s="131">
        <f>$L$3*F14</f>
        <v>12600</v>
      </c>
      <c r="M14" s="132">
        <f>SUM(I14:L14)</f>
        <v>329400</v>
      </c>
      <c r="N14" s="133">
        <f>SUM(I14:L14)+G14</f>
        <v>3998768.9643000006</v>
      </c>
      <c r="O14" s="130">
        <f>P14/F14</f>
        <v>2266875.8301020409</v>
      </c>
      <c r="P14" s="97">
        <f>N14/(1-$S$3)</f>
        <v>4080376.494183674</v>
      </c>
      <c r="Q14" s="130">
        <f t="shared" ref="Q14:Q20" si="14">R14/F14</f>
        <v>2493563.413112245</v>
      </c>
      <c r="R14" s="134">
        <f t="shared" ref="R14:R27" si="15">P14*1.1</f>
        <v>4488414.1436020415</v>
      </c>
      <c r="S14" s="135">
        <f>R14*$S$3</f>
        <v>89768.282872040829</v>
      </c>
      <c r="T14" s="136">
        <f t="shared" ref="T14:T21" si="16">R14-N14-S14</f>
        <v>399876.89643000014</v>
      </c>
      <c r="U14" s="155">
        <f>SUM(Q14:Q16)/3</f>
        <v>2282227.18457672</v>
      </c>
    </row>
    <row r="15" spans="1:21" ht="44.4" customHeight="1" x14ac:dyDescent="0.3">
      <c r="A15" s="95">
        <f>A14+1</f>
        <v>2</v>
      </c>
      <c r="B15" s="158" t="s">
        <v>149</v>
      </c>
      <c r="C15" s="158"/>
      <c r="D15" s="128">
        <v>83</v>
      </c>
      <c r="E15" s="129" t="s">
        <v>116</v>
      </c>
      <c r="F15" s="137">
        <f>'ĐI QUAY 2 CÁNH 83 '!F6/1000</f>
        <v>3.6</v>
      </c>
      <c r="G15" s="96">
        <f>'ĐI QUAY 2 CÁNH 83 '!V21</f>
        <v>6491963.7018999998</v>
      </c>
      <c r="H15" s="130">
        <f t="shared" ref="H15" si="17">G15/F15</f>
        <v>1803323.2505277777</v>
      </c>
      <c r="I15" s="131">
        <f t="shared" ref="I15" si="18">$I$3*F15</f>
        <v>388800</v>
      </c>
      <c r="J15" s="131">
        <f t="shared" ref="J15:J27" si="19">$J$3*F15</f>
        <v>158400</v>
      </c>
      <c r="K15" s="131">
        <f t="shared" ref="K15:K27" si="20">$K$3*F15</f>
        <v>86400</v>
      </c>
      <c r="L15" s="131">
        <f t="shared" ref="L15:L27" si="21">$L$3*F15</f>
        <v>25200</v>
      </c>
      <c r="M15" s="132">
        <f t="shared" ref="M15:M27" si="22">SUM(I15:L15)</f>
        <v>658800</v>
      </c>
      <c r="N15" s="133">
        <f t="shared" ref="N15:N27" si="23">SUM(I15:L15)+G15</f>
        <v>7150763.7018999998</v>
      </c>
      <c r="O15" s="130">
        <f t="shared" ref="O15:O27" si="24">P15/F15</f>
        <v>2026860.4597222223</v>
      </c>
      <c r="P15" s="97">
        <f t="shared" ref="P15:P27" si="25">N15/(1-$S$3)</f>
        <v>7296697.6550000003</v>
      </c>
      <c r="Q15" s="130">
        <f t="shared" si="14"/>
        <v>2229546.5056944448</v>
      </c>
      <c r="R15" s="134">
        <f t="shared" si="15"/>
        <v>8026367.4205000009</v>
      </c>
      <c r="S15" s="135">
        <f t="shared" ref="S15:S27" si="26">R15*$S$3</f>
        <v>160527.34841000004</v>
      </c>
      <c r="T15" s="136">
        <f t="shared" si="16"/>
        <v>715076.37019000109</v>
      </c>
      <c r="U15" s="154"/>
    </row>
    <row r="16" spans="1:21" ht="44.4" customHeight="1" x14ac:dyDescent="0.3">
      <c r="A16" s="95">
        <f>A15+1</f>
        <v>3</v>
      </c>
      <c r="B16" s="158" t="s">
        <v>150</v>
      </c>
      <c r="C16" s="158"/>
      <c r="D16" s="128">
        <v>83</v>
      </c>
      <c r="E16" s="129" t="s">
        <v>116</v>
      </c>
      <c r="F16" s="137">
        <f>'ĐI QUAY 4 CÁNH 83'!F6/1000</f>
        <v>7.2</v>
      </c>
      <c r="G16" s="96">
        <f>'ĐI QUAY 4 CÁNH 83'!V21</f>
        <v>12304146.778200002</v>
      </c>
      <c r="H16" s="130">
        <f>G16/F16</f>
        <v>1708909.2747500003</v>
      </c>
      <c r="I16" s="131">
        <f>$I$3*F16</f>
        <v>777600</v>
      </c>
      <c r="J16" s="131">
        <f t="shared" si="19"/>
        <v>316800</v>
      </c>
      <c r="K16" s="131">
        <f t="shared" si="20"/>
        <v>172800</v>
      </c>
      <c r="L16" s="131">
        <f t="shared" si="21"/>
        <v>50400</v>
      </c>
      <c r="M16" s="132">
        <f>SUM(I16:L16)</f>
        <v>1317600</v>
      </c>
      <c r="N16" s="133">
        <f>SUM(I16:L16)+G16</f>
        <v>13621746.778200002</v>
      </c>
      <c r="O16" s="130">
        <f>P16/F16</f>
        <v>1930519.6681122454</v>
      </c>
      <c r="P16" s="97">
        <f>N16/(1-$S$3)</f>
        <v>13899741.610408166</v>
      </c>
      <c r="Q16" s="130">
        <f t="shared" si="14"/>
        <v>2123571.6349234702</v>
      </c>
      <c r="R16" s="134">
        <f t="shared" si="15"/>
        <v>15289715.771448985</v>
      </c>
      <c r="S16" s="141">
        <f>R16*$S$3</f>
        <v>305794.31542897969</v>
      </c>
      <c r="T16" s="136">
        <f t="shared" si="16"/>
        <v>1362174.6778200027</v>
      </c>
      <c r="U16" s="154"/>
    </row>
    <row r="17" spans="1:21" ht="44.4" customHeight="1" x14ac:dyDescent="0.3">
      <c r="A17" s="95">
        <f t="shared" ref="A17:A27" si="27">A16+1</f>
        <v>4</v>
      </c>
      <c r="B17" s="158" t="s">
        <v>151</v>
      </c>
      <c r="C17" s="158"/>
      <c r="D17" s="128">
        <v>83</v>
      </c>
      <c r="E17" s="129" t="s">
        <v>117</v>
      </c>
      <c r="F17" s="137">
        <f>'SỔ QUAY 1 CÁNH 83'!F6/1000</f>
        <v>0.8</v>
      </c>
      <c r="G17" s="96">
        <f>'SỔ QUAY 1 CÁNH 83'!V17</f>
        <v>1856166.4319999998</v>
      </c>
      <c r="H17" s="130">
        <f>G17/F17</f>
        <v>2320208.0399999996</v>
      </c>
      <c r="I17" s="131">
        <f>$I$3*F17</f>
        <v>86400</v>
      </c>
      <c r="J17" s="131">
        <f>$J$3*F17</f>
        <v>35200</v>
      </c>
      <c r="K17" s="131">
        <f>$K$3*F17</f>
        <v>19200</v>
      </c>
      <c r="L17" s="131">
        <f>$L$3*F17</f>
        <v>5600</v>
      </c>
      <c r="M17" s="132">
        <f t="shared" si="22"/>
        <v>146400</v>
      </c>
      <c r="N17" s="133">
        <f>SUM(I17:L17)+G17</f>
        <v>2002566.4319999998</v>
      </c>
      <c r="O17" s="130">
        <f t="shared" si="24"/>
        <v>2554293.9183673463</v>
      </c>
      <c r="P17" s="97">
        <f t="shared" si="25"/>
        <v>2043435.1346938773</v>
      </c>
      <c r="Q17" s="130">
        <f>R17/F17</f>
        <v>2809723.3102040812</v>
      </c>
      <c r="R17" s="134">
        <f>P17*1.1</f>
        <v>2247778.6481632651</v>
      </c>
      <c r="S17" s="135">
        <f t="shared" si="26"/>
        <v>44955.572963265302</v>
      </c>
      <c r="T17" s="136">
        <f t="shared" si="16"/>
        <v>200256.64319999999</v>
      </c>
      <c r="U17" s="153">
        <f>SUM(Q17:Q20)/4</f>
        <v>2533288.3227111679</v>
      </c>
    </row>
    <row r="18" spans="1:21" ht="44.4" customHeight="1" x14ac:dyDescent="0.3">
      <c r="A18" s="95">
        <f t="shared" si="27"/>
        <v>5</v>
      </c>
      <c r="B18" s="158" t="s">
        <v>152</v>
      </c>
      <c r="C18" s="158"/>
      <c r="D18" s="128">
        <v>83</v>
      </c>
      <c r="E18" s="129" t="s">
        <v>117</v>
      </c>
      <c r="F18" s="137">
        <f>'SỔ QUAY 2 CÁNH 83 '!F6/1000</f>
        <v>1.8</v>
      </c>
      <c r="G18" s="96">
        <f>'SỔ QUAY 2 CÁNH 83 '!V19</f>
        <v>3550307.6940000001</v>
      </c>
      <c r="H18" s="130">
        <f t="shared" ref="H18:H27" si="28">G18/F18</f>
        <v>1972393.1633333333</v>
      </c>
      <c r="I18" s="131">
        <f t="shared" ref="I18:I27" si="29">$I$3*F18</f>
        <v>194400</v>
      </c>
      <c r="J18" s="131">
        <f t="shared" si="19"/>
        <v>79200</v>
      </c>
      <c r="K18" s="131">
        <f t="shared" si="20"/>
        <v>43200</v>
      </c>
      <c r="L18" s="131">
        <f t="shared" si="21"/>
        <v>12600</v>
      </c>
      <c r="M18" s="132">
        <f t="shared" si="22"/>
        <v>329400</v>
      </c>
      <c r="N18" s="133">
        <f t="shared" si="23"/>
        <v>3879707.6940000001</v>
      </c>
      <c r="O18" s="130">
        <f t="shared" si="24"/>
        <v>2199380.7789115645</v>
      </c>
      <c r="P18" s="97">
        <f t="shared" si="25"/>
        <v>3958885.4020408164</v>
      </c>
      <c r="Q18" s="130">
        <f t="shared" si="14"/>
        <v>2419318.8568027215</v>
      </c>
      <c r="R18" s="134">
        <f t="shared" si="15"/>
        <v>4354773.9422448985</v>
      </c>
      <c r="S18" s="135">
        <f t="shared" si="26"/>
        <v>87095.478844897967</v>
      </c>
      <c r="T18" s="136">
        <f t="shared" si="16"/>
        <v>387970.76940000046</v>
      </c>
      <c r="U18" s="154"/>
    </row>
    <row r="19" spans="1:21" ht="44.4" customHeight="1" x14ac:dyDescent="0.3">
      <c r="A19" s="95">
        <f t="shared" si="27"/>
        <v>6</v>
      </c>
      <c r="B19" s="158" t="s">
        <v>153</v>
      </c>
      <c r="C19" s="158"/>
      <c r="D19" s="128">
        <v>83</v>
      </c>
      <c r="E19" s="129" t="s">
        <v>117</v>
      </c>
      <c r="F19" s="137">
        <f>'SỔ QUAY 3 CÁNH 83'!F6/1000</f>
        <v>2.4</v>
      </c>
      <c r="G19" s="96">
        <f>'SỔ QUAY 3 CÁNH 83'!V18</f>
        <v>5008171.1219999995</v>
      </c>
      <c r="H19" s="130">
        <f t="shared" si="28"/>
        <v>2086737.9674999998</v>
      </c>
      <c r="I19" s="131">
        <f t="shared" si="29"/>
        <v>259200</v>
      </c>
      <c r="J19" s="131">
        <f t="shared" si="19"/>
        <v>105600</v>
      </c>
      <c r="K19" s="131">
        <f t="shared" si="20"/>
        <v>57600</v>
      </c>
      <c r="L19" s="131">
        <f t="shared" si="21"/>
        <v>16800</v>
      </c>
      <c r="M19" s="132">
        <f t="shared" si="22"/>
        <v>439200</v>
      </c>
      <c r="N19" s="133">
        <f t="shared" si="23"/>
        <v>5447371.1219999995</v>
      </c>
      <c r="O19" s="130">
        <f t="shared" si="24"/>
        <v>2316059.150510204</v>
      </c>
      <c r="P19" s="97">
        <f t="shared" si="25"/>
        <v>5558541.9612244898</v>
      </c>
      <c r="Q19" s="130">
        <f t="shared" si="14"/>
        <v>2547665.0655612252</v>
      </c>
      <c r="R19" s="134">
        <f t="shared" si="15"/>
        <v>6114396.1573469397</v>
      </c>
      <c r="S19" s="135">
        <f t="shared" si="26"/>
        <v>122287.92314693879</v>
      </c>
      <c r="T19" s="136">
        <f t="shared" si="16"/>
        <v>544737.11220000137</v>
      </c>
      <c r="U19" s="154"/>
    </row>
    <row r="20" spans="1:21" ht="44.4" customHeight="1" x14ac:dyDescent="0.3">
      <c r="A20" s="95">
        <f t="shared" si="27"/>
        <v>7</v>
      </c>
      <c r="B20" s="158" t="s">
        <v>154</v>
      </c>
      <c r="C20" s="158"/>
      <c r="D20" s="128">
        <v>83</v>
      </c>
      <c r="E20" s="129" t="s">
        <v>117</v>
      </c>
      <c r="F20" s="137">
        <f>'SỔ QUAY 4 CÁNH 83'!F6/1000</f>
        <v>3.6</v>
      </c>
      <c r="G20" s="96">
        <f>'SỔ QUAY 4 CÁNH 83'!V20</f>
        <v>6898965.176</v>
      </c>
      <c r="H20" s="130">
        <f t="shared" si="28"/>
        <v>1916379.2155555554</v>
      </c>
      <c r="I20" s="131">
        <f t="shared" si="29"/>
        <v>388800</v>
      </c>
      <c r="J20" s="131">
        <f t="shared" si="19"/>
        <v>158400</v>
      </c>
      <c r="K20" s="131">
        <f t="shared" si="20"/>
        <v>86400</v>
      </c>
      <c r="L20" s="131">
        <f t="shared" si="21"/>
        <v>25200</v>
      </c>
      <c r="M20" s="132">
        <f t="shared" si="22"/>
        <v>658800</v>
      </c>
      <c r="N20" s="133">
        <f t="shared" si="23"/>
        <v>7557765.176</v>
      </c>
      <c r="O20" s="130">
        <f t="shared" si="24"/>
        <v>2142223.6893424038</v>
      </c>
      <c r="P20" s="97">
        <f t="shared" si="25"/>
        <v>7712005.2816326534</v>
      </c>
      <c r="Q20" s="130">
        <f t="shared" si="14"/>
        <v>2356446.0582766444</v>
      </c>
      <c r="R20" s="134">
        <f t="shared" si="15"/>
        <v>8483205.8097959198</v>
      </c>
      <c r="S20" s="135">
        <f t="shared" si="26"/>
        <v>169664.11619591841</v>
      </c>
      <c r="T20" s="136">
        <f t="shared" si="16"/>
        <v>755776.51760000142</v>
      </c>
      <c r="U20" s="154"/>
    </row>
    <row r="21" spans="1:21" ht="44.4" customHeight="1" x14ac:dyDescent="0.3">
      <c r="A21" s="95">
        <f>A18+1</f>
        <v>6</v>
      </c>
      <c r="B21" s="158" t="s">
        <v>155</v>
      </c>
      <c r="C21" s="158"/>
      <c r="D21" s="128">
        <v>83</v>
      </c>
      <c r="E21" s="129" t="s">
        <v>117</v>
      </c>
      <c r="F21" s="137">
        <f>'VÁCH KÍNH 83'!F6/1000</f>
        <v>1</v>
      </c>
      <c r="G21" s="96">
        <f>'VÁCH KÍNH 83'!V16</f>
        <v>1251600.1000000001</v>
      </c>
      <c r="H21" s="130">
        <f t="shared" si="28"/>
        <v>1251600.1000000001</v>
      </c>
      <c r="I21" s="131">
        <f t="shared" si="29"/>
        <v>108000</v>
      </c>
      <c r="J21" s="131">
        <f t="shared" si="19"/>
        <v>44000</v>
      </c>
      <c r="K21" s="131">
        <f t="shared" si="20"/>
        <v>24000</v>
      </c>
      <c r="L21" s="131">
        <f t="shared" si="21"/>
        <v>7000</v>
      </c>
      <c r="M21" s="132">
        <f t="shared" si="22"/>
        <v>183000</v>
      </c>
      <c r="N21" s="133">
        <f t="shared" si="23"/>
        <v>1434600.1</v>
      </c>
      <c r="O21" s="130">
        <f t="shared" si="24"/>
        <v>1463877.6530612246</v>
      </c>
      <c r="P21" s="97">
        <f t="shared" si="25"/>
        <v>1463877.6530612246</v>
      </c>
      <c r="Q21" s="130">
        <f t="shared" ref="Q21:Q27" si="30">R21/F21</f>
        <v>1610265.4183673472</v>
      </c>
      <c r="R21" s="134">
        <f t="shared" si="15"/>
        <v>1610265.4183673472</v>
      </c>
      <c r="S21" s="135">
        <f t="shared" si="26"/>
        <v>32205.308367346945</v>
      </c>
      <c r="T21" s="136">
        <f t="shared" si="16"/>
        <v>143460.01000000018</v>
      </c>
      <c r="U21" s="153">
        <f>SUM(Q21:Q22)/2</f>
        <v>1063723.7397959186</v>
      </c>
    </row>
    <row r="22" spans="1:21" ht="44.4" customHeight="1" x14ac:dyDescent="0.3">
      <c r="A22" s="95">
        <f t="shared" si="27"/>
        <v>7</v>
      </c>
      <c r="B22" s="158" t="s">
        <v>156</v>
      </c>
      <c r="C22" s="158"/>
      <c r="D22" s="128">
        <v>83</v>
      </c>
      <c r="E22" s="129" t="s">
        <v>117</v>
      </c>
      <c r="F22" s="137">
        <f>'VÁCH KÍNH 83'!R19/1000</f>
        <v>1</v>
      </c>
      <c r="G22" s="96">
        <f>'VÁCH KÍNH 83'!V28</f>
        <v>277762.2</v>
      </c>
      <c r="H22" s="130">
        <f t="shared" si="28"/>
        <v>277762.2</v>
      </c>
      <c r="I22" s="131">
        <f t="shared" si="29"/>
        <v>108000</v>
      </c>
      <c r="J22" s="131">
        <f t="shared" si="19"/>
        <v>44000</v>
      </c>
      <c r="K22" s="131">
        <f t="shared" si="20"/>
        <v>24000</v>
      </c>
      <c r="L22" s="131">
        <f t="shared" si="21"/>
        <v>7000</v>
      </c>
      <c r="M22" s="132">
        <f t="shared" si="22"/>
        <v>183000</v>
      </c>
      <c r="N22" s="133">
        <f t="shared" si="23"/>
        <v>460762.2</v>
      </c>
      <c r="O22" s="130">
        <f t="shared" si="24"/>
        <v>470165.51020408166</v>
      </c>
      <c r="P22" s="97">
        <f t="shared" si="25"/>
        <v>470165.51020408166</v>
      </c>
      <c r="Q22" s="130">
        <f t="shared" si="30"/>
        <v>517182.06122448988</v>
      </c>
      <c r="R22" s="134">
        <f t="shared" si="15"/>
        <v>517182.06122448988</v>
      </c>
      <c r="S22" s="135">
        <f t="shared" si="26"/>
        <v>10343.641224489798</v>
      </c>
      <c r="T22" s="136">
        <f t="shared" ref="T22:T27" si="31">R22-N22-S22</f>
        <v>46076.220000000074</v>
      </c>
      <c r="U22" s="154"/>
    </row>
    <row r="23" spans="1:21" ht="44.4" customHeight="1" x14ac:dyDescent="0.3">
      <c r="A23" s="95">
        <f>A20+1</f>
        <v>8</v>
      </c>
      <c r="B23" s="158" t="s">
        <v>158</v>
      </c>
      <c r="C23" s="158"/>
      <c r="D23" s="128">
        <v>83</v>
      </c>
      <c r="E23" s="129" t="s">
        <v>116</v>
      </c>
      <c r="F23" s="137">
        <f>'ĐI LÙA 83 2 CÁNH'!F6/1000</f>
        <v>3.6</v>
      </c>
      <c r="G23" s="96">
        <f>'ĐI LÙA 83 2 CÁNH'!V22</f>
        <v>6290590.1373000005</v>
      </c>
      <c r="H23" s="130">
        <f t="shared" si="28"/>
        <v>1747386.14925</v>
      </c>
      <c r="I23" s="131">
        <f t="shared" si="29"/>
        <v>388800</v>
      </c>
      <c r="J23" s="131">
        <f t="shared" si="19"/>
        <v>158400</v>
      </c>
      <c r="K23" s="131">
        <f t="shared" si="20"/>
        <v>86400</v>
      </c>
      <c r="L23" s="131">
        <f t="shared" si="21"/>
        <v>25200</v>
      </c>
      <c r="M23" s="132">
        <f t="shared" si="22"/>
        <v>658800</v>
      </c>
      <c r="N23" s="133">
        <f t="shared" si="23"/>
        <v>6949390.1373000005</v>
      </c>
      <c r="O23" s="130">
        <f t="shared" si="24"/>
        <v>1969781.7849489797</v>
      </c>
      <c r="P23" s="97">
        <f t="shared" si="25"/>
        <v>7091214.4258163273</v>
      </c>
      <c r="Q23" s="130">
        <f t="shared" si="30"/>
        <v>2166759.9634438776</v>
      </c>
      <c r="R23" s="134">
        <f t="shared" si="15"/>
        <v>7800335.8683979604</v>
      </c>
      <c r="S23" s="135">
        <f t="shared" si="26"/>
        <v>156006.71736795921</v>
      </c>
      <c r="T23" s="136">
        <f t="shared" si="31"/>
        <v>694939.0137300007</v>
      </c>
      <c r="U23" s="153">
        <f>SUM(Q23:Q25)/3</f>
        <v>2112719.9886548971</v>
      </c>
    </row>
    <row r="24" spans="1:21" ht="44.4" customHeight="1" x14ac:dyDescent="0.3">
      <c r="A24" s="95">
        <f t="shared" si="27"/>
        <v>9</v>
      </c>
      <c r="B24" s="158" t="s">
        <v>159</v>
      </c>
      <c r="C24" s="158"/>
      <c r="D24" s="128">
        <v>83</v>
      </c>
      <c r="E24" s="129" t="s">
        <v>116</v>
      </c>
      <c r="F24" s="137">
        <f>'ĐI Lùa 83 3 CÁNH'!F6/1000</f>
        <v>5.4</v>
      </c>
      <c r="G24" s="96">
        <f>'ĐI Lùa 83 3 CÁNH'!V22</f>
        <v>10000000.972100001</v>
      </c>
      <c r="H24" s="130">
        <f t="shared" si="28"/>
        <v>1851852.0318703705</v>
      </c>
      <c r="I24" s="131">
        <f t="shared" si="29"/>
        <v>583200</v>
      </c>
      <c r="J24" s="131">
        <f t="shared" si="19"/>
        <v>237600.00000000003</v>
      </c>
      <c r="K24" s="131">
        <f t="shared" si="20"/>
        <v>129600.00000000001</v>
      </c>
      <c r="L24" s="131">
        <f t="shared" si="21"/>
        <v>37800</v>
      </c>
      <c r="M24" s="132">
        <f t="shared" si="22"/>
        <v>988200</v>
      </c>
      <c r="N24" s="133">
        <f t="shared" si="23"/>
        <v>10988200.972100001</v>
      </c>
      <c r="O24" s="130">
        <f t="shared" si="24"/>
        <v>2076379.6243575206</v>
      </c>
      <c r="P24" s="97">
        <f t="shared" si="25"/>
        <v>11212449.971530613</v>
      </c>
      <c r="Q24" s="130">
        <f t="shared" si="30"/>
        <v>2284017.5867932728</v>
      </c>
      <c r="R24" s="134">
        <f t="shared" si="15"/>
        <v>12333694.968683675</v>
      </c>
      <c r="S24" s="135">
        <f t="shared" si="26"/>
        <v>246673.89937367351</v>
      </c>
      <c r="T24" s="136">
        <f t="shared" si="31"/>
        <v>1098820.0972100005</v>
      </c>
      <c r="U24" s="154"/>
    </row>
    <row r="25" spans="1:21" ht="44.4" customHeight="1" x14ac:dyDescent="0.3">
      <c r="A25" s="95">
        <f t="shared" si="27"/>
        <v>10</v>
      </c>
      <c r="B25" s="158" t="s">
        <v>160</v>
      </c>
      <c r="C25" s="158"/>
      <c r="D25" s="128">
        <v>83</v>
      </c>
      <c r="E25" s="129" t="s">
        <v>116</v>
      </c>
      <c r="F25" s="137">
        <f>'ĐI Lùa 83 4 CÁNH'!F6/1000</f>
        <v>11.423999999999999</v>
      </c>
      <c r="G25" s="96">
        <f>'ĐI Lùa 83 4 CÁNH'!V23</f>
        <v>17118705.80266</v>
      </c>
      <c r="H25" s="130">
        <f t="shared" si="28"/>
        <v>1498486.1521936276</v>
      </c>
      <c r="I25" s="131">
        <f t="shared" si="29"/>
        <v>1233792</v>
      </c>
      <c r="J25" s="131">
        <f t="shared" si="19"/>
        <v>502656</v>
      </c>
      <c r="K25" s="131">
        <f t="shared" si="20"/>
        <v>274176</v>
      </c>
      <c r="L25" s="131">
        <f t="shared" si="21"/>
        <v>79968</v>
      </c>
      <c r="M25" s="132">
        <f t="shared" si="22"/>
        <v>2090592</v>
      </c>
      <c r="N25" s="133">
        <f t="shared" si="23"/>
        <v>19209297.80266</v>
      </c>
      <c r="O25" s="130">
        <f t="shared" si="24"/>
        <v>1715802.1961159464</v>
      </c>
      <c r="P25" s="97">
        <f t="shared" si="25"/>
        <v>19601324.288428571</v>
      </c>
      <c r="Q25" s="130">
        <f t="shared" si="30"/>
        <v>1887382.4157275411</v>
      </c>
      <c r="R25" s="134">
        <f t="shared" si="15"/>
        <v>21561456.717271429</v>
      </c>
      <c r="S25" s="135">
        <f t="shared" si="26"/>
        <v>431229.13434542855</v>
      </c>
      <c r="T25" s="136">
        <f t="shared" si="31"/>
        <v>1920929.7802660004</v>
      </c>
      <c r="U25" s="154"/>
    </row>
    <row r="26" spans="1:21" ht="44.4" customHeight="1" x14ac:dyDescent="0.3">
      <c r="A26" s="95">
        <f t="shared" si="27"/>
        <v>11</v>
      </c>
      <c r="B26" s="158" t="s">
        <v>161</v>
      </c>
      <c r="C26" s="158"/>
      <c r="D26" s="128">
        <v>83</v>
      </c>
      <c r="E26" s="129" t="s">
        <v>117</v>
      </c>
      <c r="F26" s="137">
        <f>'Sổ lùA 2 CÁNH 83'!F6/1000</f>
        <v>1.8</v>
      </c>
      <c r="G26" s="96">
        <f>'Sổ lùA 2 CÁNH 83'!V17</f>
        <v>3508979.9343999997</v>
      </c>
      <c r="H26" s="130">
        <f t="shared" si="28"/>
        <v>1949433.2968888886</v>
      </c>
      <c r="I26" s="131">
        <f t="shared" si="29"/>
        <v>194400</v>
      </c>
      <c r="J26" s="131">
        <f t="shared" si="19"/>
        <v>79200</v>
      </c>
      <c r="K26" s="131">
        <f t="shared" si="20"/>
        <v>43200</v>
      </c>
      <c r="L26" s="131">
        <f t="shared" si="21"/>
        <v>12600</v>
      </c>
      <c r="M26" s="132">
        <f t="shared" si="22"/>
        <v>329400</v>
      </c>
      <c r="N26" s="133">
        <f t="shared" si="23"/>
        <v>3838379.9343999997</v>
      </c>
      <c r="O26" s="130">
        <f t="shared" si="24"/>
        <v>2175952.3437641719</v>
      </c>
      <c r="P26" s="97">
        <f t="shared" si="25"/>
        <v>3916714.2187755099</v>
      </c>
      <c r="Q26" s="130">
        <f t="shared" si="30"/>
        <v>2393547.5781405894</v>
      </c>
      <c r="R26" s="134">
        <f t="shared" si="15"/>
        <v>4308385.6406530607</v>
      </c>
      <c r="S26" s="135">
        <f t="shared" si="26"/>
        <v>86167.712813061211</v>
      </c>
      <c r="T26" s="136">
        <f t="shared" si="31"/>
        <v>383837.99343999987</v>
      </c>
      <c r="U26" s="153">
        <f>SUM(Q26:Q27)/2</f>
        <v>2384183.9290154022</v>
      </c>
    </row>
    <row r="27" spans="1:21" ht="44.4" customHeight="1" x14ac:dyDescent="0.3">
      <c r="A27" s="95">
        <f t="shared" si="27"/>
        <v>12</v>
      </c>
      <c r="B27" s="158" t="s">
        <v>162</v>
      </c>
      <c r="C27" s="158"/>
      <c r="D27" s="128">
        <v>83</v>
      </c>
      <c r="E27" s="129" t="s">
        <v>117</v>
      </c>
      <c r="F27" s="137">
        <f>'Sổ lùa 4 CÁNH 83'!F6/1000</f>
        <v>4.4800000000000004</v>
      </c>
      <c r="G27" s="96">
        <f>'Sổ lùa 4 CÁNH 83'!V18</f>
        <v>8658715.4153000005</v>
      </c>
      <c r="H27" s="130">
        <f t="shared" si="28"/>
        <v>1932748.9766294642</v>
      </c>
      <c r="I27" s="131">
        <f t="shared" si="29"/>
        <v>483840.00000000006</v>
      </c>
      <c r="J27" s="131">
        <f t="shared" si="19"/>
        <v>197120.00000000003</v>
      </c>
      <c r="K27" s="131">
        <f t="shared" si="20"/>
        <v>107520.00000000001</v>
      </c>
      <c r="L27" s="131">
        <f t="shared" si="21"/>
        <v>31360.000000000004</v>
      </c>
      <c r="M27" s="132">
        <f t="shared" si="22"/>
        <v>819840.00000000012</v>
      </c>
      <c r="N27" s="133">
        <f t="shared" si="23"/>
        <v>9478555.4153000005</v>
      </c>
      <c r="O27" s="130">
        <f t="shared" si="24"/>
        <v>2158927.5271729226</v>
      </c>
      <c r="P27" s="97">
        <f t="shared" si="25"/>
        <v>9671995.3217346948</v>
      </c>
      <c r="Q27" s="130">
        <f t="shared" si="30"/>
        <v>2374820.279890215</v>
      </c>
      <c r="R27" s="134">
        <f t="shared" si="15"/>
        <v>10639194.853908164</v>
      </c>
      <c r="S27" s="135">
        <f t="shared" si="26"/>
        <v>212783.89707816328</v>
      </c>
      <c r="T27" s="136">
        <f t="shared" si="31"/>
        <v>947855.54153000074</v>
      </c>
      <c r="U27" s="154"/>
    </row>
  </sheetData>
  <mergeCells count="37">
    <mergeCell ref="B24:C24"/>
    <mergeCell ref="B25:C25"/>
    <mergeCell ref="B26:C26"/>
    <mergeCell ref="B27:C27"/>
    <mergeCell ref="B17:C17"/>
    <mergeCell ref="B18:C18"/>
    <mergeCell ref="B19:C19"/>
    <mergeCell ref="B20:C20"/>
    <mergeCell ref="B21:C21"/>
    <mergeCell ref="B22:C22"/>
    <mergeCell ref="B23:C23"/>
    <mergeCell ref="U2:U3"/>
    <mergeCell ref="B3:C3"/>
    <mergeCell ref="B4:C4"/>
    <mergeCell ref="B5:C5"/>
    <mergeCell ref="U4:U6"/>
    <mergeCell ref="B2:E2"/>
    <mergeCell ref="A1:T1"/>
    <mergeCell ref="B14:C14"/>
    <mergeCell ref="B15:C15"/>
    <mergeCell ref="B16:C16"/>
    <mergeCell ref="B6:C6"/>
    <mergeCell ref="B7:C7"/>
    <mergeCell ref="B8:C8"/>
    <mergeCell ref="B9:C9"/>
    <mergeCell ref="B10:C10"/>
    <mergeCell ref="T2:T3"/>
    <mergeCell ref="B11:C11"/>
    <mergeCell ref="B12:C12"/>
    <mergeCell ref="A2:A3"/>
    <mergeCell ref="U26:U27"/>
    <mergeCell ref="U23:U25"/>
    <mergeCell ref="U7:U10"/>
    <mergeCell ref="U14:U16"/>
    <mergeCell ref="U17:U20"/>
    <mergeCell ref="U11:U12"/>
    <mergeCell ref="U21:U22"/>
  </mergeCells>
  <pageMargins left="0.7" right="0.7" top="0.75" bottom="0.75" header="0.3" footer="0.3"/>
  <pageSetup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X36"/>
  <sheetViews>
    <sheetView zoomScale="50" zoomScaleNormal="50" zoomScaleSheetLayoutView="85" workbookViewId="0">
      <selection activeCell="J17" sqref="J17:K17"/>
    </sheetView>
  </sheetViews>
  <sheetFormatPr defaultColWidth="15.6640625" defaultRowHeight="40.200000000000003" customHeight="1" x14ac:dyDescent="0.35"/>
  <cols>
    <col min="1" max="1" width="2.5546875" style="1" customWidth="1"/>
    <col min="2" max="10" width="15.6640625" style="1"/>
    <col min="11" max="11" width="17.6640625" style="1" bestFit="1" customWidth="1"/>
    <col min="12" max="12" width="15.6640625" style="1"/>
    <col min="13" max="13" width="5.44140625" style="1" customWidth="1"/>
    <col min="14" max="14" width="10.6640625" style="1" customWidth="1"/>
    <col min="15" max="15" width="22.21875" style="1" customWidth="1"/>
    <col min="16" max="16" width="19.109375" style="1" customWidth="1"/>
    <col min="17" max="17" width="22.21875" style="1" hidden="1" customWidth="1"/>
    <col min="18" max="22" width="22.21875" style="1" customWidth="1"/>
    <col min="23" max="23" width="45" style="1" customWidth="1"/>
    <col min="24" max="35" width="22.21875" style="1" customWidth="1"/>
    <col min="36" max="16384" width="15.6640625" style="1"/>
  </cols>
  <sheetData>
    <row r="1" spans="2:24" ht="40.200000000000003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4" ht="78.75" customHeight="1" x14ac:dyDescent="0.35">
      <c r="B2" s="175" t="s">
        <v>42</v>
      </c>
      <c r="C2" s="175"/>
      <c r="D2" s="175"/>
      <c r="E2" s="175"/>
      <c r="F2" s="175"/>
      <c r="G2" s="18"/>
      <c r="H2" s="176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30" t="s">
        <v>96</v>
      </c>
      <c r="S2" s="30" t="s">
        <v>56</v>
      </c>
      <c r="T2" s="30" t="s">
        <v>95</v>
      </c>
      <c r="U2" s="24" t="s">
        <v>38</v>
      </c>
      <c r="V2" s="24" t="s">
        <v>39</v>
      </c>
      <c r="W2" s="24" t="s">
        <v>33</v>
      </c>
    </row>
    <row r="3" spans="2:24" ht="40.200000000000003" customHeight="1" x14ac:dyDescent="0.35">
      <c r="B3" s="177"/>
      <c r="C3" s="178"/>
      <c r="D3" s="178"/>
      <c r="E3" s="3" t="s">
        <v>0</v>
      </c>
      <c r="F3" s="16" t="s">
        <v>1</v>
      </c>
      <c r="G3" s="3" t="s">
        <v>2</v>
      </c>
      <c r="H3" s="176"/>
      <c r="I3" s="5" t="s">
        <v>4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47</v>
      </c>
      <c r="P3" s="170"/>
      <c r="Q3" s="170"/>
      <c r="R3" s="34">
        <f>K4*L4+K5*L5</f>
        <v>5372</v>
      </c>
      <c r="S3" s="29">
        <v>1.236</v>
      </c>
      <c r="T3" s="31">
        <f>S3*R3</f>
        <v>6639.7920000000004</v>
      </c>
      <c r="U3" s="34">
        <v>198000</v>
      </c>
      <c r="V3" s="31">
        <f>U3*T3/1000</f>
        <v>1314678.8160000001</v>
      </c>
      <c r="W3" s="86"/>
    </row>
    <row r="4" spans="2:24" ht="40.200000000000003" customHeight="1" x14ac:dyDescent="0.35">
      <c r="B4" s="177"/>
      <c r="C4" s="178"/>
      <c r="D4" s="178"/>
      <c r="E4" s="3">
        <v>940</v>
      </c>
      <c r="F4" s="3">
        <v>2216</v>
      </c>
      <c r="G4" s="3">
        <v>1</v>
      </c>
      <c r="H4" s="6" t="s">
        <v>19</v>
      </c>
      <c r="I4" s="3" t="s">
        <v>10</v>
      </c>
      <c r="J4" s="6"/>
      <c r="K4" s="87">
        <f>E4</f>
        <v>940</v>
      </c>
      <c r="L4" s="3">
        <f>G4*1</f>
        <v>1</v>
      </c>
      <c r="N4" s="15">
        <f>N3+1</f>
        <v>2</v>
      </c>
      <c r="O4" s="169" t="s">
        <v>48</v>
      </c>
      <c r="P4" s="170"/>
      <c r="Q4" s="170"/>
      <c r="R4" s="34">
        <f>K6*L6+K7*L7</f>
        <v>6046</v>
      </c>
      <c r="S4" s="29">
        <v>1.492</v>
      </c>
      <c r="T4" s="31">
        <f t="shared" ref="T4:T6" si="0">S4*R4</f>
        <v>9020.6319999999996</v>
      </c>
      <c r="U4" s="34">
        <v>198000</v>
      </c>
      <c r="V4" s="31">
        <f>U4*T4/1000</f>
        <v>1786085.1359999999</v>
      </c>
      <c r="W4" s="86"/>
    </row>
    <row r="5" spans="2:24" ht="40.200000000000003" customHeight="1" x14ac:dyDescent="0.35">
      <c r="B5" s="177"/>
      <c r="C5" s="178"/>
      <c r="D5" s="178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35</v>
      </c>
      <c r="J5" s="6"/>
      <c r="K5" s="87">
        <f>F4</f>
        <v>2216</v>
      </c>
      <c r="L5" s="3">
        <f>G4*2</f>
        <v>2</v>
      </c>
      <c r="N5" s="15">
        <f t="shared" ref="N5:N11" si="1">N4+1</f>
        <v>3</v>
      </c>
      <c r="O5" s="169" t="s">
        <v>49</v>
      </c>
      <c r="P5" s="170"/>
      <c r="Q5" s="170"/>
      <c r="R5" s="34">
        <f>R4</f>
        <v>6046</v>
      </c>
      <c r="S5" s="29">
        <v>0.27600000000000002</v>
      </c>
      <c r="T5" s="31">
        <f t="shared" si="0"/>
        <v>1668.6960000000001</v>
      </c>
      <c r="U5" s="34">
        <v>198000</v>
      </c>
      <c r="V5" s="31">
        <f>U5*T5/1000</f>
        <v>330401.80800000002</v>
      </c>
      <c r="W5" s="86"/>
    </row>
    <row r="6" spans="2:24" ht="40.200000000000003" customHeight="1" x14ac:dyDescent="0.35">
      <c r="B6" s="177"/>
      <c r="C6" s="178"/>
      <c r="D6" s="178"/>
      <c r="E6" s="146">
        <f>G6+T7</f>
        <v>18570.484799999998</v>
      </c>
      <c r="F6" s="17">
        <f>F4*E4/1000</f>
        <v>2083.04</v>
      </c>
      <c r="G6" s="93">
        <f>SUM(T3:T6)</f>
        <v>17686.175999999999</v>
      </c>
      <c r="H6" s="6" t="s">
        <v>21</v>
      </c>
      <c r="I6" s="3" t="s">
        <v>12</v>
      </c>
      <c r="J6" s="6"/>
      <c r="K6" s="87">
        <f>K4-72-10</f>
        <v>858</v>
      </c>
      <c r="L6" s="3">
        <f>G4*2</f>
        <v>2</v>
      </c>
      <c r="N6" s="15">
        <f t="shared" si="1"/>
        <v>4</v>
      </c>
      <c r="O6" s="169" t="s">
        <v>50</v>
      </c>
      <c r="P6" s="170"/>
      <c r="Q6" s="170"/>
      <c r="R6" s="34">
        <f>K8*L8</f>
        <v>797</v>
      </c>
      <c r="S6" s="29">
        <v>0.44800000000000001</v>
      </c>
      <c r="T6" s="31">
        <f t="shared" si="0"/>
        <v>357.05599999999998</v>
      </c>
      <c r="U6" s="34">
        <v>198000</v>
      </c>
      <c r="V6" s="31">
        <f>U6*T6/1000</f>
        <v>70697.088000000003</v>
      </c>
      <c r="W6" s="86"/>
    </row>
    <row r="7" spans="2:24" ht="40.200000000000003" customHeight="1" x14ac:dyDescent="0.35">
      <c r="B7" s="177"/>
      <c r="C7" s="178"/>
      <c r="D7" s="178"/>
      <c r="E7" s="3"/>
      <c r="F7" s="41" t="s">
        <v>36</v>
      </c>
      <c r="G7" s="41" t="s">
        <v>43</v>
      </c>
      <c r="H7" s="6" t="s">
        <v>22</v>
      </c>
      <c r="I7" s="3" t="s">
        <v>13</v>
      </c>
      <c r="J7" s="6"/>
      <c r="K7" s="88">
        <f>IF(AND(F9="X",G9=""),K5-F8,0)+IF(AND(G9="X",F9=""),K5-G8,0)</f>
        <v>2165</v>
      </c>
      <c r="L7" s="3">
        <f>G4*2</f>
        <v>2</v>
      </c>
      <c r="N7" s="15">
        <f t="shared" si="1"/>
        <v>5</v>
      </c>
      <c r="O7" s="169" t="s">
        <v>72</v>
      </c>
      <c r="P7" s="170"/>
      <c r="Q7" s="171"/>
      <c r="R7" s="34"/>
      <c r="S7" s="29"/>
      <c r="T7" s="145">
        <f>SUM(T3:T6)*U7</f>
        <v>884.30880000000002</v>
      </c>
      <c r="U7" s="55">
        <v>0.05</v>
      </c>
      <c r="V7" s="34">
        <f>SUM(V3:V6)*U7</f>
        <v>175093.14240000001</v>
      </c>
      <c r="W7" s="42"/>
    </row>
    <row r="8" spans="2:24" ht="40.200000000000003" customHeight="1" x14ac:dyDescent="0.35">
      <c r="B8" s="177"/>
      <c r="C8" s="178"/>
      <c r="D8" s="178"/>
      <c r="E8" s="3"/>
      <c r="F8" s="3">
        <v>51</v>
      </c>
      <c r="G8" s="3">
        <v>31</v>
      </c>
      <c r="H8" s="6" t="s">
        <v>24</v>
      </c>
      <c r="I8" s="3" t="s">
        <v>51</v>
      </c>
      <c r="J8" s="6"/>
      <c r="K8" s="89">
        <f>K6-61</f>
        <v>797</v>
      </c>
      <c r="L8" s="3">
        <f>G4*1</f>
        <v>1</v>
      </c>
      <c r="N8" s="15">
        <f t="shared" si="1"/>
        <v>6</v>
      </c>
      <c r="O8" s="169" t="s">
        <v>104</v>
      </c>
      <c r="P8" s="170"/>
      <c r="Q8" s="170"/>
      <c r="R8" s="29"/>
      <c r="S8" s="29"/>
      <c r="T8" s="33">
        <v>2</v>
      </c>
      <c r="U8" s="34">
        <v>7700</v>
      </c>
      <c r="V8" s="31">
        <f>U8*T8</f>
        <v>15400</v>
      </c>
      <c r="W8" s="15"/>
    </row>
    <row r="9" spans="2:24" ht="40.200000000000003" customHeight="1" x14ac:dyDescent="0.35">
      <c r="B9" s="177"/>
      <c r="C9" s="178"/>
      <c r="D9" s="178"/>
      <c r="E9" s="2" t="s">
        <v>34</v>
      </c>
      <c r="F9" s="3" t="s">
        <v>37</v>
      </c>
      <c r="G9" s="3"/>
      <c r="H9" s="6" t="s">
        <v>25</v>
      </c>
      <c r="I9" s="176" t="s">
        <v>15</v>
      </c>
      <c r="J9" s="3" t="s">
        <v>6</v>
      </c>
      <c r="K9" s="3" t="s">
        <v>7</v>
      </c>
      <c r="L9" s="5" t="s">
        <v>2</v>
      </c>
      <c r="N9" s="15">
        <f t="shared" si="1"/>
        <v>7</v>
      </c>
      <c r="O9" s="169" t="s">
        <v>105</v>
      </c>
      <c r="P9" s="170"/>
      <c r="Q9" s="170"/>
      <c r="R9" s="29"/>
      <c r="S9" s="29"/>
      <c r="T9" s="33">
        <v>4</v>
      </c>
      <c r="U9" s="34">
        <v>7700</v>
      </c>
      <c r="V9" s="31">
        <f t="shared" ref="V9:V10" si="2">U9*T9</f>
        <v>30800</v>
      </c>
      <c r="W9" s="26" t="s">
        <v>67</v>
      </c>
    </row>
    <row r="10" spans="2:24" ht="40.200000000000003" customHeight="1" x14ac:dyDescent="0.35">
      <c r="B10" s="179"/>
      <c r="C10" s="180"/>
      <c r="D10" s="180"/>
      <c r="E10" s="2"/>
      <c r="F10" s="3"/>
      <c r="G10" s="3"/>
      <c r="H10" s="6" t="s">
        <v>28</v>
      </c>
      <c r="I10" s="176"/>
      <c r="J10" s="13">
        <f>IF(K6-140&gt;0,K6-140,"0")</f>
        <v>718</v>
      </c>
      <c r="K10" s="13">
        <f>IF(K7-140&gt;0,K7-140,"0")</f>
        <v>2025</v>
      </c>
      <c r="L10" s="3">
        <v>1</v>
      </c>
      <c r="N10" s="15">
        <f t="shared" si="1"/>
        <v>8</v>
      </c>
      <c r="O10" s="169" t="s">
        <v>55</v>
      </c>
      <c r="P10" s="170"/>
      <c r="Q10" s="170"/>
      <c r="R10" s="29"/>
      <c r="S10" s="29"/>
      <c r="T10" s="33">
        <f>T9*2+T8</f>
        <v>10</v>
      </c>
      <c r="U10" s="34">
        <v>100</v>
      </c>
      <c r="V10" s="31">
        <f t="shared" si="2"/>
        <v>1000</v>
      </c>
      <c r="W10" s="26" t="s">
        <v>68</v>
      </c>
    </row>
    <row r="11" spans="2:24" ht="40.200000000000003" customHeight="1" x14ac:dyDescent="0.35">
      <c r="N11" s="15">
        <f t="shared" si="1"/>
        <v>9</v>
      </c>
      <c r="O11" s="182" t="s">
        <v>59</v>
      </c>
      <c r="P11" s="183"/>
      <c r="Q11" s="183"/>
      <c r="R11" s="183"/>
      <c r="S11" s="184"/>
      <c r="T11" s="35"/>
      <c r="U11" s="36"/>
      <c r="V11" s="37">
        <f>SUM(V3:V10)</f>
        <v>3724155.9904000005</v>
      </c>
      <c r="W11" s="15"/>
      <c r="X11" s="20"/>
    </row>
    <row r="12" spans="2:24" ht="40.200000000000003" customHeight="1" x14ac:dyDescent="0.35"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40"/>
      <c r="N12" s="24" t="s">
        <v>14</v>
      </c>
      <c r="O12" s="174" t="s">
        <v>45</v>
      </c>
      <c r="P12" s="174"/>
      <c r="Q12" s="174"/>
      <c r="R12" s="24" t="s">
        <v>46</v>
      </c>
      <c r="S12" s="30" t="s">
        <v>52</v>
      </c>
      <c r="T12" s="30"/>
      <c r="U12" s="24" t="s">
        <v>38</v>
      </c>
      <c r="V12" s="24" t="s">
        <v>39</v>
      </c>
      <c r="W12" s="2"/>
    </row>
    <row r="13" spans="2:24" ht="40.200000000000003" customHeight="1" x14ac:dyDescent="0.35">
      <c r="B13" s="172"/>
      <c r="C13" s="172"/>
      <c r="D13" s="185"/>
      <c r="E13" s="185"/>
      <c r="F13" s="185"/>
      <c r="G13" s="185"/>
      <c r="H13" s="185"/>
      <c r="I13" s="185"/>
      <c r="J13" s="172"/>
      <c r="K13" s="172"/>
      <c r="L13" s="56"/>
      <c r="N13" s="15">
        <v>1</v>
      </c>
      <c r="O13" s="169" t="s">
        <v>60</v>
      </c>
      <c r="P13" s="170"/>
      <c r="Q13" s="170"/>
      <c r="R13" s="38">
        <f>R3+R4</f>
        <v>11418</v>
      </c>
      <c r="S13" s="2">
        <v>1</v>
      </c>
      <c r="T13" s="25"/>
      <c r="U13" s="38">
        <v>1000</v>
      </c>
      <c r="V13" s="38">
        <f>U13*R13*S13/1000</f>
        <v>11418</v>
      </c>
      <c r="W13" s="2"/>
    </row>
    <row r="14" spans="2:24" ht="40.200000000000003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L14" s="56"/>
      <c r="N14" s="15">
        <f>N13+1</f>
        <v>2</v>
      </c>
      <c r="O14" s="169" t="s">
        <v>41</v>
      </c>
      <c r="P14" s="170"/>
      <c r="Q14" s="170"/>
      <c r="R14" s="38">
        <f>R4*2</f>
        <v>12092</v>
      </c>
      <c r="S14" s="2">
        <v>1</v>
      </c>
      <c r="T14" s="25"/>
      <c r="U14" s="38">
        <v>1000</v>
      </c>
      <c r="V14" s="38">
        <f>U14*R14*S14/1000</f>
        <v>12092</v>
      </c>
      <c r="W14" s="2"/>
    </row>
    <row r="15" spans="2:24" ht="40.200000000000003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L15" s="56"/>
      <c r="N15" s="15">
        <f t="shared" ref="N15:N18" si="3">N14+1</f>
        <v>3</v>
      </c>
      <c r="O15" s="169" t="s">
        <v>61</v>
      </c>
      <c r="P15" s="170"/>
      <c r="Q15" s="170"/>
      <c r="R15" s="38"/>
      <c r="S15" s="2">
        <v>1</v>
      </c>
      <c r="T15" s="25"/>
      <c r="U15" s="38">
        <v>2500</v>
      </c>
      <c r="V15" s="38">
        <f>U15*S15</f>
        <v>2500</v>
      </c>
      <c r="W15" s="26" t="s">
        <v>69</v>
      </c>
    </row>
    <row r="16" spans="2:24" ht="40.200000000000003" customHeight="1" x14ac:dyDescent="0.35">
      <c r="B16" s="172"/>
      <c r="C16" s="172"/>
      <c r="D16" s="172"/>
      <c r="E16" s="172"/>
      <c r="F16" s="172"/>
      <c r="G16" s="172"/>
      <c r="H16" s="185"/>
      <c r="I16" s="185"/>
      <c r="J16" s="172"/>
      <c r="K16" s="172"/>
      <c r="L16" s="56"/>
      <c r="N16" s="15">
        <f t="shared" si="3"/>
        <v>4</v>
      </c>
      <c r="O16" s="169" t="s">
        <v>62</v>
      </c>
      <c r="P16" s="170"/>
      <c r="Q16" s="171"/>
      <c r="R16" s="38"/>
      <c r="S16" s="60">
        <v>1</v>
      </c>
      <c r="T16" s="25"/>
      <c r="U16" s="38">
        <v>1000</v>
      </c>
      <c r="V16" s="38">
        <f t="shared" ref="V16:V17" si="4">U16*S16</f>
        <v>1000</v>
      </c>
      <c r="W16" s="26" t="s">
        <v>80</v>
      </c>
    </row>
    <row r="17" spans="2:23" ht="40.200000000000003" customHeight="1" x14ac:dyDescent="0.35">
      <c r="B17" s="172"/>
      <c r="C17" s="172"/>
      <c r="D17" s="185"/>
      <c r="E17" s="185"/>
      <c r="F17" s="185"/>
      <c r="G17" s="185"/>
      <c r="H17" s="185"/>
      <c r="I17" s="185"/>
      <c r="J17" s="172"/>
      <c r="K17" s="172"/>
      <c r="L17" s="56"/>
      <c r="N17" s="15">
        <f t="shared" si="3"/>
        <v>5</v>
      </c>
      <c r="O17" s="169" t="s">
        <v>64</v>
      </c>
      <c r="P17" s="170"/>
      <c r="Q17" s="171"/>
      <c r="R17" s="38"/>
      <c r="S17" s="2">
        <v>1</v>
      </c>
      <c r="T17" s="25"/>
      <c r="U17" s="38">
        <v>2000</v>
      </c>
      <c r="V17" s="38">
        <f t="shared" si="4"/>
        <v>2000</v>
      </c>
      <c r="W17" s="26" t="s">
        <v>80</v>
      </c>
    </row>
    <row r="18" spans="2:23" ht="40.200000000000003" customHeight="1" x14ac:dyDescent="0.35">
      <c r="B18" s="172"/>
      <c r="C18" s="172"/>
      <c r="D18" s="172"/>
      <c r="E18" s="172"/>
      <c r="F18" s="172"/>
      <c r="G18" s="172"/>
      <c r="H18" s="185"/>
      <c r="I18" s="185"/>
      <c r="J18" s="172"/>
      <c r="K18" s="172"/>
      <c r="L18" s="56"/>
      <c r="N18" s="15">
        <f t="shared" si="3"/>
        <v>6</v>
      </c>
      <c r="O18" s="188" t="s">
        <v>63</v>
      </c>
      <c r="P18" s="188"/>
      <c r="Q18" s="188"/>
      <c r="R18" s="188"/>
      <c r="S18" s="188"/>
      <c r="T18" s="35"/>
      <c r="U18" s="36"/>
      <c r="V18" s="37">
        <f>SUM(V13:V17)</f>
        <v>29010</v>
      </c>
      <c r="W18" s="2"/>
    </row>
    <row r="19" spans="2:23" ht="40.200000000000003" customHeight="1" x14ac:dyDescent="0.4">
      <c r="B19" s="172"/>
      <c r="C19" s="172"/>
      <c r="D19" s="172"/>
      <c r="E19" s="172"/>
      <c r="F19" s="172"/>
      <c r="G19" s="172"/>
      <c r="H19" s="190"/>
      <c r="I19" s="190"/>
      <c r="J19" s="172"/>
      <c r="K19" s="172"/>
      <c r="L19" s="56"/>
      <c r="N19" s="45"/>
      <c r="O19" s="189"/>
      <c r="P19" s="189"/>
      <c r="Q19" s="21"/>
      <c r="R19" s="45"/>
      <c r="S19" s="45"/>
      <c r="T19" s="57"/>
      <c r="U19" s="45"/>
      <c r="V19" s="139">
        <f>V11+V18</f>
        <v>3753165.9904000005</v>
      </c>
    </row>
    <row r="20" spans="2:23" ht="40.200000000000003" customHeight="1" x14ac:dyDescent="0.35">
      <c r="B20" s="172"/>
      <c r="C20" s="172"/>
      <c r="D20" s="172"/>
      <c r="E20" s="172"/>
      <c r="F20" s="172"/>
      <c r="G20" s="172"/>
      <c r="H20" s="185">
        <f t="shared" ref="H20" si="5">F20</f>
        <v>0</v>
      </c>
      <c r="I20" s="185"/>
      <c r="J20" s="172"/>
      <c r="K20" s="172"/>
      <c r="L20" s="56"/>
      <c r="N20" s="19"/>
      <c r="O20" s="187"/>
      <c r="P20" s="187"/>
      <c r="Q20" s="48"/>
      <c r="R20" s="46"/>
      <c r="S20" s="46"/>
      <c r="T20" s="50"/>
      <c r="U20" s="46"/>
      <c r="V20" s="50"/>
    </row>
    <row r="21" spans="2:23" ht="40.200000000000003" customHeight="1" x14ac:dyDescent="0.35">
      <c r="K21" s="1">
        <f>J10*K10*L10/1000000</f>
        <v>1.4539500000000001</v>
      </c>
      <c r="N21" s="19"/>
      <c r="O21" s="187"/>
      <c r="P21" s="187"/>
      <c r="Q21" s="48"/>
      <c r="R21" s="46"/>
      <c r="S21" s="46"/>
      <c r="T21" s="49"/>
      <c r="U21" s="46"/>
      <c r="V21" s="50"/>
    </row>
    <row r="22" spans="2:23" ht="40.200000000000003" customHeight="1" x14ac:dyDescent="0.4">
      <c r="I22" s="1">
        <f>F6+'VÁCH KÍNH 55'!F6</f>
        <v>2484.42</v>
      </c>
      <c r="K22" s="139">
        <f>K21*220000</f>
        <v>319869</v>
      </c>
      <c r="N22" s="19"/>
      <c r="O22" s="187"/>
      <c r="P22" s="187"/>
      <c r="Q22" s="48"/>
      <c r="R22" s="46"/>
      <c r="S22" s="46"/>
      <c r="T22" s="49"/>
      <c r="U22" s="46"/>
      <c r="V22" s="50"/>
    </row>
    <row r="23" spans="2:23" ht="40.200000000000003" customHeight="1" x14ac:dyDescent="0.4">
      <c r="I23" s="139">
        <f>I22*200</f>
        <v>496884</v>
      </c>
      <c r="K23" s="20">
        <f>V19+K22</f>
        <v>4073034.9904000005</v>
      </c>
      <c r="L23" s="1">
        <f>1.8*300000</f>
        <v>540000</v>
      </c>
      <c r="N23" s="19"/>
      <c r="O23" s="187"/>
      <c r="P23" s="187"/>
      <c r="Q23" s="48"/>
      <c r="R23" s="46"/>
      <c r="S23" s="46"/>
      <c r="T23" s="49"/>
      <c r="U23" s="46"/>
      <c r="V23" s="50"/>
    </row>
    <row r="24" spans="2:23" ht="40.200000000000003" customHeight="1" x14ac:dyDescent="0.35">
      <c r="K24" s="148">
        <f>K23/F6</f>
        <v>1955.3321061525464</v>
      </c>
      <c r="L24" s="20">
        <f>K23+L23</f>
        <v>4613034.9904000005</v>
      </c>
      <c r="N24" s="19"/>
      <c r="O24" s="187"/>
      <c r="P24" s="187"/>
      <c r="Q24" s="48"/>
      <c r="R24" s="46"/>
      <c r="S24" s="46"/>
      <c r="T24" s="51"/>
      <c r="U24" s="46"/>
      <c r="V24" s="50"/>
    </row>
    <row r="25" spans="2:23" ht="40.200000000000003" customHeight="1" x14ac:dyDescent="0.35">
      <c r="K25" s="20">
        <f>I23</f>
        <v>496884</v>
      </c>
      <c r="L25" s="148">
        <f>L24/F6</f>
        <v>2214.5686066518169</v>
      </c>
      <c r="N25" s="19"/>
      <c r="O25" s="187"/>
      <c r="P25" s="187"/>
      <c r="Q25" s="48"/>
      <c r="R25" s="46"/>
      <c r="S25" s="46"/>
      <c r="T25" s="51"/>
      <c r="U25" s="46"/>
      <c r="V25" s="50"/>
    </row>
    <row r="26" spans="2:23" ht="40.200000000000003" customHeight="1" x14ac:dyDescent="0.35">
      <c r="K26" s="20">
        <f>K25+K23+K22</f>
        <v>4889787.9904000005</v>
      </c>
      <c r="N26" s="19"/>
      <c r="O26" s="187"/>
      <c r="P26" s="187"/>
      <c r="Q26" s="48"/>
      <c r="R26" s="46"/>
      <c r="S26" s="46"/>
      <c r="T26" s="51"/>
      <c r="U26" s="46"/>
      <c r="V26" s="50"/>
    </row>
    <row r="27" spans="2:23" ht="40.200000000000003" customHeight="1" x14ac:dyDescent="0.35">
      <c r="N27" s="19"/>
      <c r="O27" s="187"/>
      <c r="P27" s="187"/>
      <c r="Q27" s="48"/>
      <c r="R27" s="46"/>
      <c r="S27" s="46"/>
      <c r="T27" s="51"/>
      <c r="U27" s="46"/>
      <c r="V27" s="50"/>
    </row>
    <row r="28" spans="2:23" ht="40.200000000000003" customHeight="1" x14ac:dyDescent="0.35">
      <c r="N28" s="19"/>
      <c r="O28" s="187"/>
      <c r="P28" s="187"/>
      <c r="Q28" s="48"/>
      <c r="R28" s="46"/>
      <c r="S28" s="46"/>
      <c r="T28" s="51"/>
      <c r="U28" s="46"/>
      <c r="V28" s="50"/>
    </row>
    <row r="29" spans="2:23" ht="40.200000000000003" customHeight="1" x14ac:dyDescent="0.35">
      <c r="N29" s="19"/>
      <c r="O29" s="187"/>
      <c r="P29" s="187"/>
      <c r="Q29" s="48"/>
      <c r="R29" s="46"/>
      <c r="S29" s="46"/>
      <c r="T29" s="51"/>
      <c r="U29" s="46"/>
      <c r="V29" s="50"/>
    </row>
    <row r="30" spans="2:23" ht="40.200000000000003" customHeight="1" x14ac:dyDescent="0.35">
      <c r="N30" s="19"/>
      <c r="O30" s="187"/>
      <c r="P30" s="187"/>
      <c r="Q30" s="48"/>
      <c r="R30" s="46"/>
      <c r="S30" s="46"/>
      <c r="T30" s="51"/>
      <c r="U30" s="46"/>
      <c r="V30" s="50"/>
    </row>
    <row r="31" spans="2:23" ht="40.200000000000003" customHeight="1" x14ac:dyDescent="0.35">
      <c r="N31" s="19"/>
      <c r="O31" s="187"/>
      <c r="P31" s="187"/>
      <c r="Q31" s="48"/>
      <c r="R31" s="46"/>
      <c r="S31" s="46"/>
      <c r="T31" s="51"/>
      <c r="U31" s="46"/>
      <c r="V31" s="50"/>
    </row>
    <row r="32" spans="2:23" ht="40.200000000000003" customHeight="1" x14ac:dyDescent="0.35">
      <c r="N32" s="19"/>
      <c r="O32" s="187"/>
      <c r="P32" s="187"/>
      <c r="Q32" s="48"/>
      <c r="R32" s="46"/>
      <c r="S32" s="46"/>
      <c r="T32" s="51"/>
      <c r="U32" s="46"/>
      <c r="V32" s="50"/>
    </row>
    <row r="33" spans="14:22" ht="40.200000000000003" customHeight="1" x14ac:dyDescent="0.35">
      <c r="N33" s="19"/>
      <c r="O33" s="187"/>
      <c r="P33" s="187"/>
      <c r="Q33" s="48"/>
      <c r="R33" s="46"/>
      <c r="S33" s="46"/>
      <c r="T33" s="51"/>
      <c r="U33" s="46"/>
      <c r="V33" s="50"/>
    </row>
    <row r="34" spans="14:22" ht="40.200000000000003" customHeight="1" x14ac:dyDescent="0.35">
      <c r="N34" s="19"/>
      <c r="O34" s="187"/>
      <c r="P34" s="187"/>
      <c r="Q34" s="48"/>
      <c r="R34" s="46"/>
      <c r="S34" s="46"/>
      <c r="T34" s="51"/>
      <c r="U34" s="46"/>
      <c r="V34" s="50"/>
    </row>
    <row r="35" spans="14:22" ht="40.200000000000003" customHeight="1" x14ac:dyDescent="0.35">
      <c r="N35" s="19"/>
      <c r="O35" s="186"/>
      <c r="P35" s="186"/>
      <c r="Q35" s="186"/>
      <c r="R35" s="186"/>
      <c r="S35" s="186"/>
      <c r="T35" s="53"/>
      <c r="U35" s="46"/>
      <c r="V35" s="50"/>
    </row>
    <row r="36" spans="14:22" ht="40.200000000000003" customHeight="1" x14ac:dyDescent="0.35">
      <c r="O36" s="54"/>
      <c r="P36" s="54"/>
      <c r="Q36" s="54"/>
      <c r="R36" s="54"/>
      <c r="S36" s="54"/>
      <c r="T36" s="54"/>
      <c r="U36" s="54"/>
      <c r="V36" s="54"/>
    </row>
  </sheetData>
  <mergeCells count="80">
    <mergeCell ref="H20:I20"/>
    <mergeCell ref="J20:K20"/>
    <mergeCell ref="B16:G16"/>
    <mergeCell ref="B18:G18"/>
    <mergeCell ref="J17:K17"/>
    <mergeCell ref="J18:K18"/>
    <mergeCell ref="B20:C20"/>
    <mergeCell ref="D20:E20"/>
    <mergeCell ref="F20:G20"/>
    <mergeCell ref="B17:C17"/>
    <mergeCell ref="D17:E17"/>
    <mergeCell ref="F17:G17"/>
    <mergeCell ref="J16:K16"/>
    <mergeCell ref="J19:K19"/>
    <mergeCell ref="H18:I18"/>
    <mergeCell ref="H19:I19"/>
    <mergeCell ref="H17:I17"/>
    <mergeCell ref="J13:K13"/>
    <mergeCell ref="J15:K15"/>
    <mergeCell ref="H14:I14"/>
    <mergeCell ref="J14:K14"/>
    <mergeCell ref="B15:C15"/>
    <mergeCell ref="D15:E15"/>
    <mergeCell ref="F15:G15"/>
    <mergeCell ref="B13:C13"/>
    <mergeCell ref="D13:E13"/>
    <mergeCell ref="F13:G13"/>
    <mergeCell ref="B14:C14"/>
    <mergeCell ref="D14:E14"/>
    <mergeCell ref="F14:G14"/>
    <mergeCell ref="O17:Q17"/>
    <mergeCell ref="O20:P20"/>
    <mergeCell ref="O21:P21"/>
    <mergeCell ref="O22:P22"/>
    <mergeCell ref="O23:P23"/>
    <mergeCell ref="O19:P19"/>
    <mergeCell ref="O35:S35"/>
    <mergeCell ref="O24:P24"/>
    <mergeCell ref="O33:P33"/>
    <mergeCell ref="O34:P34"/>
    <mergeCell ref="O18:S18"/>
    <mergeCell ref="O25:P25"/>
    <mergeCell ref="O26:P26"/>
    <mergeCell ref="O27:P27"/>
    <mergeCell ref="O28:P28"/>
    <mergeCell ref="O29:P29"/>
    <mergeCell ref="O30:P30"/>
    <mergeCell ref="O31:P31"/>
    <mergeCell ref="O32:P32"/>
    <mergeCell ref="O14:Q14"/>
    <mergeCell ref="H12:I12"/>
    <mergeCell ref="J12:K12"/>
    <mergeCell ref="O15:Q15"/>
    <mergeCell ref="O16:Q16"/>
    <mergeCell ref="O12:Q12"/>
    <mergeCell ref="O13:Q13"/>
    <mergeCell ref="H13:I13"/>
    <mergeCell ref="H15:I15"/>
    <mergeCell ref="H16:I16"/>
    <mergeCell ref="D12:E12"/>
    <mergeCell ref="F12:G12"/>
    <mergeCell ref="I9:I10"/>
    <mergeCell ref="O11:S11"/>
    <mergeCell ref="O10:Q10"/>
    <mergeCell ref="O7:Q7"/>
    <mergeCell ref="B19:G19"/>
    <mergeCell ref="B1:L1"/>
    <mergeCell ref="O2:Q2"/>
    <mergeCell ref="N1:W1"/>
    <mergeCell ref="O3:Q3"/>
    <mergeCell ref="O4:Q4"/>
    <mergeCell ref="B2:F2"/>
    <mergeCell ref="I2:L2"/>
    <mergeCell ref="H2:H3"/>
    <mergeCell ref="B3:D10"/>
    <mergeCell ref="O5:Q5"/>
    <mergeCell ref="O6:Q6"/>
    <mergeCell ref="O8:Q8"/>
    <mergeCell ref="O9:Q9"/>
    <mergeCell ref="B12:C12"/>
  </mergeCells>
  <pageMargins left="0.7" right="0.7" top="0.75" bottom="0.75" header="0.3" footer="0.3"/>
  <pageSetup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29"/>
  <sheetViews>
    <sheetView topLeftCell="B8" zoomScale="50" zoomScaleNormal="50" workbookViewId="0">
      <selection activeCell="V25" sqref="V25"/>
    </sheetView>
  </sheetViews>
  <sheetFormatPr defaultColWidth="18.6640625" defaultRowHeight="37.950000000000003" customHeight="1" x14ac:dyDescent="0.35"/>
  <cols>
    <col min="1" max="7" width="18.6640625" style="1"/>
    <col min="8" max="8" width="9.21875" style="1" customWidth="1"/>
    <col min="9" max="12" width="18.6640625" style="1"/>
    <col min="13" max="13" width="3.44140625" style="1" customWidth="1"/>
    <col min="14" max="14" width="9.6640625" style="1" customWidth="1"/>
    <col min="15" max="21" width="18.6640625" style="1"/>
    <col min="22" max="22" width="24.44140625" style="1" customWidth="1"/>
    <col min="23" max="23" width="39.6640625" style="43" customWidth="1"/>
    <col min="24" max="16384" width="18.6640625" style="1"/>
  </cols>
  <sheetData>
    <row r="1" spans="2:23" ht="37.950000000000003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58.95" customHeight="1" x14ac:dyDescent="0.35">
      <c r="B2" s="175" t="s">
        <v>42</v>
      </c>
      <c r="C2" s="175"/>
      <c r="D2" s="175"/>
      <c r="E2" s="175"/>
      <c r="F2" s="175"/>
      <c r="G2" s="8"/>
      <c r="H2" s="176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7.950000000000003" customHeight="1" x14ac:dyDescent="0.35">
      <c r="B3" s="191"/>
      <c r="C3" s="191"/>
      <c r="D3" s="191"/>
      <c r="E3" s="3" t="s">
        <v>0</v>
      </c>
      <c r="F3" s="3" t="s">
        <v>1</v>
      </c>
      <c r="G3" s="3" t="s">
        <v>2</v>
      </c>
      <c r="H3" s="176"/>
      <c r="I3" s="9" t="s">
        <v>4</v>
      </c>
      <c r="J3" s="9" t="s">
        <v>3</v>
      </c>
      <c r="K3" s="9" t="s">
        <v>5</v>
      </c>
      <c r="L3" s="9" t="s">
        <v>2</v>
      </c>
      <c r="N3" s="15">
        <v>1</v>
      </c>
      <c r="O3" s="169" t="s">
        <v>47</v>
      </c>
      <c r="P3" s="170"/>
      <c r="Q3" s="170"/>
      <c r="R3" s="34">
        <f>K4*L4+K5*L5</f>
        <v>6300</v>
      </c>
      <c r="S3" s="29">
        <v>1.236</v>
      </c>
      <c r="T3" s="32">
        <f>S3*R3</f>
        <v>7786.8</v>
      </c>
      <c r="U3" s="34">
        <v>198000</v>
      </c>
      <c r="V3" s="31">
        <f>U3*T3/1000</f>
        <v>1541786.4</v>
      </c>
      <c r="W3" s="83"/>
    </row>
    <row r="4" spans="2:23" ht="37.950000000000003" customHeight="1" x14ac:dyDescent="0.35">
      <c r="B4" s="191"/>
      <c r="C4" s="191"/>
      <c r="D4" s="191"/>
      <c r="E4" s="3">
        <v>1500</v>
      </c>
      <c r="F4" s="3">
        <v>2400</v>
      </c>
      <c r="G4" s="3">
        <v>1</v>
      </c>
      <c r="H4" s="3">
        <v>1</v>
      </c>
      <c r="I4" s="3" t="s">
        <v>10</v>
      </c>
      <c r="J4" s="6" t="str">
        <f>CONCATENATE($G$2,"-",$D$11,"-","3328","-","1")</f>
        <v>--3328-1</v>
      </c>
      <c r="K4" s="3">
        <f>E4</f>
        <v>1500</v>
      </c>
      <c r="L4" s="3">
        <f>G4*1</f>
        <v>1</v>
      </c>
      <c r="N4" s="15">
        <f>N3+1</f>
        <v>2</v>
      </c>
      <c r="O4" s="169" t="s">
        <v>48</v>
      </c>
      <c r="P4" s="170"/>
      <c r="Q4" s="170"/>
      <c r="R4" s="34">
        <f>K6*L6+K7*L7</f>
        <v>12220</v>
      </c>
      <c r="S4" s="29">
        <v>1.492</v>
      </c>
      <c r="T4" s="32">
        <f t="shared" ref="T4:T6" si="0">S4*R4</f>
        <v>18232.240000000002</v>
      </c>
      <c r="U4" s="34">
        <v>198000</v>
      </c>
      <c r="V4" s="31">
        <f t="shared" ref="V4:V7" si="1">U4*T4/1000</f>
        <v>3609983.5200000005</v>
      </c>
      <c r="W4" s="84"/>
    </row>
    <row r="5" spans="2:23" ht="37.950000000000003" customHeight="1" x14ac:dyDescent="0.35">
      <c r="B5" s="191"/>
      <c r="C5" s="191"/>
      <c r="D5" s="191"/>
      <c r="E5" s="41" t="s">
        <v>164</v>
      </c>
      <c r="F5" s="41" t="s">
        <v>40</v>
      </c>
      <c r="G5" s="41" t="s">
        <v>98</v>
      </c>
      <c r="H5" s="3">
        <f>H4+1</f>
        <v>2</v>
      </c>
      <c r="I5" s="3" t="s">
        <v>11</v>
      </c>
      <c r="J5" s="6" t="str">
        <f>CONCATENATE($G$2,"-",$D$11,"-","3328","-","2")</f>
        <v>--3328-2</v>
      </c>
      <c r="K5" s="3">
        <f>F4</f>
        <v>2400</v>
      </c>
      <c r="L5" s="3">
        <f>G4*2</f>
        <v>2</v>
      </c>
      <c r="N5" s="15">
        <f t="shared" ref="N5:N11" si="2">N4+1</f>
        <v>3</v>
      </c>
      <c r="O5" s="169" t="s">
        <v>49</v>
      </c>
      <c r="P5" s="170"/>
      <c r="Q5" s="170"/>
      <c r="R5" s="34">
        <f>R4</f>
        <v>12220</v>
      </c>
      <c r="S5" s="29">
        <v>0.27600000000000002</v>
      </c>
      <c r="T5" s="32">
        <f t="shared" si="0"/>
        <v>3372.7200000000003</v>
      </c>
      <c r="U5" s="34">
        <v>198000</v>
      </c>
      <c r="V5" s="31">
        <f t="shared" si="1"/>
        <v>667798.56000000006</v>
      </c>
      <c r="W5" s="84"/>
    </row>
    <row r="6" spans="2:23" ht="37.950000000000003" customHeight="1" x14ac:dyDescent="0.35">
      <c r="B6" s="191"/>
      <c r="C6" s="191"/>
      <c r="D6" s="191"/>
      <c r="E6" s="146">
        <f>G6+T8</f>
        <v>34497.253680000002</v>
      </c>
      <c r="F6" s="17">
        <f>F4*E4/1000</f>
        <v>3600</v>
      </c>
      <c r="G6" s="93">
        <f>SUM(T3:T7)</f>
        <v>32240.423999999999</v>
      </c>
      <c r="H6" s="3">
        <f t="shared" ref="H6:H11" si="3">H5+1</f>
        <v>3</v>
      </c>
      <c r="I6" s="3" t="s">
        <v>17</v>
      </c>
      <c r="J6" s="6" t="str">
        <f>CONCATENATE($G$2,"-",$D$11,"-","3332","-","1")</f>
        <v>--3332-1</v>
      </c>
      <c r="K6" s="14">
        <f>IF(ROUNDDOWN((E4-36*2-15),0)/2&lt;0,"0",ROUNDDOWN((E4-72-15)/2,0))</f>
        <v>706</v>
      </c>
      <c r="L6" s="3">
        <f>G4*4</f>
        <v>4</v>
      </c>
      <c r="N6" s="15">
        <f t="shared" si="2"/>
        <v>4</v>
      </c>
      <c r="O6" s="169" t="s">
        <v>50</v>
      </c>
      <c r="P6" s="170"/>
      <c r="Q6" s="170"/>
      <c r="R6" s="34">
        <f>K9*L9</f>
        <v>1290</v>
      </c>
      <c r="S6" s="29">
        <v>0.44800000000000001</v>
      </c>
      <c r="T6" s="32">
        <f t="shared" si="0"/>
        <v>577.91999999999996</v>
      </c>
      <c r="U6" s="34">
        <v>198000</v>
      </c>
      <c r="V6" s="31">
        <f t="shared" si="1"/>
        <v>114428.15999999999</v>
      </c>
      <c r="W6" s="84"/>
    </row>
    <row r="7" spans="2:23" ht="37.950000000000003" customHeight="1" x14ac:dyDescent="0.35">
      <c r="B7" s="191"/>
      <c r="C7" s="191"/>
      <c r="D7" s="191"/>
      <c r="E7" s="3"/>
      <c r="F7" s="41" t="s">
        <v>36</v>
      </c>
      <c r="G7" s="41" t="s">
        <v>43</v>
      </c>
      <c r="H7" s="3">
        <f t="shared" si="3"/>
        <v>4</v>
      </c>
      <c r="I7" s="3" t="s">
        <v>18</v>
      </c>
      <c r="J7" s="6" t="str">
        <f>CONCATENATE($G$2,"-",$D$11,"-","3332","-","2")</f>
        <v>--3332-2</v>
      </c>
      <c r="K7" s="17">
        <f>IF(AND(F9="X",G9=""),K5-F8,0)+IF(AND(G9="X",F9=""),K5-G8,0)</f>
        <v>2349</v>
      </c>
      <c r="L7" s="3">
        <f>G4*4</f>
        <v>4</v>
      </c>
      <c r="N7" s="15">
        <f t="shared" si="2"/>
        <v>5</v>
      </c>
      <c r="O7" s="169" t="s">
        <v>65</v>
      </c>
      <c r="P7" s="170"/>
      <c r="Q7" s="171"/>
      <c r="R7" s="34">
        <f>K8*L8</f>
        <v>2296</v>
      </c>
      <c r="S7" s="29">
        <v>0.98899999999999999</v>
      </c>
      <c r="T7" s="32">
        <f t="shared" ref="T7" si="4">S7*R7</f>
        <v>2270.7440000000001</v>
      </c>
      <c r="U7" s="34">
        <v>198000</v>
      </c>
      <c r="V7" s="31">
        <f t="shared" si="1"/>
        <v>449607.31199999998</v>
      </c>
      <c r="W7" s="85"/>
    </row>
    <row r="8" spans="2:23" ht="37.950000000000003" customHeight="1" x14ac:dyDescent="0.35">
      <c r="B8" s="191"/>
      <c r="C8" s="191"/>
      <c r="D8" s="191"/>
      <c r="E8" s="3"/>
      <c r="F8" s="3">
        <v>51</v>
      </c>
      <c r="G8" s="3">
        <v>31</v>
      </c>
      <c r="H8" s="3">
        <f t="shared" si="3"/>
        <v>5</v>
      </c>
      <c r="I8" s="3" t="s">
        <v>16</v>
      </c>
      <c r="J8" s="6" t="str">
        <f>CONCATENATE($G$2,"-",$D$11,"-","3323A","-","1")</f>
        <v>--3323A-1</v>
      </c>
      <c r="K8" s="98">
        <f>IF(G9="x",ROUNDDOWN(K7-30-4,0),ROUNDDOWN(K7-34-19,0))</f>
        <v>2296</v>
      </c>
      <c r="L8" s="3">
        <f>G4</f>
        <v>1</v>
      </c>
      <c r="N8" s="15">
        <f t="shared" si="2"/>
        <v>6</v>
      </c>
      <c r="O8" s="169" t="s">
        <v>72</v>
      </c>
      <c r="P8" s="170"/>
      <c r="Q8" s="171"/>
      <c r="R8" s="34"/>
      <c r="S8" s="29"/>
      <c r="T8" s="145">
        <f>SUM(T3:T7)*U8</f>
        <v>2256.8296800000003</v>
      </c>
      <c r="U8" s="55">
        <v>7.0000000000000007E-2</v>
      </c>
      <c r="V8" s="34">
        <f>SUM(V3:V7)*U8</f>
        <v>446852.27664000005</v>
      </c>
      <c r="W8" s="42"/>
    </row>
    <row r="9" spans="2:23" ht="37.950000000000003" customHeight="1" x14ac:dyDescent="0.35">
      <c r="B9" s="191"/>
      <c r="C9" s="191"/>
      <c r="D9" s="191"/>
      <c r="E9" s="3"/>
      <c r="F9" s="3" t="s">
        <v>37</v>
      </c>
      <c r="G9" s="3"/>
      <c r="H9" s="3">
        <f t="shared" si="3"/>
        <v>6</v>
      </c>
      <c r="I9" s="3" t="s">
        <v>31</v>
      </c>
      <c r="J9" s="6" t="str">
        <f>CONCATENATE($G$2,"-",$D$11,"-","3329A","-","1")</f>
        <v>--3329A-1</v>
      </c>
      <c r="K9" s="6">
        <f>K6-61</f>
        <v>645</v>
      </c>
      <c r="L9" s="3">
        <f>G4*2</f>
        <v>2</v>
      </c>
      <c r="N9" s="15">
        <f t="shared" si="2"/>
        <v>7</v>
      </c>
      <c r="O9" s="169" t="s">
        <v>53</v>
      </c>
      <c r="P9" s="170"/>
      <c r="Q9" s="170"/>
      <c r="R9" s="29"/>
      <c r="S9" s="29"/>
      <c r="T9" s="33">
        <v>2</v>
      </c>
      <c r="U9" s="44">
        <v>7700</v>
      </c>
      <c r="V9" s="31">
        <f t="shared" ref="V9:V11" si="5">U9*T9</f>
        <v>15400</v>
      </c>
      <c r="W9" s="26"/>
    </row>
    <row r="10" spans="2:23" ht="37.950000000000003" customHeight="1" x14ac:dyDescent="0.35">
      <c r="B10" s="191"/>
      <c r="C10" s="191"/>
      <c r="D10" s="191"/>
      <c r="E10" s="3"/>
      <c r="F10" s="3"/>
      <c r="G10" s="3"/>
      <c r="H10" s="3">
        <f t="shared" si="3"/>
        <v>7</v>
      </c>
      <c r="I10" s="176" t="s">
        <v>15</v>
      </c>
      <c r="J10" s="3" t="s">
        <v>6</v>
      </c>
      <c r="K10" s="3" t="s">
        <v>7</v>
      </c>
      <c r="L10" s="5" t="s">
        <v>2</v>
      </c>
      <c r="N10" s="15">
        <f t="shared" si="2"/>
        <v>8</v>
      </c>
      <c r="O10" s="169" t="s">
        <v>54</v>
      </c>
      <c r="P10" s="170"/>
      <c r="Q10" s="170"/>
      <c r="R10" s="29"/>
      <c r="S10" s="29"/>
      <c r="T10" s="33">
        <v>8</v>
      </c>
      <c r="U10" s="44">
        <v>7700</v>
      </c>
      <c r="V10" s="31">
        <f t="shared" si="5"/>
        <v>61600</v>
      </c>
      <c r="W10" s="26" t="s">
        <v>67</v>
      </c>
    </row>
    <row r="11" spans="2:23" ht="37.950000000000003" customHeight="1" x14ac:dyDescent="0.35">
      <c r="B11" s="191"/>
      <c r="C11" s="191"/>
      <c r="D11" s="191"/>
      <c r="E11" s="3"/>
      <c r="F11" s="3"/>
      <c r="G11" s="3"/>
      <c r="H11" s="3">
        <f t="shared" si="3"/>
        <v>8</v>
      </c>
      <c r="I11" s="176"/>
      <c r="J11" s="13">
        <f>IF(K6-140&gt;0,K6-140,"0")</f>
        <v>566</v>
      </c>
      <c r="K11" s="13">
        <f>IF(K7-140&gt;0,K7-140,"0")</f>
        <v>2209</v>
      </c>
      <c r="L11" s="17">
        <f>G4*2</f>
        <v>2</v>
      </c>
      <c r="N11" s="15">
        <f t="shared" si="2"/>
        <v>9</v>
      </c>
      <c r="O11" s="169" t="s">
        <v>55</v>
      </c>
      <c r="P11" s="170"/>
      <c r="Q11" s="170"/>
      <c r="R11" s="29"/>
      <c r="S11" s="29"/>
      <c r="T11" s="33">
        <f>T10*2+T9</f>
        <v>18</v>
      </c>
      <c r="U11" s="44">
        <v>100</v>
      </c>
      <c r="V11" s="31">
        <f t="shared" si="5"/>
        <v>1800</v>
      </c>
      <c r="W11" s="26" t="s">
        <v>68</v>
      </c>
    </row>
    <row r="12" spans="2:23" ht="37.950000000000003" customHeight="1" x14ac:dyDescent="0.35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N12" s="15">
        <f>N11+1</f>
        <v>10</v>
      </c>
      <c r="O12" s="182" t="s">
        <v>59</v>
      </c>
      <c r="P12" s="183"/>
      <c r="Q12" s="183"/>
      <c r="R12" s="183"/>
      <c r="S12" s="184"/>
      <c r="T12" s="35"/>
      <c r="U12" s="36"/>
      <c r="V12" s="92">
        <f>SUM(V3:V11)</f>
        <v>6909256.2286400003</v>
      </c>
      <c r="W12" s="26"/>
    </row>
    <row r="13" spans="2:23" ht="37.950000000000003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54"/>
      <c r="N13" s="24" t="s">
        <v>14</v>
      </c>
      <c r="O13" s="174" t="s">
        <v>45</v>
      </c>
      <c r="P13" s="174"/>
      <c r="Q13" s="174"/>
      <c r="R13" s="24" t="s">
        <v>46</v>
      </c>
      <c r="S13" s="30" t="s">
        <v>52</v>
      </c>
      <c r="T13" s="30"/>
      <c r="U13" s="24" t="s">
        <v>38</v>
      </c>
      <c r="V13" s="24" t="s">
        <v>39</v>
      </c>
      <c r="W13" s="26"/>
    </row>
    <row r="14" spans="2:23" ht="37.950000000000003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L14" s="54"/>
      <c r="N14" s="15">
        <v>1</v>
      </c>
      <c r="O14" s="169" t="s">
        <v>60</v>
      </c>
      <c r="P14" s="170"/>
      <c r="Q14" s="170"/>
      <c r="R14" s="38">
        <f>R3+R4+R7</f>
        <v>20816</v>
      </c>
      <c r="S14" s="2">
        <v>1</v>
      </c>
      <c r="T14" s="39"/>
      <c r="U14" s="38">
        <v>1000</v>
      </c>
      <c r="V14" s="38">
        <f>U14*R14*S14/1000</f>
        <v>20816</v>
      </c>
      <c r="W14" s="26"/>
    </row>
    <row r="15" spans="2:23" ht="37.950000000000003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L15" s="54"/>
      <c r="N15" s="15">
        <f>N14+1</f>
        <v>2</v>
      </c>
      <c r="O15" s="169" t="s">
        <v>41</v>
      </c>
      <c r="P15" s="170"/>
      <c r="Q15" s="170"/>
      <c r="R15" s="38">
        <f>R4*2</f>
        <v>24440</v>
      </c>
      <c r="S15" s="2">
        <v>1</v>
      </c>
      <c r="T15" s="39"/>
      <c r="U15" s="38">
        <v>1000</v>
      </c>
      <c r="V15" s="38">
        <f>U15*R15*S15/1000</f>
        <v>24440</v>
      </c>
      <c r="W15" s="26"/>
    </row>
    <row r="16" spans="2:23" ht="37.950000000000003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L16" s="54"/>
      <c r="N16" s="15">
        <f t="shared" ref="N16:N20" si="6">N15+1</f>
        <v>3</v>
      </c>
      <c r="O16" s="169" t="s">
        <v>61</v>
      </c>
      <c r="P16" s="170"/>
      <c r="Q16" s="170"/>
      <c r="R16" s="38"/>
      <c r="S16" s="2">
        <v>2</v>
      </c>
      <c r="T16" s="39"/>
      <c r="U16" s="38">
        <v>2500</v>
      </c>
      <c r="V16" s="38">
        <f>U16*S16</f>
        <v>5000</v>
      </c>
      <c r="W16" s="26" t="s">
        <v>69</v>
      </c>
    </row>
    <row r="17" spans="2:23" ht="37.950000000000003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L17" s="54"/>
      <c r="N17" s="15">
        <f t="shared" si="6"/>
        <v>4</v>
      </c>
      <c r="O17" s="169" t="s">
        <v>66</v>
      </c>
      <c r="P17" s="170"/>
      <c r="Q17" s="170"/>
      <c r="R17" s="38"/>
      <c r="S17" s="2">
        <v>1</v>
      </c>
      <c r="T17" s="39"/>
      <c r="U17" s="38">
        <v>2500</v>
      </c>
      <c r="V17" s="38">
        <f>U17*S17</f>
        <v>2500</v>
      </c>
      <c r="W17" s="26" t="s">
        <v>70</v>
      </c>
    </row>
    <row r="18" spans="2:23" ht="37.950000000000003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L18" s="54"/>
      <c r="N18" s="15">
        <f t="shared" si="6"/>
        <v>5</v>
      </c>
      <c r="O18" s="169" t="s">
        <v>62</v>
      </c>
      <c r="P18" s="170"/>
      <c r="Q18" s="171"/>
      <c r="R18" s="38"/>
      <c r="S18" s="60">
        <v>1</v>
      </c>
      <c r="T18" s="39"/>
      <c r="U18" s="38">
        <v>1000</v>
      </c>
      <c r="V18" s="38">
        <f t="shared" ref="V18:V19" si="7">U18*S18</f>
        <v>1000</v>
      </c>
      <c r="W18" s="26"/>
    </row>
    <row r="19" spans="2:23" ht="37.950000000000003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L19" s="54"/>
      <c r="N19" s="15">
        <f t="shared" si="6"/>
        <v>6</v>
      </c>
      <c r="O19" s="169" t="s">
        <v>64</v>
      </c>
      <c r="P19" s="170"/>
      <c r="Q19" s="171"/>
      <c r="R19" s="38"/>
      <c r="S19" s="2">
        <v>1</v>
      </c>
      <c r="T19" s="39"/>
      <c r="U19" s="38">
        <v>2000</v>
      </c>
      <c r="V19" s="38">
        <f t="shared" si="7"/>
        <v>2000</v>
      </c>
      <c r="W19" s="26" t="s">
        <v>71</v>
      </c>
    </row>
    <row r="20" spans="2:23" ht="37.950000000000003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L20" s="54"/>
      <c r="N20" s="15">
        <f t="shared" si="6"/>
        <v>7</v>
      </c>
      <c r="O20" s="188" t="s">
        <v>63</v>
      </c>
      <c r="P20" s="188"/>
      <c r="Q20" s="188"/>
      <c r="R20" s="188"/>
      <c r="S20" s="188"/>
      <c r="T20" s="35"/>
      <c r="U20" s="36"/>
      <c r="V20" s="37">
        <f>SUM(V14:V19)</f>
        <v>55756</v>
      </c>
      <c r="W20" s="26"/>
    </row>
    <row r="21" spans="2:23" ht="37.950000000000003" customHeight="1" x14ac:dyDescent="0.4">
      <c r="B21" s="172"/>
      <c r="C21" s="172"/>
      <c r="D21" s="172"/>
      <c r="E21" s="172"/>
      <c r="F21" s="172"/>
      <c r="G21" s="172"/>
      <c r="H21" s="185"/>
      <c r="I21" s="185"/>
      <c r="J21" s="172"/>
      <c r="K21" s="172"/>
      <c r="L21" s="54"/>
      <c r="N21" s="40"/>
      <c r="O21" s="181"/>
      <c r="P21" s="181"/>
      <c r="Q21" s="58"/>
      <c r="R21" s="40"/>
      <c r="S21" s="40"/>
      <c r="T21" s="59"/>
      <c r="U21" s="40"/>
      <c r="V21" s="139">
        <f>V12+V20</f>
        <v>6965012.2286400003</v>
      </c>
      <c r="W21" s="47"/>
    </row>
    <row r="22" spans="2:23" ht="37.950000000000003" customHeight="1" x14ac:dyDescent="0.4">
      <c r="N22" s="52"/>
      <c r="O22" s="187"/>
      <c r="P22" s="187"/>
      <c r="Q22" s="48"/>
      <c r="R22" s="46"/>
      <c r="S22" s="46"/>
      <c r="T22" s="49"/>
      <c r="U22" s="46"/>
      <c r="V22" s="139">
        <f>J11*K11*L11*0.28</f>
        <v>700164.64</v>
      </c>
      <c r="W22" s="47"/>
    </row>
    <row r="23" spans="2:23" ht="37.950000000000003" customHeight="1" x14ac:dyDescent="0.35">
      <c r="N23" s="52"/>
      <c r="O23" s="187"/>
      <c r="P23" s="187"/>
      <c r="Q23" s="48"/>
      <c r="R23" s="46"/>
      <c r="S23" s="46"/>
      <c r="T23" s="49"/>
      <c r="U23" s="46"/>
      <c r="V23" s="50">
        <f>F6*450</f>
        <v>1620000</v>
      </c>
      <c r="W23" s="47"/>
    </row>
    <row r="24" spans="2:23" ht="37.950000000000003" customHeight="1" x14ac:dyDescent="0.35">
      <c r="N24" s="52"/>
      <c r="O24" s="187"/>
      <c r="P24" s="187"/>
      <c r="Q24" s="48"/>
      <c r="R24" s="46"/>
      <c r="S24" s="46"/>
      <c r="T24" s="49"/>
      <c r="U24" s="46"/>
      <c r="V24" s="50">
        <f>V21+V22+V23</f>
        <v>9285176.86864</v>
      </c>
      <c r="W24" s="47"/>
    </row>
    <row r="25" spans="2:23" ht="37.950000000000003" customHeight="1" x14ac:dyDescent="0.35">
      <c r="N25" s="52"/>
      <c r="O25" s="187"/>
      <c r="P25" s="187"/>
      <c r="Q25" s="48"/>
      <c r="R25" s="46"/>
      <c r="S25" s="46"/>
      <c r="T25" s="49"/>
      <c r="U25" s="46"/>
      <c r="V25" s="50">
        <f>F6*3300*G4</f>
        <v>11880000</v>
      </c>
      <c r="W25" s="47"/>
    </row>
    <row r="26" spans="2:23" ht="37.950000000000003" customHeight="1" x14ac:dyDescent="0.35">
      <c r="N26" s="52"/>
      <c r="O26" s="187"/>
      <c r="P26" s="187"/>
      <c r="Q26" s="48"/>
      <c r="R26" s="46"/>
      <c r="S26" s="46"/>
      <c r="T26" s="51"/>
      <c r="U26" s="46"/>
      <c r="V26" s="151">
        <f>V24/V25</f>
        <v>0.78158054449831649</v>
      </c>
      <c r="W26" s="47"/>
    </row>
    <row r="27" spans="2:23" ht="37.950000000000003" customHeight="1" x14ac:dyDescent="0.35">
      <c r="N27" s="52"/>
      <c r="O27" s="187"/>
      <c r="P27" s="187"/>
      <c r="Q27" s="48"/>
      <c r="R27" s="46"/>
      <c r="S27" s="46"/>
      <c r="T27" s="51"/>
      <c r="U27" s="46"/>
      <c r="V27" s="50"/>
      <c r="W27" s="47"/>
    </row>
    <row r="28" spans="2:23" ht="37.950000000000003" customHeight="1" x14ac:dyDescent="0.35">
      <c r="N28" s="52"/>
      <c r="O28" s="187"/>
      <c r="P28" s="187"/>
      <c r="Q28" s="48"/>
      <c r="R28" s="46"/>
      <c r="S28" s="46"/>
      <c r="T28" s="51"/>
      <c r="U28" s="46"/>
      <c r="V28" s="50"/>
      <c r="W28" s="47"/>
    </row>
    <row r="29" spans="2:23" ht="37.950000000000003" customHeight="1" x14ac:dyDescent="0.35">
      <c r="N29" s="52"/>
      <c r="O29" s="186"/>
      <c r="P29" s="186"/>
      <c r="Q29" s="186"/>
      <c r="R29" s="186"/>
      <c r="S29" s="186"/>
      <c r="T29" s="53"/>
      <c r="U29" s="46"/>
      <c r="V29" s="50"/>
      <c r="W29" s="47"/>
    </row>
  </sheetData>
  <mergeCells count="74">
    <mergeCell ref="B1:L1"/>
    <mergeCell ref="H2:H3"/>
    <mergeCell ref="I10:I11"/>
    <mergeCell ref="O7:Q7"/>
    <mergeCell ref="O9:Q9"/>
    <mergeCell ref="O10:Q10"/>
    <mergeCell ref="O11:Q11"/>
    <mergeCell ref="B2:F2"/>
    <mergeCell ref="I2:L2"/>
    <mergeCell ref="B3:D11"/>
    <mergeCell ref="O25:P25"/>
    <mergeCell ref="O26:P26"/>
    <mergeCell ref="O27:P27"/>
    <mergeCell ref="O28:P28"/>
    <mergeCell ref="O29:S29"/>
    <mergeCell ref="O20:S20"/>
    <mergeCell ref="O21:P21"/>
    <mergeCell ref="O22:P22"/>
    <mergeCell ref="O23:P23"/>
    <mergeCell ref="O24:P24"/>
    <mergeCell ref="O14:Q14"/>
    <mergeCell ref="O15:Q15"/>
    <mergeCell ref="O16:Q16"/>
    <mergeCell ref="O18:Q18"/>
    <mergeCell ref="O19:Q19"/>
    <mergeCell ref="O17:Q17"/>
    <mergeCell ref="O13:Q13"/>
    <mergeCell ref="N1:W1"/>
    <mergeCell ref="O2:Q2"/>
    <mergeCell ref="O3:Q3"/>
    <mergeCell ref="O4:Q4"/>
    <mergeCell ref="O5:Q5"/>
    <mergeCell ref="O6:Q6"/>
    <mergeCell ref="O8:Q8"/>
    <mergeCell ref="O12:S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D18:E18"/>
    <mergeCell ref="F18:G18"/>
    <mergeCell ref="H18:I18"/>
    <mergeCell ref="J18:K18"/>
    <mergeCell ref="B19:G19"/>
    <mergeCell ref="H19:I19"/>
    <mergeCell ref="J19:K19"/>
    <mergeCell ref="B20:G20"/>
    <mergeCell ref="H20:I20"/>
    <mergeCell ref="J20:K20"/>
    <mergeCell ref="B21:C21"/>
    <mergeCell ref="D21:E21"/>
    <mergeCell ref="F21:G21"/>
    <mergeCell ref="H21:I21"/>
    <mergeCell ref="J21:K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7"/>
  <sheetViews>
    <sheetView zoomScale="46" zoomScaleNormal="46" zoomScalePageLayoutView="75" workbookViewId="0">
      <selection activeCell="J16" sqref="J16:K16"/>
    </sheetView>
  </sheetViews>
  <sheetFormatPr defaultColWidth="17.109375" defaultRowHeight="46.2" customHeight="1" x14ac:dyDescent="0.35"/>
  <cols>
    <col min="1" max="12" width="17.109375" style="1"/>
    <col min="13" max="13" width="4.21875" style="1" customWidth="1"/>
    <col min="14" max="14" width="12" style="1" customWidth="1"/>
    <col min="15" max="21" width="17.109375" style="1"/>
    <col min="22" max="22" width="19.21875" style="1" customWidth="1"/>
    <col min="23" max="23" width="34.21875" style="1" customWidth="1"/>
    <col min="24" max="16384" width="17.109375" style="1"/>
  </cols>
  <sheetData>
    <row r="1" spans="2:23" ht="46.2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66" customHeight="1" x14ac:dyDescent="0.35">
      <c r="B2" s="175"/>
      <c r="C2" s="175"/>
      <c r="D2" s="175"/>
      <c r="E2" s="175"/>
      <c r="F2" s="175"/>
      <c r="G2" s="8"/>
      <c r="H2" s="176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46.2" customHeight="1" x14ac:dyDescent="0.35">
      <c r="B3" s="191"/>
      <c r="C3" s="191"/>
      <c r="D3" s="191"/>
      <c r="E3" s="3" t="s">
        <v>0</v>
      </c>
      <c r="F3" s="3" t="s">
        <v>1</v>
      </c>
      <c r="G3" s="3" t="s">
        <v>2</v>
      </c>
      <c r="H3" s="176"/>
      <c r="I3" s="9" t="s">
        <v>4</v>
      </c>
      <c r="J3" s="9" t="s">
        <v>3</v>
      </c>
      <c r="K3" s="9" t="s">
        <v>5</v>
      </c>
      <c r="L3" s="9" t="s">
        <v>2</v>
      </c>
      <c r="N3" s="15">
        <v>1</v>
      </c>
      <c r="O3" s="169" t="s">
        <v>47</v>
      </c>
      <c r="P3" s="170"/>
      <c r="Q3" s="170"/>
      <c r="R3" s="34">
        <f>K4*L4+K5*L5</f>
        <v>7670</v>
      </c>
      <c r="S3" s="29">
        <v>1.236</v>
      </c>
      <c r="T3" s="32">
        <f>S3*R3</f>
        <v>9480.1200000000008</v>
      </c>
      <c r="U3" s="34">
        <v>195000</v>
      </c>
      <c r="V3" s="31">
        <f>U3*T3/1000</f>
        <v>1848623.4000000001</v>
      </c>
      <c r="W3" s="86"/>
    </row>
    <row r="4" spans="2:23" ht="46.2" customHeight="1" x14ac:dyDescent="0.35">
      <c r="B4" s="191"/>
      <c r="C4" s="191"/>
      <c r="D4" s="191"/>
      <c r="E4" s="3">
        <v>2970</v>
      </c>
      <c r="F4" s="3">
        <v>2350</v>
      </c>
      <c r="G4" s="3">
        <v>1</v>
      </c>
      <c r="H4" s="6">
        <v>1</v>
      </c>
      <c r="I4" s="3" t="s">
        <v>10</v>
      </c>
      <c r="J4" s="6" t="str">
        <f>CONCATENATE($G$2,"-",$D$11,"-","3328","-","1")</f>
        <v>--3328-1</v>
      </c>
      <c r="K4" s="3">
        <f>E4</f>
        <v>2970</v>
      </c>
      <c r="L4" s="3">
        <f>G4*1</f>
        <v>1</v>
      </c>
      <c r="N4" s="15">
        <f>N3+1</f>
        <v>2</v>
      </c>
      <c r="O4" s="169" t="s">
        <v>48</v>
      </c>
      <c r="P4" s="170"/>
      <c r="Q4" s="170"/>
      <c r="R4" s="34">
        <f>K6*L6+K7*L7</f>
        <v>24136</v>
      </c>
      <c r="S4" s="29">
        <v>1.492</v>
      </c>
      <c r="T4" s="32">
        <f t="shared" ref="T4:T7" si="0">S4*R4</f>
        <v>36010.911999999997</v>
      </c>
      <c r="U4" s="34">
        <v>195000</v>
      </c>
      <c r="V4" s="31">
        <f>U4*T4/1000</f>
        <v>7022127.8399999989</v>
      </c>
      <c r="W4" s="86"/>
    </row>
    <row r="5" spans="2:23" ht="46.2" customHeight="1" x14ac:dyDescent="0.35">
      <c r="B5" s="191"/>
      <c r="C5" s="191"/>
      <c r="D5" s="191"/>
      <c r="E5" s="41" t="s">
        <v>164</v>
      </c>
      <c r="F5" s="41" t="s">
        <v>40</v>
      </c>
      <c r="G5" s="41" t="s">
        <v>98</v>
      </c>
      <c r="H5" s="6">
        <f>H4+1</f>
        <v>2</v>
      </c>
      <c r="I5" s="3" t="s">
        <v>11</v>
      </c>
      <c r="J5" s="6" t="str">
        <f>CONCATENATE($G$2,"-",$D$11,"-","3328","-","2")</f>
        <v>--3328-2</v>
      </c>
      <c r="K5" s="3">
        <f>F4</f>
        <v>2350</v>
      </c>
      <c r="L5" s="3">
        <f>G4*2</f>
        <v>2</v>
      </c>
      <c r="N5" s="15">
        <f t="shared" ref="N5:N12" si="1">N4+1</f>
        <v>3</v>
      </c>
      <c r="O5" s="169" t="s">
        <v>49</v>
      </c>
      <c r="P5" s="170"/>
      <c r="Q5" s="170"/>
      <c r="R5" s="34">
        <f>R4</f>
        <v>24136</v>
      </c>
      <c r="S5" s="29">
        <v>0.27600000000000002</v>
      </c>
      <c r="T5" s="32">
        <f t="shared" si="0"/>
        <v>6661.536000000001</v>
      </c>
      <c r="U5" s="34">
        <v>195000</v>
      </c>
      <c r="V5" s="31">
        <f t="shared" ref="V5:V7" si="2">U5*T5/1000</f>
        <v>1298999.5200000003</v>
      </c>
      <c r="W5" s="86"/>
    </row>
    <row r="6" spans="2:23" ht="46.2" customHeight="1" x14ac:dyDescent="0.35">
      <c r="B6" s="191"/>
      <c r="C6" s="191"/>
      <c r="D6" s="191"/>
      <c r="E6" s="146">
        <f>G6+T8</f>
        <v>66163.529179999998</v>
      </c>
      <c r="F6" s="17">
        <f>F4*E4/1000</f>
        <v>6979.5</v>
      </c>
      <c r="G6" s="93">
        <f>SUM(T3:T7)</f>
        <v>61835.074000000001</v>
      </c>
      <c r="H6" s="6">
        <f t="shared" ref="H6:H11" si="3">H5+1</f>
        <v>3</v>
      </c>
      <c r="I6" s="3" t="s">
        <v>17</v>
      </c>
      <c r="J6" s="6" t="str">
        <f>CONCATENATE($G$2,"-",$D$11,"-","3332","-","1")</f>
        <v>--3332-1</v>
      </c>
      <c r="K6" s="3">
        <f>IF((E4-36*2-25)/4&lt;0,"0",ROUNDDOWN((E4-72-25)/4,0))</f>
        <v>718</v>
      </c>
      <c r="L6" s="3">
        <f>G4*8</f>
        <v>8</v>
      </c>
      <c r="N6" s="15">
        <f t="shared" si="1"/>
        <v>4</v>
      </c>
      <c r="O6" s="169" t="s">
        <v>50</v>
      </c>
      <c r="P6" s="170"/>
      <c r="Q6" s="170"/>
      <c r="R6" s="34">
        <f>K8*L8</f>
        <v>6738</v>
      </c>
      <c r="S6" s="29">
        <v>0.44800000000000001</v>
      </c>
      <c r="T6" s="32">
        <f t="shared" si="0"/>
        <v>3018.6240000000003</v>
      </c>
      <c r="U6" s="34">
        <v>195000</v>
      </c>
      <c r="V6" s="31">
        <f t="shared" si="2"/>
        <v>588631.68000000005</v>
      </c>
      <c r="W6" s="86"/>
    </row>
    <row r="7" spans="2:23" ht="46.2" customHeight="1" x14ac:dyDescent="0.35">
      <c r="B7" s="191"/>
      <c r="C7" s="191"/>
      <c r="D7" s="191"/>
      <c r="E7" s="3"/>
      <c r="F7" s="41" t="s">
        <v>36</v>
      </c>
      <c r="G7" s="41" t="s">
        <v>43</v>
      </c>
      <c r="H7" s="6">
        <f t="shared" si="3"/>
        <v>4</v>
      </c>
      <c r="I7" s="3" t="s">
        <v>18</v>
      </c>
      <c r="J7" s="6" t="str">
        <f>CONCATENATE($G$2,"-",$D$11,"-","3332","-","2")</f>
        <v>--3332-2</v>
      </c>
      <c r="K7" s="17">
        <f>IF(AND(F9="X",G9=""),K5-F8,0)+IF(AND(G9="X",F9=""),K5-G8,0)</f>
        <v>2299</v>
      </c>
      <c r="L7" s="3">
        <f>G4*8</f>
        <v>8</v>
      </c>
      <c r="N7" s="15">
        <f t="shared" si="1"/>
        <v>5</v>
      </c>
      <c r="O7" s="169" t="s">
        <v>65</v>
      </c>
      <c r="P7" s="170"/>
      <c r="Q7" s="171"/>
      <c r="R7" s="34">
        <f>K8*L8</f>
        <v>6738</v>
      </c>
      <c r="S7" s="29">
        <v>0.98899999999999999</v>
      </c>
      <c r="T7" s="32">
        <f t="shared" si="0"/>
        <v>6663.8819999999996</v>
      </c>
      <c r="U7" s="34">
        <v>195000</v>
      </c>
      <c r="V7" s="31">
        <f t="shared" si="2"/>
        <v>1299456.99</v>
      </c>
      <c r="W7" s="42"/>
    </row>
    <row r="8" spans="2:23" ht="46.2" customHeight="1" x14ac:dyDescent="0.35">
      <c r="B8" s="191"/>
      <c r="C8" s="191"/>
      <c r="D8" s="191"/>
      <c r="E8" s="3"/>
      <c r="F8" s="3">
        <v>51</v>
      </c>
      <c r="G8" s="3">
        <v>31</v>
      </c>
      <c r="H8" s="6">
        <f t="shared" si="3"/>
        <v>5</v>
      </c>
      <c r="I8" s="3" t="s">
        <v>16</v>
      </c>
      <c r="J8" s="6" t="str">
        <f>CONCATENATE($G$2,"-",$D$11,"-","3323A","-","1")</f>
        <v>--3323A-1</v>
      </c>
      <c r="K8" s="98">
        <f>IF(G7="x",ROUNDDOWN(K7-30-4,0),ROUNDDOWN(K7-34-19,0))</f>
        <v>2246</v>
      </c>
      <c r="L8" s="3">
        <f>G4*3</f>
        <v>3</v>
      </c>
      <c r="N8" s="15">
        <f t="shared" si="1"/>
        <v>6</v>
      </c>
      <c r="O8" s="169" t="s">
        <v>72</v>
      </c>
      <c r="P8" s="170"/>
      <c r="Q8" s="171"/>
      <c r="R8" s="34"/>
      <c r="S8" s="29"/>
      <c r="T8" s="145">
        <f>SUM(T3:T7)*U8</f>
        <v>4328.4551800000008</v>
      </c>
      <c r="U8" s="55">
        <v>7.0000000000000007E-2</v>
      </c>
      <c r="V8" s="34">
        <f>SUM(V3:V7)*U8</f>
        <v>844048.76009999996</v>
      </c>
      <c r="W8" s="42"/>
    </row>
    <row r="9" spans="2:23" ht="46.2" customHeight="1" x14ac:dyDescent="0.35">
      <c r="B9" s="191"/>
      <c r="C9" s="191"/>
      <c r="D9" s="191"/>
      <c r="E9" s="3"/>
      <c r="F9" s="3" t="s">
        <v>37</v>
      </c>
      <c r="G9" s="3"/>
      <c r="H9" s="6">
        <f t="shared" si="3"/>
        <v>6</v>
      </c>
      <c r="I9" s="3" t="s">
        <v>31</v>
      </c>
      <c r="J9" s="6" t="str">
        <f>CONCATENATE($G$2,"-",$D$11,"-","3329A","-","1")</f>
        <v>--3329A-1</v>
      </c>
      <c r="K9" s="6">
        <f>K6-61</f>
        <v>657</v>
      </c>
      <c r="L9" s="3">
        <f>G4*4</f>
        <v>4</v>
      </c>
      <c r="N9" s="15">
        <f t="shared" si="1"/>
        <v>7</v>
      </c>
      <c r="O9" s="169" t="s">
        <v>53</v>
      </c>
      <c r="P9" s="170"/>
      <c r="Q9" s="170"/>
      <c r="R9" s="29"/>
      <c r="S9" s="29"/>
      <c r="T9" s="33">
        <v>2</v>
      </c>
      <c r="U9" s="34">
        <v>7700</v>
      </c>
      <c r="V9" s="31">
        <f t="shared" ref="V9:V11" si="4">U9*T9</f>
        <v>15400</v>
      </c>
      <c r="W9" s="15"/>
    </row>
    <row r="10" spans="2:23" ht="46.2" customHeight="1" x14ac:dyDescent="0.35">
      <c r="B10" s="191"/>
      <c r="C10" s="191"/>
      <c r="D10" s="191"/>
      <c r="E10" s="3"/>
      <c r="F10" s="3"/>
      <c r="G10" s="3"/>
      <c r="H10" s="6">
        <f t="shared" si="3"/>
        <v>7</v>
      </c>
      <c r="I10" s="176" t="s">
        <v>15</v>
      </c>
      <c r="J10" s="3" t="s">
        <v>6</v>
      </c>
      <c r="K10" s="3" t="s">
        <v>7</v>
      </c>
      <c r="L10" s="5" t="s">
        <v>2</v>
      </c>
      <c r="N10" s="15">
        <f t="shared" si="1"/>
        <v>8</v>
      </c>
      <c r="O10" s="169" t="s">
        <v>54</v>
      </c>
      <c r="P10" s="170"/>
      <c r="Q10" s="170"/>
      <c r="R10" s="29"/>
      <c r="S10" s="29"/>
      <c r="T10" s="33">
        <v>16</v>
      </c>
      <c r="U10" s="34">
        <v>7700</v>
      </c>
      <c r="V10" s="31">
        <f t="shared" si="4"/>
        <v>123200</v>
      </c>
      <c r="W10" s="26" t="s">
        <v>67</v>
      </c>
    </row>
    <row r="11" spans="2:23" ht="46.2" customHeight="1" x14ac:dyDescent="0.35">
      <c r="B11" s="191"/>
      <c r="C11" s="191"/>
      <c r="D11" s="191"/>
      <c r="E11" s="3"/>
      <c r="F11" s="3"/>
      <c r="G11" s="3"/>
      <c r="H11" s="6">
        <f t="shared" si="3"/>
        <v>8</v>
      </c>
      <c r="I11" s="176"/>
      <c r="J11" s="13">
        <f>IF(K6-145&gt;0,K6-145,"0")</f>
        <v>573</v>
      </c>
      <c r="K11" s="13">
        <f>IF(K7-140&gt;0,K7-140,"0")</f>
        <v>2159</v>
      </c>
      <c r="L11" s="17">
        <f>G4*4</f>
        <v>4</v>
      </c>
      <c r="N11" s="15">
        <f t="shared" si="1"/>
        <v>9</v>
      </c>
      <c r="O11" s="169" t="s">
        <v>55</v>
      </c>
      <c r="P11" s="170"/>
      <c r="Q11" s="170"/>
      <c r="R11" s="29"/>
      <c r="S11" s="29"/>
      <c r="T11" s="33">
        <f>T10*2+T9</f>
        <v>34</v>
      </c>
      <c r="U11" s="34">
        <v>100</v>
      </c>
      <c r="V11" s="31">
        <f t="shared" si="4"/>
        <v>3400</v>
      </c>
      <c r="W11" s="26" t="s">
        <v>68</v>
      </c>
    </row>
    <row r="12" spans="2:23" ht="46.2" customHeight="1" x14ac:dyDescent="0.35">
      <c r="N12" s="15">
        <f t="shared" si="1"/>
        <v>10</v>
      </c>
      <c r="O12" s="182" t="s">
        <v>59</v>
      </c>
      <c r="P12" s="183"/>
      <c r="Q12" s="183"/>
      <c r="R12" s="183"/>
      <c r="S12" s="184"/>
      <c r="T12" s="35"/>
      <c r="U12" s="36"/>
      <c r="V12" s="37">
        <f>SUM(V3:V11)</f>
        <v>13043888.190099997</v>
      </c>
      <c r="W12" s="15"/>
    </row>
    <row r="13" spans="2:23" s="23" customFormat="1" ht="46.2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92">
        <f>V12</f>
        <v>13043888.190099997</v>
      </c>
      <c r="K13" s="181"/>
      <c r="L13" s="40"/>
      <c r="M13" s="24"/>
      <c r="N13" s="24" t="s">
        <v>14</v>
      </c>
      <c r="O13" s="174" t="s">
        <v>45</v>
      </c>
      <c r="P13" s="174"/>
      <c r="Q13" s="174"/>
      <c r="R13" s="24" t="s">
        <v>46</v>
      </c>
      <c r="S13" s="30" t="s">
        <v>52</v>
      </c>
      <c r="T13" s="30"/>
      <c r="U13" s="24" t="s">
        <v>38</v>
      </c>
      <c r="V13" s="24" t="s">
        <v>39</v>
      </c>
      <c r="W13" s="2"/>
    </row>
    <row r="14" spans="2:23" ht="46.2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92">
        <f>F6*450</f>
        <v>3140775</v>
      </c>
      <c r="K14" s="181"/>
      <c r="L14" s="71"/>
      <c r="M14" s="118"/>
      <c r="N14" s="15">
        <v>1</v>
      </c>
      <c r="O14" s="169" t="s">
        <v>60</v>
      </c>
      <c r="P14" s="170"/>
      <c r="Q14" s="170"/>
      <c r="R14" s="38">
        <f>R3+R4+R7</f>
        <v>38544</v>
      </c>
      <c r="S14" s="2">
        <v>1</v>
      </c>
      <c r="T14" s="39"/>
      <c r="U14" s="38">
        <v>1000</v>
      </c>
      <c r="V14" s="38">
        <f>U14*R14*S14/1000</f>
        <v>38544</v>
      </c>
      <c r="W14" s="2"/>
    </row>
    <row r="15" spans="2:23" ht="46.2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92">
        <f>J11*K11*L11*0.215</f>
        <v>1063912.02</v>
      </c>
      <c r="K15" s="181"/>
      <c r="L15" s="71"/>
      <c r="M15" s="94"/>
      <c r="N15" s="15">
        <f>N14+1</f>
        <v>2</v>
      </c>
      <c r="O15" s="169" t="s">
        <v>41</v>
      </c>
      <c r="P15" s="170"/>
      <c r="Q15" s="170"/>
      <c r="R15" s="38">
        <f>R4*2</f>
        <v>48272</v>
      </c>
      <c r="S15" s="2">
        <v>1</v>
      </c>
      <c r="T15" s="39"/>
      <c r="U15" s="38">
        <v>1000</v>
      </c>
      <c r="V15" s="38">
        <f>U15*R15*S15/1000</f>
        <v>48272</v>
      </c>
      <c r="W15" s="26" t="s">
        <v>69</v>
      </c>
    </row>
    <row r="16" spans="2:23" ht="46.2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81"/>
      <c r="K16" s="181"/>
      <c r="L16" s="71"/>
      <c r="M16" s="94"/>
      <c r="N16" s="61">
        <f t="shared" ref="N16:N20" si="5">N15+1</f>
        <v>3</v>
      </c>
      <c r="O16" s="169" t="s">
        <v>61</v>
      </c>
      <c r="P16" s="170"/>
      <c r="Q16" s="170"/>
      <c r="R16" s="38"/>
      <c r="S16" s="2">
        <v>1</v>
      </c>
      <c r="T16" s="39"/>
      <c r="U16" s="38">
        <v>2500</v>
      </c>
      <c r="V16" s="38">
        <f>U16*S16</f>
        <v>2500</v>
      </c>
      <c r="W16" s="26" t="s">
        <v>70</v>
      </c>
    </row>
    <row r="17" spans="2:23" ht="46.2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81"/>
      <c r="K17" s="181"/>
      <c r="L17" s="71"/>
      <c r="M17" s="94"/>
      <c r="N17" s="61">
        <f t="shared" si="5"/>
        <v>4</v>
      </c>
      <c r="O17" s="169" t="s">
        <v>66</v>
      </c>
      <c r="P17" s="170"/>
      <c r="Q17" s="170"/>
      <c r="R17" s="38"/>
      <c r="S17" s="2">
        <v>3</v>
      </c>
      <c r="T17" s="39"/>
      <c r="U17" s="38">
        <v>2500</v>
      </c>
      <c r="V17" s="38">
        <f>U17*S17</f>
        <v>7500</v>
      </c>
      <c r="W17" s="26"/>
    </row>
    <row r="18" spans="2:23" ht="46.2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81"/>
      <c r="K18" s="181"/>
      <c r="L18" s="71"/>
      <c r="M18" s="94"/>
      <c r="N18" s="61">
        <f t="shared" si="5"/>
        <v>5</v>
      </c>
      <c r="O18" s="169" t="s">
        <v>62</v>
      </c>
      <c r="P18" s="170"/>
      <c r="Q18" s="171"/>
      <c r="R18" s="38"/>
      <c r="S18" s="2">
        <v>1</v>
      </c>
      <c r="T18" s="39"/>
      <c r="U18" s="38">
        <v>1000</v>
      </c>
      <c r="V18" s="38">
        <f t="shared" ref="V18:V19" si="6">U18*S18</f>
        <v>1000</v>
      </c>
      <c r="W18" s="26" t="s">
        <v>71</v>
      </c>
    </row>
    <row r="19" spans="2:23" ht="46.2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81"/>
      <c r="K19" s="181"/>
      <c r="L19" s="71"/>
      <c r="M19" s="94"/>
      <c r="N19" s="61">
        <f t="shared" si="5"/>
        <v>6</v>
      </c>
      <c r="O19" s="169" t="s">
        <v>64</v>
      </c>
      <c r="P19" s="170"/>
      <c r="Q19" s="171"/>
      <c r="R19" s="38"/>
      <c r="S19" s="2">
        <v>1</v>
      </c>
      <c r="T19" s="39"/>
      <c r="U19" s="38">
        <v>2000</v>
      </c>
      <c r="V19" s="38">
        <f t="shared" si="6"/>
        <v>2000</v>
      </c>
      <c r="W19" s="26" t="s">
        <v>71</v>
      </c>
    </row>
    <row r="20" spans="2:23" ht="46.2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81"/>
      <c r="K20" s="181"/>
      <c r="L20" s="71"/>
      <c r="M20" s="94"/>
      <c r="N20" s="61">
        <f t="shared" si="5"/>
        <v>7</v>
      </c>
      <c r="O20" s="188" t="s">
        <v>63</v>
      </c>
      <c r="P20" s="188"/>
      <c r="Q20" s="188"/>
      <c r="R20" s="188"/>
      <c r="S20" s="188"/>
      <c r="T20" s="35"/>
      <c r="U20" s="36"/>
      <c r="V20" s="37">
        <f>SUM(V14:V19)</f>
        <v>99816</v>
      </c>
      <c r="W20" s="62"/>
    </row>
    <row r="21" spans="2:23" ht="46.2" customHeight="1" x14ac:dyDescent="0.4">
      <c r="B21" s="172"/>
      <c r="C21" s="172"/>
      <c r="D21" s="172"/>
      <c r="E21" s="172"/>
      <c r="F21" s="172"/>
      <c r="G21" s="172"/>
      <c r="H21" s="185">
        <f t="shared" ref="H21" si="7">F21</f>
        <v>0</v>
      </c>
      <c r="I21" s="185"/>
      <c r="J21" s="56"/>
      <c r="K21" s="54"/>
      <c r="L21" s="71"/>
      <c r="M21" s="72"/>
      <c r="N21" s="23"/>
      <c r="O21" s="194"/>
      <c r="P21" s="194"/>
      <c r="Q21" s="63"/>
      <c r="R21" s="23"/>
      <c r="S21" s="23"/>
      <c r="T21" s="64"/>
      <c r="U21" s="23"/>
      <c r="V21" s="139">
        <f>V12+V20</f>
        <v>13143704.190099997</v>
      </c>
    </row>
    <row r="22" spans="2:23" ht="46.2" customHeight="1" x14ac:dyDescent="0.35">
      <c r="B22" s="52"/>
      <c r="C22" s="187"/>
      <c r="D22" s="187"/>
      <c r="E22" s="187"/>
      <c r="F22" s="69"/>
      <c r="G22" s="54"/>
      <c r="H22" s="54"/>
      <c r="I22" s="70"/>
      <c r="J22" s="70"/>
      <c r="K22" s="54"/>
      <c r="L22" s="71"/>
      <c r="M22" s="72"/>
      <c r="N22" s="19"/>
      <c r="O22" s="195"/>
      <c r="P22" s="195"/>
      <c r="Q22" s="65"/>
      <c r="R22" s="66"/>
      <c r="S22" s="66"/>
      <c r="T22" s="67"/>
      <c r="U22" s="66"/>
      <c r="V22" s="68"/>
    </row>
    <row r="23" spans="2:23" ht="46.2" customHeight="1" x14ac:dyDescent="0.35">
      <c r="B23" s="52"/>
      <c r="C23" s="187"/>
      <c r="D23" s="187"/>
      <c r="E23" s="187"/>
      <c r="F23" s="73"/>
      <c r="G23" s="54"/>
      <c r="H23" s="54"/>
      <c r="I23" s="54"/>
      <c r="J23" s="74"/>
      <c r="K23" s="54"/>
      <c r="L23" s="52"/>
      <c r="M23" s="54"/>
      <c r="N23" s="19"/>
      <c r="O23" s="187"/>
      <c r="P23" s="187"/>
      <c r="Q23" s="48"/>
      <c r="R23" s="46"/>
      <c r="S23" s="46"/>
      <c r="T23" s="49"/>
      <c r="U23" s="46"/>
      <c r="V23" s="50"/>
      <c r="W23" s="54"/>
    </row>
    <row r="24" spans="2:23" ht="46.2" customHeight="1" x14ac:dyDescent="0.35">
      <c r="B24" s="52"/>
      <c r="C24" s="187"/>
      <c r="D24" s="187"/>
      <c r="E24" s="187"/>
      <c r="F24" s="73"/>
      <c r="G24" s="54"/>
      <c r="H24" s="54"/>
      <c r="I24" s="54"/>
      <c r="J24" s="75"/>
      <c r="K24" s="54"/>
      <c r="L24" s="52"/>
      <c r="M24" s="54"/>
      <c r="N24" s="19"/>
      <c r="O24" s="187"/>
      <c r="P24" s="187"/>
      <c r="Q24" s="48"/>
      <c r="R24" s="46"/>
      <c r="S24" s="46"/>
      <c r="T24" s="49"/>
      <c r="U24" s="46"/>
      <c r="V24" s="50"/>
      <c r="W24" s="54"/>
    </row>
    <row r="25" spans="2:23" ht="46.2" customHeight="1" x14ac:dyDescent="0.35">
      <c r="B25" s="52"/>
      <c r="C25" s="187"/>
      <c r="D25" s="187"/>
      <c r="E25" s="187"/>
      <c r="F25" s="73"/>
      <c r="G25" s="54"/>
      <c r="H25" s="54"/>
      <c r="I25" s="54"/>
      <c r="J25" s="75"/>
      <c r="K25" s="54"/>
      <c r="L25" s="52"/>
      <c r="M25" s="54"/>
      <c r="N25" s="19"/>
      <c r="O25" s="187"/>
      <c r="P25" s="187"/>
      <c r="Q25" s="48"/>
      <c r="R25" s="46"/>
      <c r="S25" s="46"/>
      <c r="T25" s="49"/>
      <c r="U25" s="46"/>
      <c r="V25" s="50"/>
      <c r="W25" s="54"/>
    </row>
    <row r="26" spans="2:23" ht="46.2" customHeight="1" x14ac:dyDescent="0.35">
      <c r="B26" s="52"/>
      <c r="C26" s="187"/>
      <c r="D26" s="187"/>
      <c r="E26" s="187"/>
      <c r="F26" s="73"/>
      <c r="G26" s="54"/>
      <c r="H26" s="54"/>
      <c r="I26" s="54"/>
      <c r="J26" s="75"/>
      <c r="K26" s="54"/>
      <c r="L26" s="52"/>
      <c r="M26" s="54"/>
      <c r="N26" s="19"/>
      <c r="O26" s="187"/>
      <c r="P26" s="187"/>
      <c r="Q26" s="48"/>
      <c r="R26" s="46"/>
      <c r="S26" s="46"/>
      <c r="T26" s="51"/>
      <c r="U26" s="46"/>
      <c r="V26" s="50"/>
      <c r="W26" s="54"/>
    </row>
    <row r="27" spans="2:23" ht="46.2" customHeight="1" x14ac:dyDescent="0.35">
      <c r="B27" s="52"/>
      <c r="C27" s="187"/>
      <c r="D27" s="187"/>
      <c r="E27" s="187"/>
      <c r="F27" s="73"/>
      <c r="G27" s="54"/>
      <c r="H27" s="54"/>
      <c r="I27" s="70"/>
      <c r="J27" s="76"/>
      <c r="K27" s="54"/>
      <c r="L27" s="52"/>
      <c r="M27" s="54"/>
      <c r="N27" s="19"/>
      <c r="O27" s="187"/>
      <c r="P27" s="187"/>
      <c r="Q27" s="48"/>
      <c r="R27" s="46"/>
      <c r="S27" s="46"/>
      <c r="T27" s="51"/>
      <c r="U27" s="46"/>
      <c r="V27" s="50"/>
      <c r="W27" s="54"/>
    </row>
    <row r="28" spans="2:23" ht="46.2" customHeight="1" x14ac:dyDescent="0.35">
      <c r="B28" s="52"/>
      <c r="C28" s="186"/>
      <c r="D28" s="186"/>
      <c r="E28" s="186"/>
      <c r="F28" s="73"/>
      <c r="G28" s="54"/>
      <c r="H28" s="54"/>
      <c r="I28" s="70"/>
      <c r="J28" s="76"/>
      <c r="K28" s="54"/>
      <c r="L28" s="52"/>
      <c r="M28" s="54"/>
      <c r="N28" s="19"/>
      <c r="O28" s="187"/>
      <c r="P28" s="187"/>
      <c r="Q28" s="48"/>
      <c r="R28" s="46"/>
      <c r="S28" s="46"/>
      <c r="T28" s="51"/>
      <c r="U28" s="46"/>
      <c r="V28" s="50"/>
      <c r="W28" s="54"/>
    </row>
    <row r="29" spans="2:23" ht="46.2" customHeight="1" x14ac:dyDescent="0.35">
      <c r="B29" s="52"/>
      <c r="C29" s="186"/>
      <c r="D29" s="186"/>
      <c r="E29" s="186"/>
      <c r="F29" s="73"/>
      <c r="G29" s="54"/>
      <c r="H29" s="54"/>
      <c r="I29" s="70"/>
      <c r="J29" s="76"/>
      <c r="K29" s="54"/>
      <c r="L29" s="52"/>
      <c r="M29" s="54"/>
      <c r="N29" s="19"/>
      <c r="O29" s="186"/>
      <c r="P29" s="186"/>
      <c r="Q29" s="186"/>
      <c r="R29" s="186"/>
      <c r="S29" s="186"/>
      <c r="T29" s="53"/>
      <c r="U29" s="46"/>
      <c r="V29" s="50"/>
      <c r="W29" s="54"/>
    </row>
    <row r="30" spans="2:23" ht="46.2" customHeight="1" x14ac:dyDescent="0.35">
      <c r="B30" s="52"/>
      <c r="C30" s="187"/>
      <c r="D30" s="187"/>
      <c r="E30" s="187"/>
      <c r="F30" s="73"/>
      <c r="G30" s="54"/>
      <c r="H30" s="54"/>
      <c r="I30" s="70"/>
      <c r="J30" s="70"/>
      <c r="K30" s="54"/>
      <c r="L30" s="54"/>
      <c r="M30" s="54"/>
      <c r="O30" s="54"/>
      <c r="P30" s="54"/>
      <c r="Q30" s="54"/>
      <c r="R30" s="54"/>
      <c r="S30" s="54"/>
      <c r="T30" s="54"/>
      <c r="U30" s="54"/>
      <c r="V30" s="54"/>
      <c r="W30" s="54"/>
    </row>
    <row r="31" spans="2:23" s="22" customFormat="1" ht="46.2" customHeight="1" x14ac:dyDescent="0.35">
      <c r="B31" s="193"/>
      <c r="C31" s="193"/>
      <c r="D31" s="193"/>
      <c r="E31" s="193"/>
      <c r="F31" s="193"/>
      <c r="G31" s="193"/>
      <c r="H31" s="193"/>
      <c r="I31" s="193"/>
      <c r="J31" s="77"/>
      <c r="K31" s="78"/>
      <c r="L31" s="78"/>
      <c r="M31" s="78"/>
      <c r="N31" s="1"/>
      <c r="O31" s="54"/>
      <c r="P31" s="54"/>
      <c r="Q31" s="54"/>
      <c r="R31" s="54"/>
      <c r="S31" s="54"/>
      <c r="T31" s="54"/>
      <c r="U31" s="54"/>
      <c r="V31" s="54"/>
      <c r="W31" s="54"/>
    </row>
    <row r="32" spans="2:23" ht="46.2" customHeight="1" x14ac:dyDescent="0.35">
      <c r="B32" s="54"/>
      <c r="C32" s="186"/>
      <c r="D32" s="186"/>
      <c r="E32" s="186"/>
      <c r="F32" s="186"/>
      <c r="G32" s="54"/>
      <c r="H32" s="54"/>
      <c r="I32" s="70"/>
      <c r="J32" s="54"/>
      <c r="K32" s="54"/>
      <c r="L32" s="54"/>
      <c r="M32" s="54"/>
      <c r="O32" s="54"/>
      <c r="P32" s="54"/>
      <c r="Q32" s="54"/>
      <c r="R32" s="54"/>
      <c r="S32" s="54"/>
      <c r="T32" s="54"/>
      <c r="U32" s="54"/>
      <c r="V32" s="54"/>
      <c r="W32" s="54"/>
    </row>
    <row r="33" spans="3:23" ht="46.2" customHeight="1" x14ac:dyDescent="0.35">
      <c r="C33" s="178"/>
      <c r="D33" s="178"/>
      <c r="E33" s="178"/>
      <c r="F33" s="178"/>
      <c r="I33" s="10"/>
      <c r="L33" s="20"/>
      <c r="O33" s="54"/>
      <c r="P33" s="54"/>
      <c r="Q33" s="54"/>
      <c r="R33" s="54"/>
      <c r="S33" s="54"/>
      <c r="T33" s="54"/>
      <c r="U33" s="54"/>
      <c r="V33" s="54"/>
      <c r="W33" s="54"/>
    </row>
    <row r="34" spans="3:23" ht="46.2" customHeight="1" x14ac:dyDescent="0.35">
      <c r="C34" s="178"/>
      <c r="D34" s="178"/>
      <c r="E34" s="178"/>
      <c r="F34" s="178"/>
      <c r="I34" s="27"/>
      <c r="O34" s="54"/>
      <c r="P34" s="54"/>
      <c r="Q34" s="54"/>
      <c r="R34" s="54"/>
      <c r="S34" s="54"/>
      <c r="T34" s="54"/>
      <c r="U34" s="54"/>
      <c r="V34" s="54"/>
      <c r="W34" s="54"/>
    </row>
    <row r="35" spans="3:23" ht="46.2" customHeight="1" x14ac:dyDescent="0.35">
      <c r="C35" s="189"/>
      <c r="D35" s="189"/>
      <c r="E35" s="189"/>
      <c r="F35" s="189"/>
      <c r="G35" s="21"/>
      <c r="H35" s="21"/>
      <c r="I35" s="28"/>
    </row>
    <row r="36" spans="3:23" ht="46.2" customHeight="1" x14ac:dyDescent="0.35">
      <c r="I36" s="10"/>
    </row>
    <row r="37" spans="3:23" ht="46.2" customHeight="1" x14ac:dyDescent="0.35">
      <c r="I37" s="20"/>
    </row>
  </sheetData>
  <mergeCells count="87">
    <mergeCell ref="O16:Q16"/>
    <mergeCell ref="O18:Q18"/>
    <mergeCell ref="O28:P28"/>
    <mergeCell ref="O29:S29"/>
    <mergeCell ref="O19:Q19"/>
    <mergeCell ref="O20:S20"/>
    <mergeCell ref="O21:P21"/>
    <mergeCell ref="O22:P22"/>
    <mergeCell ref="O23:P23"/>
    <mergeCell ref="O24:P24"/>
    <mergeCell ref="O25:P25"/>
    <mergeCell ref="O26:P26"/>
    <mergeCell ref="O27:P27"/>
    <mergeCell ref="O17:Q17"/>
    <mergeCell ref="C33:F33"/>
    <mergeCell ref="C34:F34"/>
    <mergeCell ref="C35:F35"/>
    <mergeCell ref="B31:I31"/>
    <mergeCell ref="N1:W1"/>
    <mergeCell ref="O2:Q2"/>
    <mergeCell ref="O3:Q3"/>
    <mergeCell ref="O4:Q4"/>
    <mergeCell ref="O5:Q5"/>
    <mergeCell ref="O6:Q6"/>
    <mergeCell ref="O9:Q9"/>
    <mergeCell ref="O10:Q10"/>
    <mergeCell ref="O11:Q11"/>
    <mergeCell ref="O12:S12"/>
    <mergeCell ref="O13:Q13"/>
    <mergeCell ref="O14:Q14"/>
    <mergeCell ref="B21:C21"/>
    <mergeCell ref="B17:G17"/>
    <mergeCell ref="H17:I17"/>
    <mergeCell ref="J17:K17"/>
    <mergeCell ref="C32:F32"/>
    <mergeCell ref="C30:E30"/>
    <mergeCell ref="C28:E28"/>
    <mergeCell ref="C22:E22"/>
    <mergeCell ref="C29:E29"/>
    <mergeCell ref="C24:E24"/>
    <mergeCell ref="C25:E25"/>
    <mergeCell ref="C26:E26"/>
    <mergeCell ref="C27:E27"/>
    <mergeCell ref="C23:E23"/>
    <mergeCell ref="B19:G19"/>
    <mergeCell ref="H19:I19"/>
    <mergeCell ref="J19:K19"/>
    <mergeCell ref="B20:G20"/>
    <mergeCell ref="H20:I20"/>
    <mergeCell ref="J20:K20"/>
    <mergeCell ref="B16:C16"/>
    <mergeCell ref="D16:E16"/>
    <mergeCell ref="F16:G16"/>
    <mergeCell ref="H16:I16"/>
    <mergeCell ref="J16:K16"/>
    <mergeCell ref="I2:L2"/>
    <mergeCell ref="B1:L1"/>
    <mergeCell ref="D21:E21"/>
    <mergeCell ref="F21:G21"/>
    <mergeCell ref="H21:I21"/>
    <mergeCell ref="I10:I11"/>
    <mergeCell ref="B18:C18"/>
    <mergeCell ref="D18:E18"/>
    <mergeCell ref="F18:G18"/>
    <mergeCell ref="H18:I18"/>
    <mergeCell ref="B2:F2"/>
    <mergeCell ref="H2:H3"/>
    <mergeCell ref="H13:I13"/>
    <mergeCell ref="B13:C13"/>
    <mergeCell ref="D13:E13"/>
    <mergeCell ref="F13:G13"/>
    <mergeCell ref="O8:Q8"/>
    <mergeCell ref="O7:Q7"/>
    <mergeCell ref="J18:K18"/>
    <mergeCell ref="B3:D11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O15:Q15"/>
  </mergeCells>
  <pageMargins left="0.7" right="0.7" top="0.75" bottom="0.75" header="0.3" footer="0.3"/>
  <pageSetup scale="32" orientation="portrait" r:id="rId1"/>
  <colBreaks count="1" manualBreakCount="1">
    <brk id="12" max="10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0"/>
  <sheetViews>
    <sheetView zoomScale="46" zoomScaleNormal="46" zoomScaleSheetLayoutView="37" workbookViewId="0">
      <selection activeCell="O8" sqref="O8:Q8"/>
    </sheetView>
  </sheetViews>
  <sheetFormatPr defaultColWidth="19.21875" defaultRowHeight="44.4" customHeight="1" x14ac:dyDescent="0.35"/>
  <cols>
    <col min="1" max="12" width="19.21875" style="1"/>
    <col min="13" max="13" width="2.88671875" style="1" customWidth="1"/>
    <col min="14" max="22" width="19.21875" style="1"/>
    <col min="23" max="23" width="39.5546875" style="1" customWidth="1"/>
    <col min="24" max="16384" width="19.21875" style="1"/>
  </cols>
  <sheetData>
    <row r="1" spans="2:23" ht="43.2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60.6" customHeight="1" x14ac:dyDescent="0.35">
      <c r="B2" s="205" t="s">
        <v>8</v>
      </c>
      <c r="C2" s="206"/>
      <c r="D2" s="206"/>
      <c r="E2" s="206"/>
      <c r="F2" s="206"/>
      <c r="G2" s="18"/>
      <c r="H2" s="201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44.4" customHeight="1" x14ac:dyDescent="0.35">
      <c r="B3" s="196"/>
      <c r="C3" s="197"/>
      <c r="D3" s="198"/>
      <c r="E3" s="3" t="s">
        <v>0</v>
      </c>
      <c r="F3" s="3" t="s">
        <v>1</v>
      </c>
      <c r="G3" s="3" t="s">
        <v>2</v>
      </c>
      <c r="H3" s="202"/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74</v>
      </c>
      <c r="P3" s="170"/>
      <c r="Q3" s="170"/>
      <c r="R3" s="34">
        <f>K4*L4+K5*L5</f>
        <v>4400</v>
      </c>
      <c r="S3" s="29">
        <v>0.85299999999999998</v>
      </c>
      <c r="T3" s="32">
        <f>S3*R3</f>
        <v>3753.2</v>
      </c>
      <c r="U3" s="34">
        <v>195000</v>
      </c>
      <c r="V3" s="31">
        <f>U3*T3/1000</f>
        <v>731874</v>
      </c>
      <c r="W3" s="86"/>
    </row>
    <row r="4" spans="2:23" ht="44.4" customHeight="1" x14ac:dyDescent="0.35">
      <c r="B4" s="177"/>
      <c r="C4" s="178"/>
      <c r="D4" s="199"/>
      <c r="E4" s="3">
        <v>700</v>
      </c>
      <c r="F4" s="3">
        <v>1500</v>
      </c>
      <c r="G4" s="3">
        <v>1</v>
      </c>
      <c r="H4" s="79" t="s">
        <v>19</v>
      </c>
      <c r="I4" s="3" t="s">
        <v>10</v>
      </c>
      <c r="J4" s="6" t="str">
        <f>CONCATENATE($G$2,"-",$D$9,"-","3318","-","1")</f>
        <v>--3318-1</v>
      </c>
      <c r="K4" s="3">
        <f>E4</f>
        <v>700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K6*L6+K7*L7</f>
        <v>4200</v>
      </c>
      <c r="S4" s="29">
        <v>1.042</v>
      </c>
      <c r="T4" s="32">
        <f t="shared" ref="T4:T5" si="0">S4*R4</f>
        <v>4376.4000000000005</v>
      </c>
      <c r="U4" s="34">
        <v>195000</v>
      </c>
      <c r="V4" s="31">
        <f t="shared" ref="V4:V5" si="1">U4*T4/1000</f>
        <v>853398.00000000012</v>
      </c>
      <c r="W4" s="86"/>
    </row>
    <row r="5" spans="2:23" ht="44.4" customHeight="1" x14ac:dyDescent="0.35">
      <c r="B5" s="177"/>
      <c r="C5" s="178"/>
      <c r="D5" s="199"/>
      <c r="E5" s="41" t="s">
        <v>164</v>
      </c>
      <c r="F5" s="41" t="s">
        <v>40</v>
      </c>
      <c r="G5" s="41" t="s">
        <v>98</v>
      </c>
      <c r="H5" s="79" t="s">
        <v>20</v>
      </c>
      <c r="I5" s="3" t="s">
        <v>11</v>
      </c>
      <c r="J5" s="6" t="str">
        <f>CONCATENATE($G$2,"-",$D$9,"-","3318","-","2")</f>
        <v>--3318-2</v>
      </c>
      <c r="K5" s="3">
        <f>F4</f>
        <v>1500</v>
      </c>
      <c r="L5" s="3">
        <f>G4*2</f>
        <v>2</v>
      </c>
      <c r="N5" s="15">
        <f t="shared" ref="N5:N10" si="2">N4+1</f>
        <v>3</v>
      </c>
      <c r="O5" s="169" t="s">
        <v>49</v>
      </c>
      <c r="P5" s="170"/>
      <c r="Q5" s="170"/>
      <c r="R5" s="34">
        <f>R4</f>
        <v>4200</v>
      </c>
      <c r="S5" s="29">
        <v>0.27600000000000002</v>
      </c>
      <c r="T5" s="32">
        <f t="shared" si="0"/>
        <v>1159.2</v>
      </c>
      <c r="U5" s="34">
        <v>195000</v>
      </c>
      <c r="V5" s="31">
        <f t="shared" si="1"/>
        <v>226044</v>
      </c>
      <c r="W5" s="86"/>
    </row>
    <row r="6" spans="2:23" ht="44.4" customHeight="1" x14ac:dyDescent="0.35">
      <c r="B6" s="177"/>
      <c r="C6" s="178"/>
      <c r="D6" s="199"/>
      <c r="E6" s="146">
        <f>G6+T6</f>
        <v>9939.0160000000014</v>
      </c>
      <c r="F6" s="17">
        <f>F4*E4/1000</f>
        <v>1050</v>
      </c>
      <c r="G6" s="93">
        <f>SUM(T3:T5)</f>
        <v>9288.8000000000011</v>
      </c>
      <c r="H6" s="79" t="s">
        <v>21</v>
      </c>
      <c r="I6" s="3" t="s">
        <v>12</v>
      </c>
      <c r="J6" s="6" t="str">
        <f>CONCATENATE($G$2,"-",$D$9,"-","8092","-","1")</f>
        <v>--8092-1</v>
      </c>
      <c r="K6" s="3">
        <f>IF(E4-40-10&lt;0,"0",E4-40-10)</f>
        <v>650</v>
      </c>
      <c r="L6" s="3">
        <f>G4*2</f>
        <v>2</v>
      </c>
      <c r="N6" s="15">
        <f t="shared" si="2"/>
        <v>4</v>
      </c>
      <c r="O6" s="169" t="s">
        <v>72</v>
      </c>
      <c r="P6" s="170"/>
      <c r="Q6" s="171"/>
      <c r="R6" s="34"/>
      <c r="S6" s="29"/>
      <c r="T6" s="145">
        <f>SUM(T3:T5)*U6</f>
        <v>650.21600000000012</v>
      </c>
      <c r="U6" s="55">
        <v>7.0000000000000007E-2</v>
      </c>
      <c r="V6" s="34">
        <f>SUM(V3:V5)*U6</f>
        <v>126792.12000000001</v>
      </c>
      <c r="W6" s="42"/>
    </row>
    <row r="7" spans="2:23" ht="44.4" customHeight="1" x14ac:dyDescent="0.35">
      <c r="B7" s="177"/>
      <c r="C7" s="178"/>
      <c r="D7" s="199"/>
      <c r="E7" s="2"/>
      <c r="F7" s="2"/>
      <c r="G7" s="2"/>
      <c r="H7" s="79" t="s">
        <v>22</v>
      </c>
      <c r="I7" s="3" t="s">
        <v>13</v>
      </c>
      <c r="J7" s="6" t="str">
        <f>CONCATENATE($G$2,"-",$D$9,"-","8092","-","2")</f>
        <v>--8092-2</v>
      </c>
      <c r="K7" s="3">
        <f>IF(F4-40-10&lt;0,"0",F4-40-10)</f>
        <v>1450</v>
      </c>
      <c r="L7" s="3">
        <f>G4*2</f>
        <v>2</v>
      </c>
      <c r="N7" s="15">
        <f t="shared" si="2"/>
        <v>5</v>
      </c>
      <c r="O7" s="169" t="s">
        <v>84</v>
      </c>
      <c r="P7" s="170"/>
      <c r="Q7" s="170"/>
      <c r="R7" s="29"/>
      <c r="S7" s="29"/>
      <c r="T7" s="33">
        <v>4</v>
      </c>
      <c r="U7" s="34">
        <v>4400</v>
      </c>
      <c r="V7" s="31">
        <f t="shared" ref="V7:V9" si="3">U7*T7</f>
        <v>17600</v>
      </c>
      <c r="W7" s="26" t="s">
        <v>78</v>
      </c>
    </row>
    <row r="8" spans="2:23" ht="44.4" customHeight="1" x14ac:dyDescent="0.35">
      <c r="B8" s="177"/>
      <c r="C8" s="178"/>
      <c r="D8" s="199"/>
      <c r="E8" s="3"/>
      <c r="F8" s="3"/>
      <c r="G8" s="3"/>
      <c r="H8" s="79" t="s">
        <v>24</v>
      </c>
      <c r="I8" s="203" t="s">
        <v>73</v>
      </c>
      <c r="J8" s="3" t="s">
        <v>6</v>
      </c>
      <c r="K8" s="3" t="s">
        <v>7</v>
      </c>
      <c r="L8" s="5" t="s">
        <v>2</v>
      </c>
      <c r="N8" s="15">
        <f t="shared" si="2"/>
        <v>6</v>
      </c>
      <c r="O8" s="169" t="s">
        <v>85</v>
      </c>
      <c r="P8" s="170"/>
      <c r="Q8" s="170"/>
      <c r="R8" s="29"/>
      <c r="S8" s="29"/>
      <c r="T8" s="33">
        <v>4</v>
      </c>
      <c r="U8" s="34">
        <v>5100</v>
      </c>
      <c r="V8" s="31">
        <f t="shared" si="3"/>
        <v>20400</v>
      </c>
      <c r="W8" s="26" t="s">
        <v>67</v>
      </c>
    </row>
    <row r="9" spans="2:23" ht="44.4" customHeight="1" x14ac:dyDescent="0.35">
      <c r="B9" s="179"/>
      <c r="C9" s="180"/>
      <c r="D9" s="200"/>
      <c r="E9" s="3"/>
      <c r="F9" s="3"/>
      <c r="G9" s="3"/>
      <c r="H9" s="79" t="s">
        <v>25</v>
      </c>
      <c r="I9" s="204"/>
      <c r="J9" s="17">
        <f>IF(K6-120&gt;0,K6-120,"0")</f>
        <v>530</v>
      </c>
      <c r="K9" s="17">
        <f>IF(K7-120&gt;0,K7-120,"0")</f>
        <v>1330</v>
      </c>
      <c r="L9" s="17">
        <f>G4</f>
        <v>1</v>
      </c>
      <c r="N9" s="15">
        <f t="shared" si="2"/>
        <v>7</v>
      </c>
      <c r="O9" s="169" t="s">
        <v>55</v>
      </c>
      <c r="P9" s="170"/>
      <c r="Q9" s="170"/>
      <c r="R9" s="29"/>
      <c r="S9" s="29"/>
      <c r="T9" s="33">
        <f>T8*2+T7</f>
        <v>12</v>
      </c>
      <c r="U9" s="34">
        <v>100</v>
      </c>
      <c r="V9" s="31">
        <f t="shared" si="3"/>
        <v>1200</v>
      </c>
      <c r="W9" s="26" t="s">
        <v>68</v>
      </c>
    </row>
    <row r="10" spans="2:23" ht="44.4" customHeight="1" x14ac:dyDescent="0.35">
      <c r="N10" s="15">
        <f t="shared" si="2"/>
        <v>8</v>
      </c>
      <c r="O10" s="182" t="s">
        <v>59</v>
      </c>
      <c r="P10" s="183"/>
      <c r="Q10" s="183"/>
      <c r="R10" s="183"/>
      <c r="S10" s="184"/>
      <c r="T10" s="35"/>
      <c r="U10" s="36"/>
      <c r="V10" s="37">
        <f>SUM(V3:V9)</f>
        <v>1977308.12</v>
      </c>
      <c r="W10" s="15"/>
    </row>
    <row r="11" spans="2:23" ht="44.4" customHeight="1" x14ac:dyDescent="0.35">
      <c r="L11" s="1">
        <f>J9*K9*L9/1000000</f>
        <v>0.70489999999999997</v>
      </c>
      <c r="N11" s="24" t="s">
        <v>14</v>
      </c>
      <c r="O11" s="174" t="s">
        <v>45</v>
      </c>
      <c r="P11" s="174"/>
      <c r="Q11" s="174"/>
      <c r="R11" s="24" t="s">
        <v>46</v>
      </c>
      <c r="S11" s="30" t="s">
        <v>52</v>
      </c>
      <c r="T11" s="30"/>
      <c r="U11" s="24" t="s">
        <v>38</v>
      </c>
      <c r="V11" s="24" t="s">
        <v>39</v>
      </c>
      <c r="W11" s="2"/>
    </row>
    <row r="12" spans="2:23" ht="44.4" customHeight="1" x14ac:dyDescent="0.35"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40">
        <f>L11*1600</f>
        <v>1127.8399999999999</v>
      </c>
      <c r="N12" s="15">
        <v>1</v>
      </c>
      <c r="O12" s="169" t="s">
        <v>60</v>
      </c>
      <c r="P12" s="170"/>
      <c r="Q12" s="170"/>
      <c r="R12" s="38">
        <f>R3+R4</f>
        <v>8600</v>
      </c>
      <c r="S12" s="2">
        <v>1</v>
      </c>
      <c r="T12" s="25"/>
      <c r="U12" s="38">
        <v>1000</v>
      </c>
      <c r="V12" s="38">
        <f>U12*R12*S12/1000</f>
        <v>8600</v>
      </c>
      <c r="W12" s="2"/>
    </row>
    <row r="13" spans="2:23" ht="44.4" customHeight="1" x14ac:dyDescent="0.35">
      <c r="B13" s="172"/>
      <c r="C13" s="172"/>
      <c r="D13" s="185"/>
      <c r="E13" s="185"/>
      <c r="F13" s="185"/>
      <c r="G13" s="185"/>
      <c r="H13" s="185"/>
      <c r="I13" s="185"/>
      <c r="J13" s="56"/>
      <c r="K13" s="56"/>
      <c r="L13" s="56">
        <f>F6*450</f>
        <v>472500</v>
      </c>
      <c r="N13" s="15">
        <f>N12+1</f>
        <v>2</v>
      </c>
      <c r="O13" s="169" t="s">
        <v>41</v>
      </c>
      <c r="P13" s="170"/>
      <c r="Q13" s="170"/>
      <c r="R13" s="38">
        <f>R4*2</f>
        <v>8400</v>
      </c>
      <c r="S13" s="2">
        <v>1</v>
      </c>
      <c r="T13" s="25"/>
      <c r="U13" s="38">
        <v>1000</v>
      </c>
      <c r="V13" s="38">
        <f>U13*R13*S13/1000</f>
        <v>8400</v>
      </c>
      <c r="W13" s="2"/>
    </row>
    <row r="14" spans="2:23" ht="44.4" customHeight="1" x14ac:dyDescent="0.35">
      <c r="B14" s="172"/>
      <c r="C14" s="172"/>
      <c r="D14" s="185"/>
      <c r="E14" s="185"/>
      <c r="F14" s="185"/>
      <c r="G14" s="185"/>
      <c r="H14" s="185"/>
      <c r="I14" s="185"/>
      <c r="J14" s="56"/>
      <c r="K14" s="56"/>
      <c r="L14" s="149">
        <f>F6*200</f>
        <v>210000</v>
      </c>
      <c r="N14" s="15">
        <f t="shared" ref="N14:N16" si="4">N13+1</f>
        <v>3</v>
      </c>
      <c r="O14" s="169" t="s">
        <v>62</v>
      </c>
      <c r="P14" s="170"/>
      <c r="Q14" s="171"/>
      <c r="R14" s="38"/>
      <c r="S14" s="60">
        <v>1</v>
      </c>
      <c r="T14" s="25"/>
      <c r="U14" s="38">
        <v>1000</v>
      </c>
      <c r="V14" s="38">
        <f t="shared" ref="V14:V15" si="5">U14*S14</f>
        <v>1000</v>
      </c>
      <c r="W14" s="26" t="s">
        <v>80</v>
      </c>
    </row>
    <row r="15" spans="2:23" ht="44.4" customHeight="1" x14ac:dyDescent="0.35">
      <c r="B15" s="172"/>
      <c r="C15" s="172"/>
      <c r="D15" s="185"/>
      <c r="E15" s="185"/>
      <c r="F15" s="185"/>
      <c r="G15" s="185"/>
      <c r="H15" s="185"/>
      <c r="I15" s="185"/>
      <c r="J15" s="56"/>
      <c r="K15" s="56"/>
      <c r="L15" s="149">
        <f>V17+L13+L12</f>
        <v>2470935.96</v>
      </c>
      <c r="N15" s="15">
        <f t="shared" si="4"/>
        <v>4</v>
      </c>
      <c r="O15" s="169" t="s">
        <v>64</v>
      </c>
      <c r="P15" s="170"/>
      <c r="Q15" s="171"/>
      <c r="R15" s="38"/>
      <c r="S15" s="2">
        <v>1</v>
      </c>
      <c r="T15" s="25"/>
      <c r="U15" s="38">
        <v>2000</v>
      </c>
      <c r="V15" s="38">
        <f t="shared" si="5"/>
        <v>2000</v>
      </c>
      <c r="W15" s="26" t="s">
        <v>80</v>
      </c>
    </row>
    <row r="16" spans="2:23" ht="44.4" customHeight="1" x14ac:dyDescent="0.35">
      <c r="B16" s="172"/>
      <c r="C16" s="172"/>
      <c r="D16" s="172"/>
      <c r="E16" s="172"/>
      <c r="F16" s="172"/>
      <c r="G16" s="172"/>
      <c r="H16" s="185"/>
      <c r="I16" s="185"/>
      <c r="J16" s="56"/>
      <c r="K16" s="56"/>
      <c r="L16" s="150"/>
      <c r="N16" s="15">
        <f t="shared" si="4"/>
        <v>5</v>
      </c>
      <c r="O16" s="188" t="s">
        <v>63</v>
      </c>
      <c r="P16" s="188"/>
      <c r="Q16" s="188"/>
      <c r="R16" s="188"/>
      <c r="S16" s="188"/>
      <c r="T16" s="35"/>
      <c r="U16" s="36"/>
      <c r="V16" s="37">
        <f>SUM(V12:V15)</f>
        <v>20000</v>
      </c>
      <c r="W16" s="2"/>
    </row>
    <row r="17" spans="2:23" ht="44.4" customHeight="1" x14ac:dyDescent="0.4">
      <c r="B17" s="172"/>
      <c r="C17" s="172"/>
      <c r="D17" s="185"/>
      <c r="E17" s="185"/>
      <c r="F17" s="185"/>
      <c r="G17" s="185"/>
      <c r="H17" s="185"/>
      <c r="I17" s="185"/>
      <c r="J17" s="56"/>
      <c r="K17" s="56"/>
      <c r="L17" s="150">
        <f>F6*4200</f>
        <v>4410000</v>
      </c>
      <c r="O17" s="45"/>
      <c r="P17" s="189"/>
      <c r="Q17" s="189"/>
      <c r="R17" s="21"/>
      <c r="S17" s="45"/>
      <c r="T17" s="45"/>
      <c r="U17" s="57"/>
      <c r="V17" s="139">
        <f>V10+V16</f>
        <v>1997308.12</v>
      </c>
      <c r="W17" s="45"/>
    </row>
    <row r="18" spans="2:23" ht="44.4" customHeight="1" x14ac:dyDescent="0.35">
      <c r="B18" s="172"/>
      <c r="C18" s="172"/>
      <c r="D18" s="172"/>
      <c r="E18" s="172"/>
      <c r="F18" s="172"/>
      <c r="G18" s="172"/>
      <c r="H18" s="185"/>
      <c r="I18" s="185"/>
      <c r="J18" s="56"/>
      <c r="K18" s="56"/>
      <c r="L18" s="152">
        <f>L15/L17</f>
        <v>0.56030293877551018</v>
      </c>
      <c r="O18" s="19"/>
      <c r="P18" s="187"/>
      <c r="Q18" s="187"/>
      <c r="R18" s="48"/>
      <c r="S18" s="46"/>
      <c r="T18" s="46"/>
      <c r="U18" s="50"/>
      <c r="V18" s="46"/>
      <c r="W18" s="50"/>
    </row>
    <row r="19" spans="2:23" ht="44.4" customHeight="1" x14ac:dyDescent="0.35">
      <c r="B19" s="172"/>
      <c r="C19" s="172"/>
      <c r="D19" s="172"/>
      <c r="E19" s="172"/>
      <c r="F19" s="172"/>
      <c r="G19" s="172"/>
      <c r="H19" s="190"/>
      <c r="I19" s="190"/>
      <c r="J19" s="56"/>
      <c r="K19" s="56"/>
      <c r="L19" s="56"/>
      <c r="O19" s="19"/>
      <c r="P19" s="187"/>
      <c r="Q19" s="187"/>
      <c r="R19" s="48"/>
      <c r="S19" s="46"/>
      <c r="T19" s="46"/>
      <c r="U19" s="49"/>
      <c r="V19" s="46"/>
      <c r="W19" s="50"/>
    </row>
    <row r="20" spans="2:23" ht="44.4" customHeight="1" x14ac:dyDescent="0.35">
      <c r="B20" s="172"/>
      <c r="C20" s="172"/>
      <c r="D20" s="172"/>
      <c r="E20" s="172"/>
      <c r="F20" s="172"/>
      <c r="G20" s="172"/>
      <c r="H20" s="185"/>
      <c r="I20" s="185"/>
      <c r="J20" s="56"/>
      <c r="K20" s="56"/>
    </row>
  </sheetData>
  <mergeCells count="56">
    <mergeCell ref="O16:S16"/>
    <mergeCell ref="P17:Q17"/>
    <mergeCell ref="P18:Q18"/>
    <mergeCell ref="P19:Q19"/>
    <mergeCell ref="O11:Q11"/>
    <mergeCell ref="O12:Q12"/>
    <mergeCell ref="O13:Q13"/>
    <mergeCell ref="O14:Q14"/>
    <mergeCell ref="O15:Q15"/>
    <mergeCell ref="O6:Q6"/>
    <mergeCell ref="O7:Q7"/>
    <mergeCell ref="O8:Q8"/>
    <mergeCell ref="O9:Q9"/>
    <mergeCell ref="O10:S10"/>
    <mergeCell ref="N1:W1"/>
    <mergeCell ref="O2:Q2"/>
    <mergeCell ref="O3:Q3"/>
    <mergeCell ref="O4:Q4"/>
    <mergeCell ref="O5:Q5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:L1"/>
    <mergeCell ref="B12:C12"/>
    <mergeCell ref="D12:E12"/>
    <mergeCell ref="F12:G12"/>
    <mergeCell ref="H12:I12"/>
    <mergeCell ref="J12:K12"/>
    <mergeCell ref="B3:D9"/>
    <mergeCell ref="H2:H3"/>
    <mergeCell ref="I8:I9"/>
    <mergeCell ref="I2:L2"/>
    <mergeCell ref="B2:F2"/>
  </mergeCells>
  <pageMargins left="0.7" right="0.7" top="0.75" bottom="0.75" header="0.3" footer="0.3"/>
  <pageSetup scale="5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20"/>
  <sheetViews>
    <sheetView topLeftCell="E1" zoomScale="47" zoomScaleNormal="47" zoomScaleSheetLayoutView="36" workbookViewId="0">
      <selection activeCell="E7" sqref="E7"/>
    </sheetView>
  </sheetViews>
  <sheetFormatPr defaultColWidth="20.44140625" defaultRowHeight="42" customHeight="1" x14ac:dyDescent="0.35"/>
  <cols>
    <col min="1" max="12" width="20.44140625" style="1"/>
    <col min="13" max="13" width="5" style="1" customWidth="1"/>
    <col min="14" max="22" width="20.44140625" style="1"/>
    <col min="23" max="23" width="42.44140625" style="1" customWidth="1"/>
    <col min="24" max="16384" width="20.44140625" style="1"/>
  </cols>
  <sheetData>
    <row r="1" spans="2:23" ht="42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55.2" customHeight="1" x14ac:dyDescent="0.35">
      <c r="B2" s="205" t="s">
        <v>8</v>
      </c>
      <c r="C2" s="206"/>
      <c r="D2" s="206"/>
      <c r="E2" s="206"/>
      <c r="F2" s="206"/>
      <c r="G2" s="8"/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42" customHeight="1" x14ac:dyDescent="0.35">
      <c r="B3" s="196"/>
      <c r="C3" s="197"/>
      <c r="D3" s="198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74</v>
      </c>
      <c r="P3" s="170"/>
      <c r="Q3" s="170"/>
      <c r="R3" s="34">
        <f>K4*L4+K5*L5</f>
        <v>5600</v>
      </c>
      <c r="S3" s="29">
        <v>0.85299999999999998</v>
      </c>
      <c r="T3" s="31">
        <f>S3*R3</f>
        <v>4776.8</v>
      </c>
      <c r="U3" s="34">
        <v>178000</v>
      </c>
      <c r="V3" s="31">
        <f>U3*T3/1000</f>
        <v>850270.4</v>
      </c>
      <c r="W3" s="83"/>
    </row>
    <row r="4" spans="2:23" ht="42" customHeight="1" x14ac:dyDescent="0.35">
      <c r="B4" s="177"/>
      <c r="C4" s="178"/>
      <c r="D4" s="199"/>
      <c r="E4" s="3">
        <v>1800</v>
      </c>
      <c r="F4" s="3">
        <v>1000</v>
      </c>
      <c r="G4" s="3">
        <v>1</v>
      </c>
      <c r="H4" s="6">
        <v>1</v>
      </c>
      <c r="I4" s="3" t="s">
        <v>10</v>
      </c>
      <c r="J4" s="6" t="str">
        <f>CONCATENATE($G$2,"-",$D$10,"-","3318","-","1")</f>
        <v>--3318-1</v>
      </c>
      <c r="K4" s="3">
        <f>E4</f>
        <v>1800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K6*L6+K7*L7</f>
        <v>7288</v>
      </c>
      <c r="S4" s="29">
        <v>1.042</v>
      </c>
      <c r="T4" s="31">
        <f t="shared" ref="T4:T5" si="0">S4*R4</f>
        <v>7594.0960000000005</v>
      </c>
      <c r="U4" s="34">
        <v>178000</v>
      </c>
      <c r="V4" s="31">
        <f t="shared" ref="V4:V6" si="1">U4*T4/1000</f>
        <v>1351749.088</v>
      </c>
      <c r="W4" s="84"/>
    </row>
    <row r="5" spans="2:23" ht="42" customHeight="1" x14ac:dyDescent="0.35">
      <c r="B5" s="177"/>
      <c r="C5" s="178"/>
      <c r="D5" s="199"/>
      <c r="E5" s="41" t="s">
        <v>164</v>
      </c>
      <c r="F5" s="41" t="s">
        <v>40</v>
      </c>
      <c r="G5" s="41" t="s">
        <v>98</v>
      </c>
      <c r="H5" s="6">
        <f>H4+1</f>
        <v>2</v>
      </c>
      <c r="I5" s="3" t="s">
        <v>11</v>
      </c>
      <c r="J5" s="6" t="str">
        <f>CONCATENATE($G$2,"-",$D$10,"-","3318","-","2")</f>
        <v>--3318-2</v>
      </c>
      <c r="K5" s="3">
        <f>F4</f>
        <v>1000</v>
      </c>
      <c r="L5" s="3">
        <f>G4*2</f>
        <v>2</v>
      </c>
      <c r="N5" s="15">
        <f t="shared" ref="N5:N11" si="2">N4+1</f>
        <v>3</v>
      </c>
      <c r="O5" s="169" t="s">
        <v>49</v>
      </c>
      <c r="P5" s="170"/>
      <c r="Q5" s="170"/>
      <c r="R5" s="34">
        <f>R4</f>
        <v>7288</v>
      </c>
      <c r="S5" s="29">
        <v>0.27600000000000002</v>
      </c>
      <c r="T5" s="31">
        <f t="shared" si="0"/>
        <v>2011.4880000000001</v>
      </c>
      <c r="U5" s="34">
        <v>178000</v>
      </c>
      <c r="V5" s="31">
        <f t="shared" si="1"/>
        <v>358044.864</v>
      </c>
      <c r="W5" s="84"/>
    </row>
    <row r="6" spans="2:23" ht="42" customHeight="1" x14ac:dyDescent="0.35">
      <c r="B6" s="177"/>
      <c r="C6" s="178"/>
      <c r="D6" s="199"/>
      <c r="E6" s="146">
        <f>G6+T7</f>
        <v>16022.60835</v>
      </c>
      <c r="F6" s="17">
        <f>F4*E4/1000</f>
        <v>1800</v>
      </c>
      <c r="G6" s="93">
        <f>SUM(T3:T6)</f>
        <v>15259.627</v>
      </c>
      <c r="H6" s="6">
        <f t="shared" ref="H6:H10" si="3">H5+1</f>
        <v>3</v>
      </c>
      <c r="I6" s="3" t="s">
        <v>17</v>
      </c>
      <c r="J6" s="6" t="str">
        <f>CONCATENATE($G$2,"-",$D$10,"-","3202","-","1")</f>
        <v>--3202-1</v>
      </c>
      <c r="K6" s="3">
        <f>IF(ROUNDDOWN((E4-40-16)/2,0)&lt;0,"0",ROUNDDOWN((E4-40-16)/2,0))</f>
        <v>872</v>
      </c>
      <c r="L6" s="3">
        <f>G4*4</f>
        <v>4</v>
      </c>
      <c r="N6" s="15">
        <f t="shared" si="2"/>
        <v>4</v>
      </c>
      <c r="O6" s="169" t="s">
        <v>65</v>
      </c>
      <c r="P6" s="170"/>
      <c r="Q6" s="170"/>
      <c r="R6" s="34">
        <f>K8*L8</f>
        <v>887</v>
      </c>
      <c r="S6" s="29">
        <v>0.98899999999999999</v>
      </c>
      <c r="T6" s="31">
        <f>S6*R6</f>
        <v>877.24299999999994</v>
      </c>
      <c r="U6" s="34">
        <v>178000</v>
      </c>
      <c r="V6" s="31">
        <f t="shared" si="1"/>
        <v>156149.25399999999</v>
      </c>
      <c r="W6" s="85"/>
    </row>
    <row r="7" spans="2:23" ht="42" customHeight="1" x14ac:dyDescent="0.35">
      <c r="B7" s="177"/>
      <c r="C7" s="178"/>
      <c r="D7" s="199"/>
      <c r="E7" s="2"/>
      <c r="F7" s="2"/>
      <c r="G7" s="2"/>
      <c r="H7" s="6">
        <f t="shared" si="3"/>
        <v>4</v>
      </c>
      <c r="I7" s="3" t="s">
        <v>18</v>
      </c>
      <c r="J7" s="6" t="str">
        <f>CONCATENATE($G$2,"-",$D$10,"-","3202","-","2")</f>
        <v>--3202-2</v>
      </c>
      <c r="K7" s="3">
        <f>IF(F4-40-10&lt;0,"0",ROUNDDOWN(F4-40-10,0))</f>
        <v>950</v>
      </c>
      <c r="L7" s="3">
        <f>G4*4</f>
        <v>4</v>
      </c>
      <c r="N7" s="15">
        <f t="shared" si="2"/>
        <v>5</v>
      </c>
      <c r="O7" s="169" t="s">
        <v>72</v>
      </c>
      <c r="P7" s="170"/>
      <c r="Q7" s="171"/>
      <c r="R7" s="34"/>
      <c r="S7" s="29"/>
      <c r="T7" s="145">
        <f>SUM(T3:T6)*U7</f>
        <v>762.98135000000002</v>
      </c>
      <c r="U7" s="55">
        <v>0.05</v>
      </c>
      <c r="V7" s="34">
        <f>SUM(V3:V6)*U7</f>
        <v>135810.68030000001</v>
      </c>
      <c r="W7" s="42"/>
    </row>
    <row r="8" spans="2:23" ht="42" customHeight="1" x14ac:dyDescent="0.35">
      <c r="B8" s="177"/>
      <c r="C8" s="178"/>
      <c r="D8" s="199"/>
      <c r="E8" s="2"/>
      <c r="F8" s="2"/>
      <c r="G8" s="2"/>
      <c r="H8" s="6">
        <f t="shared" si="3"/>
        <v>5</v>
      </c>
      <c r="I8" s="3" t="s">
        <v>16</v>
      </c>
      <c r="J8" s="6" t="str">
        <f>CONCATENATE($G$2,"-",$D$10,"-","3323A","-","1")</f>
        <v>--3323A-1</v>
      </c>
      <c r="K8" s="6">
        <f>K7-63</f>
        <v>887</v>
      </c>
      <c r="L8" s="3">
        <f>G4*1</f>
        <v>1</v>
      </c>
      <c r="N8" s="15">
        <f t="shared" si="2"/>
        <v>6</v>
      </c>
      <c r="O8" s="169" t="s">
        <v>84</v>
      </c>
      <c r="P8" s="170"/>
      <c r="Q8" s="170"/>
      <c r="R8" s="29"/>
      <c r="S8" s="29"/>
      <c r="T8" s="33">
        <v>4</v>
      </c>
      <c r="U8" s="34">
        <v>4400</v>
      </c>
      <c r="V8" s="31">
        <f t="shared" ref="V8:V9" si="4">U8*T8</f>
        <v>17600</v>
      </c>
      <c r="W8" s="15"/>
    </row>
    <row r="9" spans="2:23" ht="42" customHeight="1" x14ac:dyDescent="0.35">
      <c r="B9" s="177"/>
      <c r="C9" s="178"/>
      <c r="D9" s="199"/>
      <c r="E9" s="3"/>
      <c r="F9" s="3"/>
      <c r="G9" s="3"/>
      <c r="H9" s="6">
        <f t="shared" si="3"/>
        <v>6</v>
      </c>
      <c r="I9" s="203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69" t="s">
        <v>85</v>
      </c>
      <c r="P9" s="170"/>
      <c r="Q9" s="170"/>
      <c r="R9" s="29"/>
      <c r="S9" s="29"/>
      <c r="T9" s="33">
        <v>8</v>
      </c>
      <c r="U9" s="34">
        <v>5100</v>
      </c>
      <c r="V9" s="31">
        <f t="shared" si="4"/>
        <v>40800</v>
      </c>
      <c r="W9" s="26" t="s">
        <v>67</v>
      </c>
    </row>
    <row r="10" spans="2:23" ht="42" customHeight="1" x14ac:dyDescent="0.35">
      <c r="B10" s="179"/>
      <c r="C10" s="180"/>
      <c r="D10" s="200"/>
      <c r="E10" s="3"/>
      <c r="F10" s="3"/>
      <c r="G10" s="3"/>
      <c r="H10" s="6">
        <f t="shared" si="3"/>
        <v>7</v>
      </c>
      <c r="I10" s="204"/>
      <c r="J10" s="3">
        <f>IF(K6-120&gt;0,K6-120,"0")</f>
        <v>752</v>
      </c>
      <c r="K10" s="3">
        <f>IF(K7-120&gt;0,K7-120,"0")</f>
        <v>830</v>
      </c>
      <c r="L10" s="3">
        <f>G4*2</f>
        <v>2</v>
      </c>
      <c r="N10" s="15">
        <f t="shared" si="2"/>
        <v>8</v>
      </c>
      <c r="O10" s="169" t="s">
        <v>55</v>
      </c>
      <c r="P10" s="170"/>
      <c r="Q10" s="170"/>
      <c r="R10" s="29"/>
      <c r="S10" s="29"/>
      <c r="T10" s="33">
        <f>T9*2+T8</f>
        <v>20</v>
      </c>
      <c r="U10" s="34">
        <v>100</v>
      </c>
      <c r="V10" s="31">
        <f>U10*T10</f>
        <v>2000</v>
      </c>
      <c r="W10" s="26" t="s">
        <v>68</v>
      </c>
    </row>
    <row r="11" spans="2:23" ht="42" customHeight="1" x14ac:dyDescent="0.35">
      <c r="N11" s="15">
        <f t="shared" si="2"/>
        <v>9</v>
      </c>
      <c r="O11" s="182" t="s">
        <v>59</v>
      </c>
      <c r="P11" s="183"/>
      <c r="Q11" s="183"/>
      <c r="R11" s="183"/>
      <c r="S11" s="184"/>
      <c r="T11" s="35"/>
      <c r="U11" s="36"/>
      <c r="V11" s="37">
        <f>SUM(V3:V10)</f>
        <v>2912424.2863000003</v>
      </c>
      <c r="W11" s="15"/>
    </row>
    <row r="12" spans="2:23" ht="42" customHeight="1" x14ac:dyDescent="0.35"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N12" s="24" t="s">
        <v>14</v>
      </c>
      <c r="O12" s="174" t="s">
        <v>45</v>
      </c>
      <c r="P12" s="174"/>
      <c r="Q12" s="174"/>
      <c r="R12" s="24" t="s">
        <v>46</v>
      </c>
      <c r="S12" s="30" t="s">
        <v>52</v>
      </c>
      <c r="T12" s="30"/>
      <c r="U12" s="24" t="s">
        <v>38</v>
      </c>
      <c r="V12" s="24" t="s">
        <v>39</v>
      </c>
      <c r="W12" s="2"/>
    </row>
    <row r="13" spans="2:23" ht="42" customHeight="1" x14ac:dyDescent="0.35">
      <c r="B13" s="172"/>
      <c r="C13" s="172"/>
      <c r="D13" s="185"/>
      <c r="E13" s="185"/>
      <c r="F13" s="185"/>
      <c r="G13" s="185"/>
      <c r="H13" s="185"/>
      <c r="I13" s="185"/>
      <c r="J13" s="172"/>
      <c r="K13" s="172"/>
      <c r="N13" s="15">
        <v>1</v>
      </c>
      <c r="O13" s="169" t="s">
        <v>60</v>
      </c>
      <c r="P13" s="170"/>
      <c r="Q13" s="170"/>
      <c r="R13" s="38">
        <f>R3+R4+R6</f>
        <v>13775</v>
      </c>
      <c r="S13" s="2">
        <v>1</v>
      </c>
      <c r="T13" s="25"/>
      <c r="U13" s="38">
        <v>1000</v>
      </c>
      <c r="V13" s="38">
        <f>U13*R13*S13/1000</f>
        <v>13775</v>
      </c>
      <c r="W13" s="2"/>
    </row>
    <row r="14" spans="2:23" ht="42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>N13+1</f>
        <v>2</v>
      </c>
      <c r="O14" s="169" t="s">
        <v>41</v>
      </c>
      <c r="P14" s="170"/>
      <c r="Q14" s="170"/>
      <c r="R14" s="38">
        <f>R4*2</f>
        <v>14576</v>
      </c>
      <c r="S14" s="2">
        <v>1</v>
      </c>
      <c r="T14" s="25"/>
      <c r="U14" s="38">
        <v>1000</v>
      </c>
      <c r="V14" s="38">
        <f>U14*R14*S14/1000</f>
        <v>14576</v>
      </c>
      <c r="W14" s="2"/>
    </row>
    <row r="15" spans="2:23" ht="42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 t="shared" ref="N15:N18" si="5">N14+1</f>
        <v>3</v>
      </c>
      <c r="O15" s="169" t="s">
        <v>66</v>
      </c>
      <c r="P15" s="170"/>
      <c r="Q15" s="170"/>
      <c r="R15" s="38"/>
      <c r="S15" s="2">
        <v>1</v>
      </c>
      <c r="T15" s="25"/>
      <c r="U15" s="38">
        <v>2500</v>
      </c>
      <c r="V15" s="38">
        <f>U15*S15</f>
        <v>2500</v>
      </c>
      <c r="W15" s="26" t="s">
        <v>79</v>
      </c>
    </row>
    <row r="16" spans="2:23" ht="42" customHeight="1" x14ac:dyDescent="0.35">
      <c r="B16" s="172"/>
      <c r="C16" s="172"/>
      <c r="D16" s="172"/>
      <c r="E16" s="172"/>
      <c r="F16" s="172"/>
      <c r="G16" s="172"/>
      <c r="H16" s="185"/>
      <c r="I16" s="185"/>
      <c r="J16" s="172"/>
      <c r="K16" s="172"/>
      <c r="N16" s="15">
        <f t="shared" si="5"/>
        <v>4</v>
      </c>
      <c r="O16" s="169" t="s">
        <v>62</v>
      </c>
      <c r="P16" s="170"/>
      <c r="Q16" s="171"/>
      <c r="R16" s="38"/>
      <c r="S16" s="60">
        <v>1</v>
      </c>
      <c r="T16" s="25"/>
      <c r="U16" s="38">
        <v>1000</v>
      </c>
      <c r="V16" s="38">
        <f t="shared" ref="V16:V17" si="6">U16*S16</f>
        <v>1000</v>
      </c>
      <c r="W16" s="26" t="s">
        <v>80</v>
      </c>
    </row>
    <row r="17" spans="2:23" ht="42" customHeight="1" x14ac:dyDescent="0.35">
      <c r="B17" s="172"/>
      <c r="C17" s="172"/>
      <c r="D17" s="185"/>
      <c r="E17" s="185"/>
      <c r="F17" s="185"/>
      <c r="G17" s="185"/>
      <c r="H17" s="185"/>
      <c r="I17" s="185"/>
      <c r="J17" s="172"/>
      <c r="K17" s="172"/>
      <c r="N17" s="15">
        <f t="shared" si="5"/>
        <v>5</v>
      </c>
      <c r="O17" s="169" t="s">
        <v>64</v>
      </c>
      <c r="P17" s="170"/>
      <c r="Q17" s="171"/>
      <c r="R17" s="38"/>
      <c r="S17" s="2">
        <v>1</v>
      </c>
      <c r="T17" s="25"/>
      <c r="U17" s="38">
        <v>2000</v>
      </c>
      <c r="V17" s="38">
        <f t="shared" si="6"/>
        <v>2000</v>
      </c>
      <c r="W17" s="2" t="s">
        <v>80</v>
      </c>
    </row>
    <row r="18" spans="2:23" ht="42" customHeight="1" x14ac:dyDescent="0.35">
      <c r="B18" s="172"/>
      <c r="C18" s="172"/>
      <c r="D18" s="172"/>
      <c r="E18" s="172"/>
      <c r="F18" s="172"/>
      <c r="G18" s="172"/>
      <c r="H18" s="185"/>
      <c r="I18" s="185"/>
      <c r="J18" s="172"/>
      <c r="K18" s="172"/>
      <c r="N18" s="15">
        <f t="shared" si="5"/>
        <v>6</v>
      </c>
      <c r="O18" s="188" t="s">
        <v>63</v>
      </c>
      <c r="P18" s="188"/>
      <c r="Q18" s="188"/>
      <c r="R18" s="188"/>
      <c r="S18" s="188"/>
      <c r="T18" s="35"/>
      <c r="U18" s="36"/>
      <c r="V18" s="37">
        <f>SUM(V13:V17)</f>
        <v>33851</v>
      </c>
      <c r="W18" s="2"/>
    </row>
    <row r="19" spans="2:23" ht="42" customHeight="1" x14ac:dyDescent="0.4">
      <c r="B19" s="172"/>
      <c r="C19" s="172"/>
      <c r="D19" s="172"/>
      <c r="E19" s="172"/>
      <c r="F19" s="172"/>
      <c r="G19" s="172"/>
      <c r="H19" s="190"/>
      <c r="I19" s="190"/>
      <c r="J19" s="172"/>
      <c r="K19" s="172"/>
      <c r="V19" s="139">
        <f>V11+V18</f>
        <v>2946275.2863000003</v>
      </c>
    </row>
    <row r="20" spans="2:23" ht="42" customHeight="1" x14ac:dyDescent="0.35">
      <c r="B20" s="172"/>
      <c r="C20" s="172"/>
      <c r="D20" s="172"/>
      <c r="E20" s="172"/>
      <c r="F20" s="172"/>
      <c r="G20" s="172"/>
      <c r="H20" s="185"/>
      <c r="I20" s="185"/>
      <c r="J20" s="172"/>
      <c r="K20" s="172"/>
    </row>
  </sheetData>
  <mergeCells count="62">
    <mergeCell ref="O17:Q17"/>
    <mergeCell ref="O18:S18"/>
    <mergeCell ref="O12:Q12"/>
    <mergeCell ref="O13:Q13"/>
    <mergeCell ref="O14:Q14"/>
    <mergeCell ref="O15:Q15"/>
    <mergeCell ref="O16:Q16"/>
    <mergeCell ref="O7:Q7"/>
    <mergeCell ref="O8:Q8"/>
    <mergeCell ref="O9:Q9"/>
    <mergeCell ref="O10:Q10"/>
    <mergeCell ref="O11:S11"/>
    <mergeCell ref="N1:W1"/>
    <mergeCell ref="O2:Q2"/>
    <mergeCell ref="O3:Q3"/>
    <mergeCell ref="O4:Q4"/>
    <mergeCell ref="O5:Q5"/>
    <mergeCell ref="O6:Q6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2:C12"/>
    <mergeCell ref="D12:E12"/>
    <mergeCell ref="F12:G12"/>
    <mergeCell ref="H12:I12"/>
    <mergeCell ref="J12:K12"/>
    <mergeCell ref="I9:I10"/>
    <mergeCell ref="B3:D10"/>
    <mergeCell ref="B1:L1"/>
    <mergeCell ref="I2:L2"/>
    <mergeCell ref="B2:F2"/>
    <mergeCell ref="J18:K18"/>
    <mergeCell ref="J19:K19"/>
    <mergeCell ref="J20:K20"/>
    <mergeCell ref="J13:K13"/>
    <mergeCell ref="J14:K14"/>
    <mergeCell ref="J15:K15"/>
    <mergeCell ref="J16:K16"/>
    <mergeCell ref="J17:K17"/>
  </mergeCells>
  <pageMargins left="0.7" right="0.7" top="0.75" bottom="0.75" header="0.3" footer="0.3"/>
  <pageSetup scale="5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21"/>
  <sheetViews>
    <sheetView topLeftCell="D1" zoomScale="54" zoomScaleNormal="54" workbookViewId="0">
      <selection activeCell="E7" sqref="E7"/>
    </sheetView>
  </sheetViews>
  <sheetFormatPr defaultColWidth="18.109375" defaultRowHeight="34.950000000000003" customHeight="1" x14ac:dyDescent="0.35"/>
  <cols>
    <col min="1" max="12" width="18.109375" style="1"/>
    <col min="13" max="13" width="1.44140625" style="1" customWidth="1"/>
    <col min="14" max="22" width="18.109375" style="1"/>
    <col min="23" max="23" width="36.5546875" style="1" customWidth="1"/>
    <col min="24" max="16384" width="18.109375" style="1"/>
  </cols>
  <sheetData>
    <row r="1" spans="2:23" ht="34.950000000000003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53.4" customHeight="1" x14ac:dyDescent="0.35">
      <c r="B2" s="205" t="s">
        <v>8</v>
      </c>
      <c r="C2" s="206"/>
      <c r="D2" s="206"/>
      <c r="E2" s="206"/>
      <c r="F2" s="206"/>
      <c r="G2" s="8"/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4.950000000000003" customHeight="1" x14ac:dyDescent="0.35">
      <c r="B3" s="207"/>
      <c r="C3" s="208"/>
      <c r="D3" s="208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97</v>
      </c>
      <c r="P3" s="170"/>
      <c r="Q3" s="170"/>
      <c r="R3" s="34">
        <f>K4*L4+K5*L5</f>
        <v>6800</v>
      </c>
      <c r="S3" s="29">
        <v>0.85299999999999998</v>
      </c>
      <c r="T3" s="32">
        <f>S3*R3</f>
        <v>5800.4</v>
      </c>
      <c r="U3" s="34">
        <v>178000</v>
      </c>
      <c r="V3" s="31">
        <f>U3*T3/1000</f>
        <v>1032471.1999999998</v>
      </c>
      <c r="W3" s="213"/>
    </row>
    <row r="4" spans="2:23" ht="34.950000000000003" customHeight="1" x14ac:dyDescent="0.35">
      <c r="B4" s="209"/>
      <c r="C4" s="210"/>
      <c r="D4" s="210"/>
      <c r="E4" s="3">
        <v>2400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CONCATENATE($G$2,"-",$D$10,"-","3318","-","1")</f>
        <v>--3318-1</v>
      </c>
      <c r="K4" s="3">
        <f>E4</f>
        <v>2400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K6*L6+K7*L7</f>
        <v>10296</v>
      </c>
      <c r="S4" s="29">
        <v>1.042</v>
      </c>
      <c r="T4" s="32">
        <f t="shared" ref="T4:T6" si="0">S4*R4</f>
        <v>10728.432000000001</v>
      </c>
      <c r="U4" s="34">
        <v>178000</v>
      </c>
      <c r="V4" s="31">
        <f t="shared" ref="V4:V6" si="1">U4*T4/1000</f>
        <v>1909660.8960000002</v>
      </c>
      <c r="W4" s="214"/>
    </row>
    <row r="5" spans="2:23" ht="34.950000000000003" customHeight="1" x14ac:dyDescent="0.35">
      <c r="B5" s="209"/>
      <c r="C5" s="210"/>
      <c r="D5" s="210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11</v>
      </c>
      <c r="J5" s="6" t="str">
        <f>CONCATENATE($G$2,"-",$D$10,"-","3318","-","2")</f>
        <v>--3318-2</v>
      </c>
      <c r="K5" s="3">
        <f>F4</f>
        <v>1000</v>
      </c>
      <c r="L5" s="3">
        <f>G4*2</f>
        <v>2</v>
      </c>
      <c r="N5" s="15">
        <f t="shared" ref="N5:N11" si="2">N4+1</f>
        <v>3</v>
      </c>
      <c r="O5" s="169" t="s">
        <v>49</v>
      </c>
      <c r="P5" s="170"/>
      <c r="Q5" s="170"/>
      <c r="R5" s="34">
        <f>R4</f>
        <v>10296</v>
      </c>
      <c r="S5" s="29">
        <v>0.27600000000000002</v>
      </c>
      <c r="T5" s="32">
        <f t="shared" si="0"/>
        <v>2841.6960000000004</v>
      </c>
      <c r="U5" s="34">
        <v>178000</v>
      </c>
      <c r="V5" s="31">
        <f t="shared" si="1"/>
        <v>505821.88800000004</v>
      </c>
      <c r="W5" s="214"/>
    </row>
    <row r="6" spans="2:23" ht="34.950000000000003" customHeight="1" x14ac:dyDescent="0.35">
      <c r="B6" s="209"/>
      <c r="C6" s="210"/>
      <c r="D6" s="210"/>
      <c r="E6" s="146">
        <f>G6+T7</f>
        <v>22465.934400000002</v>
      </c>
      <c r="F6" s="17">
        <f>F4*E4/1000</f>
        <v>2400</v>
      </c>
      <c r="G6" s="93">
        <f>SUM(T3:T6)</f>
        <v>21396.128000000001</v>
      </c>
      <c r="H6" s="6" t="s">
        <v>21</v>
      </c>
      <c r="I6" s="3" t="s">
        <v>17</v>
      </c>
      <c r="J6" s="6" t="str">
        <f>CONCATENATE($G$2,"-",$D$10,"-","3202","-","1")</f>
        <v>--3202-1</v>
      </c>
      <c r="K6" s="3">
        <f>IF(ROUNDDOWN((E4-40-30-30)/3,0)&lt;0,"0",ROUNDDOWN((E4-40-30-30)/3,0))</f>
        <v>766</v>
      </c>
      <c r="L6" s="3">
        <f>G4*6</f>
        <v>6</v>
      </c>
      <c r="N6" s="15">
        <f t="shared" si="2"/>
        <v>4</v>
      </c>
      <c r="O6" s="169" t="s">
        <v>81</v>
      </c>
      <c r="P6" s="170"/>
      <c r="Q6" s="170"/>
      <c r="R6" s="34">
        <f>K8*L8</f>
        <v>1920</v>
      </c>
      <c r="S6" s="29">
        <v>1.0549999999999999</v>
      </c>
      <c r="T6" s="32">
        <f t="shared" si="0"/>
        <v>2025.6</v>
      </c>
      <c r="U6" s="34">
        <v>178000</v>
      </c>
      <c r="V6" s="31">
        <f t="shared" si="1"/>
        <v>360556.79999999999</v>
      </c>
      <c r="W6" s="215"/>
    </row>
    <row r="7" spans="2:23" ht="34.950000000000003" customHeight="1" x14ac:dyDescent="0.35">
      <c r="B7" s="209"/>
      <c r="C7" s="210"/>
      <c r="D7" s="210"/>
      <c r="E7" s="2"/>
      <c r="F7" s="2"/>
      <c r="G7" s="2"/>
      <c r="H7" s="6" t="s">
        <v>22</v>
      </c>
      <c r="I7" s="3" t="s">
        <v>18</v>
      </c>
      <c r="J7" s="6" t="str">
        <f>CONCATENATE($G$2,"-",$D$10,"-","3202","-","2")</f>
        <v>--3202-2</v>
      </c>
      <c r="K7" s="3">
        <f>IF(F4-40-10&lt;0,"0",F4-40-10)</f>
        <v>950</v>
      </c>
      <c r="L7" s="3">
        <f>G4*6</f>
        <v>6</v>
      </c>
      <c r="N7" s="15">
        <f t="shared" si="2"/>
        <v>5</v>
      </c>
      <c r="O7" s="169" t="s">
        <v>72</v>
      </c>
      <c r="P7" s="170"/>
      <c r="Q7" s="171"/>
      <c r="R7" s="34"/>
      <c r="S7" s="29"/>
      <c r="T7" s="145">
        <f>SUM(T3:T6)*U7</f>
        <v>1069.8064000000002</v>
      </c>
      <c r="U7" s="55">
        <v>0.05</v>
      </c>
      <c r="V7" s="34">
        <f>SUM(V3:V6)*U7</f>
        <v>190425.5392</v>
      </c>
      <c r="W7" s="42"/>
    </row>
    <row r="8" spans="2:23" ht="34.950000000000003" customHeight="1" x14ac:dyDescent="0.35">
      <c r="B8" s="209"/>
      <c r="C8" s="210"/>
      <c r="D8" s="210"/>
      <c r="E8" s="2"/>
      <c r="F8" s="2"/>
      <c r="G8" s="2"/>
      <c r="H8" s="6" t="s">
        <v>24</v>
      </c>
      <c r="I8" s="3" t="s">
        <v>27</v>
      </c>
      <c r="J8" s="6" t="str">
        <f>CONCATENATE($G$2,"-",$D$10,"-","3313","-","1")</f>
        <v>--3313-1</v>
      </c>
      <c r="K8" s="3">
        <f>IF(F4-40&lt;0,"0",F4-40)</f>
        <v>960</v>
      </c>
      <c r="L8" s="3">
        <f>G4*2</f>
        <v>2</v>
      </c>
      <c r="N8" s="15">
        <f t="shared" si="2"/>
        <v>6</v>
      </c>
      <c r="O8" s="169" t="s">
        <v>84</v>
      </c>
      <c r="P8" s="170"/>
      <c r="Q8" s="170"/>
      <c r="R8" s="29"/>
      <c r="S8" s="29"/>
      <c r="T8" s="33">
        <v>4</v>
      </c>
      <c r="U8" s="34">
        <v>4400</v>
      </c>
      <c r="V8" s="31">
        <f t="shared" ref="V8:V10" si="3">U8*T8</f>
        <v>17600</v>
      </c>
      <c r="W8" s="15"/>
    </row>
    <row r="9" spans="2:23" ht="34.950000000000003" customHeight="1" x14ac:dyDescent="0.35">
      <c r="B9" s="209"/>
      <c r="C9" s="210"/>
      <c r="D9" s="210"/>
      <c r="E9" s="3"/>
      <c r="F9" s="3"/>
      <c r="G9" s="3"/>
      <c r="H9" s="3"/>
      <c r="I9" s="203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69" t="s">
        <v>85</v>
      </c>
      <c r="P9" s="170"/>
      <c r="Q9" s="170"/>
      <c r="R9" s="29"/>
      <c r="S9" s="29"/>
      <c r="T9" s="33">
        <v>12</v>
      </c>
      <c r="U9" s="34">
        <v>5100</v>
      </c>
      <c r="V9" s="31">
        <f t="shared" si="3"/>
        <v>61200</v>
      </c>
      <c r="W9" s="26" t="s">
        <v>67</v>
      </c>
    </row>
    <row r="10" spans="2:23" ht="34.950000000000003" customHeight="1" x14ac:dyDescent="0.35">
      <c r="B10" s="211"/>
      <c r="C10" s="212"/>
      <c r="D10" s="212"/>
      <c r="E10" s="3"/>
      <c r="F10" s="3"/>
      <c r="G10" s="3"/>
      <c r="H10" s="3"/>
      <c r="I10" s="204"/>
      <c r="J10" s="17">
        <f>IF(K6-125&gt;0,K6-125,"0")</f>
        <v>641</v>
      </c>
      <c r="K10" s="17">
        <f>IF(K7-125&gt;0,K7-125,"0")</f>
        <v>825</v>
      </c>
      <c r="L10" s="17">
        <f>G4*3</f>
        <v>3</v>
      </c>
      <c r="N10" s="15">
        <f>N9+1</f>
        <v>8</v>
      </c>
      <c r="O10" s="169" t="s">
        <v>55</v>
      </c>
      <c r="P10" s="170"/>
      <c r="Q10" s="170"/>
      <c r="R10" s="29"/>
      <c r="S10" s="29"/>
      <c r="T10" s="33">
        <f>T9*2+T8</f>
        <v>28</v>
      </c>
      <c r="U10" s="34">
        <v>100</v>
      </c>
      <c r="V10" s="31">
        <f t="shared" si="3"/>
        <v>2800</v>
      </c>
      <c r="W10" s="26" t="s">
        <v>68</v>
      </c>
    </row>
    <row r="11" spans="2:23" ht="34.950000000000003" customHeight="1" x14ac:dyDescent="0.35">
      <c r="N11" s="15">
        <f t="shared" si="2"/>
        <v>9</v>
      </c>
      <c r="O11" s="182" t="s">
        <v>59</v>
      </c>
      <c r="P11" s="183"/>
      <c r="Q11" s="183"/>
      <c r="R11" s="183"/>
      <c r="S11" s="184"/>
      <c r="T11" s="35"/>
      <c r="U11" s="36"/>
      <c r="V11" s="37">
        <f>SUM(V3:V10)</f>
        <v>4080536.3232</v>
      </c>
      <c r="W11" s="15"/>
    </row>
    <row r="12" spans="2:23" ht="34.950000000000003" customHeight="1" x14ac:dyDescent="0.35">
      <c r="N12" s="24" t="s">
        <v>14</v>
      </c>
      <c r="O12" s="174" t="s">
        <v>45</v>
      </c>
      <c r="P12" s="174"/>
      <c r="Q12" s="174"/>
      <c r="R12" s="24" t="s">
        <v>46</v>
      </c>
      <c r="S12" s="30" t="s">
        <v>52</v>
      </c>
      <c r="T12" s="30"/>
      <c r="U12" s="24" t="s">
        <v>38</v>
      </c>
      <c r="V12" s="24" t="s">
        <v>39</v>
      </c>
      <c r="W12" s="2"/>
    </row>
    <row r="13" spans="2:23" ht="34.950000000000003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15">
        <v>1</v>
      </c>
      <c r="O13" s="169" t="s">
        <v>60</v>
      </c>
      <c r="P13" s="170"/>
      <c r="Q13" s="170"/>
      <c r="R13" s="38">
        <f>R3+R6+R4</f>
        <v>19016</v>
      </c>
      <c r="S13" s="2">
        <v>1</v>
      </c>
      <c r="T13" s="25"/>
      <c r="U13" s="38">
        <v>1000</v>
      </c>
      <c r="V13" s="38">
        <f>U13*R13/1000</f>
        <v>19016</v>
      </c>
      <c r="W13" s="2"/>
    </row>
    <row r="14" spans="2:23" ht="34.950000000000003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>N13+1</f>
        <v>2</v>
      </c>
      <c r="O14" s="169" t="s">
        <v>41</v>
      </c>
      <c r="P14" s="170"/>
      <c r="Q14" s="170"/>
      <c r="R14" s="38">
        <f>R4*2</f>
        <v>20592</v>
      </c>
      <c r="S14" s="2">
        <v>1</v>
      </c>
      <c r="T14" s="25"/>
      <c r="U14" s="38">
        <v>1000</v>
      </c>
      <c r="V14" s="38">
        <f>U14*R14/1000</f>
        <v>20592</v>
      </c>
      <c r="W14" s="2"/>
    </row>
    <row r="15" spans="2:23" ht="34.950000000000003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v>3</v>
      </c>
      <c r="O15" s="169" t="s">
        <v>62</v>
      </c>
      <c r="P15" s="170"/>
      <c r="Q15" s="171"/>
      <c r="R15" s="38"/>
      <c r="S15" s="60">
        <v>1</v>
      </c>
      <c r="T15" s="25"/>
      <c r="U15" s="38">
        <v>1000</v>
      </c>
      <c r="V15" s="38">
        <f t="shared" ref="V15:V16" si="4">U15*S15</f>
        <v>1000</v>
      </c>
      <c r="W15" s="26" t="s">
        <v>80</v>
      </c>
    </row>
    <row r="16" spans="2:23" ht="34.950000000000003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ref="N16:N17" si="5">N15+1</f>
        <v>4</v>
      </c>
      <c r="O16" s="169" t="s">
        <v>64</v>
      </c>
      <c r="P16" s="170"/>
      <c r="Q16" s="171"/>
      <c r="R16" s="38"/>
      <c r="S16" s="2">
        <v>1</v>
      </c>
      <c r="T16" s="25"/>
      <c r="U16" s="38">
        <v>2000</v>
      </c>
      <c r="V16" s="38">
        <f t="shared" si="4"/>
        <v>2000</v>
      </c>
      <c r="W16" s="26" t="s">
        <v>80</v>
      </c>
    </row>
    <row r="17" spans="2:23" ht="34.950000000000003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N17" s="15">
        <f t="shared" si="5"/>
        <v>5</v>
      </c>
      <c r="O17" s="188" t="s">
        <v>63</v>
      </c>
      <c r="P17" s="188"/>
      <c r="Q17" s="188"/>
      <c r="R17" s="188"/>
      <c r="S17" s="188"/>
      <c r="T17" s="35"/>
      <c r="U17" s="36"/>
      <c r="V17" s="37">
        <f>SUM(V13:V16)</f>
        <v>42608</v>
      </c>
      <c r="W17" s="2"/>
    </row>
    <row r="18" spans="2:23" ht="34.950000000000003" customHeight="1" x14ac:dyDescent="0.4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V18" s="139">
        <f>V11+V17</f>
        <v>4123144.3232</v>
      </c>
    </row>
    <row r="19" spans="2:23" ht="34.950000000000003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W19" s="1" t="s">
        <v>82</v>
      </c>
    </row>
    <row r="20" spans="2:23" ht="34.950000000000003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</row>
    <row r="21" spans="2:23" ht="34.950000000000003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</row>
  </sheetData>
  <mergeCells count="62">
    <mergeCell ref="O16:Q16"/>
    <mergeCell ref="O17:S17"/>
    <mergeCell ref="O12:Q12"/>
    <mergeCell ref="O13:Q13"/>
    <mergeCell ref="O14:Q14"/>
    <mergeCell ref="O15:Q15"/>
    <mergeCell ref="O7:Q7"/>
    <mergeCell ref="O8:Q8"/>
    <mergeCell ref="O9:Q9"/>
    <mergeCell ref="O10:Q10"/>
    <mergeCell ref="O11:S11"/>
    <mergeCell ref="N1:W1"/>
    <mergeCell ref="O2:Q2"/>
    <mergeCell ref="O3:Q3"/>
    <mergeCell ref="W3:W6"/>
    <mergeCell ref="O4:Q4"/>
    <mergeCell ref="O5:Q5"/>
    <mergeCell ref="O6:Q6"/>
    <mergeCell ref="B19:G19"/>
    <mergeCell ref="H19:I19"/>
    <mergeCell ref="B20:G20"/>
    <mergeCell ref="H20:I20"/>
    <mergeCell ref="B21:C21"/>
    <mergeCell ref="D21:E21"/>
    <mergeCell ref="F21:G21"/>
    <mergeCell ref="H21:I21"/>
    <mergeCell ref="B17:G17"/>
    <mergeCell ref="H17:I17"/>
    <mergeCell ref="B18:C18"/>
    <mergeCell ref="D18:E18"/>
    <mergeCell ref="F18:G18"/>
    <mergeCell ref="H18:I18"/>
    <mergeCell ref="B15:C15"/>
    <mergeCell ref="D15:E15"/>
    <mergeCell ref="F15:G15"/>
    <mergeCell ref="H15:I15"/>
    <mergeCell ref="B16:C16"/>
    <mergeCell ref="D16:E16"/>
    <mergeCell ref="F16:G16"/>
    <mergeCell ref="H16:I16"/>
    <mergeCell ref="B3:D10"/>
    <mergeCell ref="I9:I10"/>
    <mergeCell ref="B14:C14"/>
    <mergeCell ref="D14:E14"/>
    <mergeCell ref="F14:G14"/>
    <mergeCell ref="H14:I14"/>
    <mergeCell ref="J19:K19"/>
    <mergeCell ref="J20:K20"/>
    <mergeCell ref="J21:K21"/>
    <mergeCell ref="B1:L1"/>
    <mergeCell ref="I2:L2"/>
    <mergeCell ref="J14:K14"/>
    <mergeCell ref="J15:K15"/>
    <mergeCell ref="J16:K16"/>
    <mergeCell ref="J17:K17"/>
    <mergeCell ref="J18:K18"/>
    <mergeCell ref="B2:F2"/>
    <mergeCell ref="B13:C13"/>
    <mergeCell ref="D13:E13"/>
    <mergeCell ref="F13:G13"/>
    <mergeCell ref="H13:I13"/>
    <mergeCell ref="J13:K1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21"/>
  <sheetViews>
    <sheetView topLeftCell="C1" zoomScale="45" zoomScaleNormal="45" workbookViewId="0">
      <selection activeCell="H15" sqref="H15:I15"/>
    </sheetView>
  </sheetViews>
  <sheetFormatPr defaultColWidth="17.6640625" defaultRowHeight="44.4" customHeight="1" x14ac:dyDescent="0.35"/>
  <cols>
    <col min="1" max="12" width="17.6640625" style="1"/>
    <col min="13" max="13" width="5.88671875" style="1" customWidth="1"/>
    <col min="14" max="22" width="17.6640625" style="1"/>
    <col min="23" max="23" width="35" style="1" customWidth="1"/>
    <col min="24" max="16384" width="17.6640625" style="1"/>
  </cols>
  <sheetData>
    <row r="1" spans="2:23" ht="44.4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44.4" customHeight="1" x14ac:dyDescent="0.35">
      <c r="B2" s="205"/>
      <c r="C2" s="206"/>
      <c r="D2" s="206"/>
      <c r="E2" s="206"/>
      <c r="F2" s="206"/>
      <c r="G2" s="8"/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44.4" customHeight="1" x14ac:dyDescent="0.35">
      <c r="B3" s="207"/>
      <c r="C3" s="208"/>
      <c r="D3" s="216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97</v>
      </c>
      <c r="P3" s="170"/>
      <c r="Q3" s="170"/>
      <c r="R3" s="34">
        <f>K4*L4+K5*L5</f>
        <v>9200</v>
      </c>
      <c r="S3" s="29">
        <v>0.85299999999999998</v>
      </c>
      <c r="T3" s="32">
        <f>S3*R3</f>
        <v>7847.5999999999995</v>
      </c>
      <c r="U3" s="34">
        <v>178000</v>
      </c>
      <c r="V3" s="31">
        <f>U3*T3/1000</f>
        <v>1396872.8</v>
      </c>
      <c r="W3" s="213"/>
    </row>
    <row r="4" spans="2:23" ht="44.4" customHeight="1" x14ac:dyDescent="0.35">
      <c r="B4" s="209"/>
      <c r="C4" s="210"/>
      <c r="D4" s="217"/>
      <c r="E4" s="3">
        <v>3600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CONCATENATE($G$2,"-",$D$11,"-","3318","-","1")</f>
        <v>--3318-1</v>
      </c>
      <c r="K4" s="3">
        <f>E4</f>
        <v>3600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K7*L7+K8*L8</f>
        <v>14584</v>
      </c>
      <c r="S4" s="29">
        <v>1.052</v>
      </c>
      <c r="T4" s="32">
        <f t="shared" ref="T4:T6" si="0">S4*R4</f>
        <v>15342.368</v>
      </c>
      <c r="U4" s="34">
        <v>178000</v>
      </c>
      <c r="V4" s="31">
        <f t="shared" ref="V4:V7" si="1">U4*T4/1000</f>
        <v>2730941.5040000002</v>
      </c>
      <c r="W4" s="214"/>
    </row>
    <row r="5" spans="2:23" ht="44.4" customHeight="1" x14ac:dyDescent="0.35">
      <c r="B5" s="209"/>
      <c r="C5" s="210"/>
      <c r="D5" s="217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11</v>
      </c>
      <c r="J5" s="6" t="str">
        <f>CONCATENATE($G$2,"-",$D$11,"-","3318","-","2")</f>
        <v>--3318-2</v>
      </c>
      <c r="K5" s="3">
        <f>F4</f>
        <v>1000</v>
      </c>
      <c r="L5" s="3">
        <f>G4*2</f>
        <v>2</v>
      </c>
      <c r="N5" s="15">
        <f t="shared" ref="N5:N12" si="2">N4+1</f>
        <v>3</v>
      </c>
      <c r="O5" s="169" t="s">
        <v>49</v>
      </c>
      <c r="P5" s="170"/>
      <c r="Q5" s="170"/>
      <c r="R5" s="34">
        <f>R4</f>
        <v>14584</v>
      </c>
      <c r="S5" s="29">
        <v>0.27600000000000002</v>
      </c>
      <c r="T5" s="32">
        <f t="shared" si="0"/>
        <v>4025.1840000000002</v>
      </c>
      <c r="U5" s="34">
        <v>178000</v>
      </c>
      <c r="V5" s="31">
        <f t="shared" si="1"/>
        <v>716482.75199999998</v>
      </c>
      <c r="W5" s="214"/>
    </row>
    <row r="6" spans="2:23" ht="44.4" customHeight="1" x14ac:dyDescent="0.35">
      <c r="B6" s="209"/>
      <c r="C6" s="210"/>
      <c r="D6" s="217"/>
      <c r="E6" s="146">
        <f>G6+T8</f>
        <v>31621.817849999999</v>
      </c>
      <c r="F6" s="17">
        <f>F4*E4/1000</f>
        <v>3600</v>
      </c>
      <c r="G6" s="93">
        <f>SUM(T3:T7)</f>
        <v>30116.017</v>
      </c>
      <c r="H6" s="6" t="s">
        <v>21</v>
      </c>
      <c r="I6" s="3" t="s">
        <v>27</v>
      </c>
      <c r="J6" s="6" t="str">
        <f>CONCATENATE($G$2,"-",$D$11,"-","3313","-","1")</f>
        <v>--3313-1</v>
      </c>
      <c r="K6" s="3">
        <f>F4-40</f>
        <v>960</v>
      </c>
      <c r="L6" s="3">
        <f>G4*2</f>
        <v>2</v>
      </c>
      <c r="N6" s="15">
        <f t="shared" si="2"/>
        <v>4</v>
      </c>
      <c r="O6" s="169" t="s">
        <v>83</v>
      </c>
      <c r="P6" s="170"/>
      <c r="Q6" s="170"/>
      <c r="R6" s="34">
        <f>K9*L9</f>
        <v>885</v>
      </c>
      <c r="S6" s="29">
        <v>0.98899999999999999</v>
      </c>
      <c r="T6" s="32">
        <f t="shared" si="0"/>
        <v>875.26499999999999</v>
      </c>
      <c r="U6" s="34">
        <v>178000</v>
      </c>
      <c r="V6" s="31">
        <f t="shared" si="1"/>
        <v>155797.17000000001</v>
      </c>
      <c r="W6" s="215"/>
    </row>
    <row r="7" spans="2:23" ht="44.4" customHeight="1" x14ac:dyDescent="0.35">
      <c r="B7" s="209"/>
      <c r="C7" s="210"/>
      <c r="D7" s="217"/>
      <c r="E7" s="2"/>
      <c r="F7" s="2"/>
      <c r="G7" s="2"/>
      <c r="H7" s="6" t="s">
        <v>22</v>
      </c>
      <c r="I7" s="3" t="s">
        <v>17</v>
      </c>
      <c r="J7" s="6" t="str">
        <f>CONCATENATE($G$2,"-",$D$11,"-","3202","-","1")</f>
        <v>--3202-1</v>
      </c>
      <c r="K7" s="3">
        <f>ROUNDDOWN(IF((E4-105)/4&lt;0,"0",(E4-105)/4),0)</f>
        <v>873</v>
      </c>
      <c r="L7" s="3">
        <f>G4*8</f>
        <v>8</v>
      </c>
      <c r="N7" s="15">
        <f t="shared" si="2"/>
        <v>5</v>
      </c>
      <c r="O7" s="169" t="s">
        <v>81</v>
      </c>
      <c r="P7" s="170"/>
      <c r="Q7" s="170"/>
      <c r="R7" s="34">
        <f>K6*L6</f>
        <v>1920</v>
      </c>
      <c r="S7" s="29">
        <v>1.0549999999999999</v>
      </c>
      <c r="T7" s="32">
        <f t="shared" ref="T7" si="3">S7*R7</f>
        <v>2025.6</v>
      </c>
      <c r="U7" s="34">
        <v>178000</v>
      </c>
      <c r="V7" s="31">
        <f t="shared" si="1"/>
        <v>360556.79999999999</v>
      </c>
      <c r="W7" s="42"/>
    </row>
    <row r="8" spans="2:23" ht="44.4" customHeight="1" x14ac:dyDescent="0.35">
      <c r="B8" s="209"/>
      <c r="C8" s="210"/>
      <c r="D8" s="217"/>
      <c r="E8" s="2"/>
      <c r="F8" s="2"/>
      <c r="G8" s="2"/>
      <c r="H8" s="6" t="s">
        <v>24</v>
      </c>
      <c r="I8" s="3" t="s">
        <v>18</v>
      </c>
      <c r="J8" s="6" t="str">
        <f>CONCATENATE($G$2,"-",$D$11,"-","3202","-","2")</f>
        <v>--3202-2</v>
      </c>
      <c r="K8" s="3">
        <f>IF(F4-40-10&lt;0,"0",F4-40-10)</f>
        <v>950</v>
      </c>
      <c r="L8" s="3">
        <f>G4*8</f>
        <v>8</v>
      </c>
      <c r="N8" s="15">
        <f t="shared" si="2"/>
        <v>6</v>
      </c>
      <c r="O8" s="169" t="s">
        <v>72</v>
      </c>
      <c r="P8" s="170"/>
      <c r="Q8" s="171"/>
      <c r="R8" s="34"/>
      <c r="S8" s="29"/>
      <c r="T8" s="145">
        <f>SUM(T3:T7)*U8</f>
        <v>1505.8008500000001</v>
      </c>
      <c r="U8" s="55">
        <v>0.05</v>
      </c>
      <c r="V8" s="34">
        <f>SUM(V3:V7)*U8</f>
        <v>268032.55130000005</v>
      </c>
      <c r="W8" s="42"/>
    </row>
    <row r="9" spans="2:23" ht="44.4" customHeight="1" x14ac:dyDescent="0.35">
      <c r="B9" s="209"/>
      <c r="C9" s="210"/>
      <c r="D9" s="217"/>
      <c r="E9" s="2"/>
      <c r="F9" s="2"/>
      <c r="G9" s="2"/>
      <c r="H9" s="6" t="s">
        <v>25</v>
      </c>
      <c r="I9" s="3" t="s">
        <v>16</v>
      </c>
      <c r="J9" s="6" t="str">
        <f>CONCATENATE($G$2,"-",$D$11,"-","3323A","-","1")</f>
        <v>--3323A-1</v>
      </c>
      <c r="K9" s="6">
        <f>ROUNDDOWN(K8-28.2*2-8,0)</f>
        <v>885</v>
      </c>
      <c r="L9" s="3">
        <f>G4*1</f>
        <v>1</v>
      </c>
      <c r="N9" s="15">
        <f t="shared" si="2"/>
        <v>7</v>
      </c>
      <c r="O9" s="169" t="s">
        <v>77</v>
      </c>
      <c r="P9" s="170"/>
      <c r="Q9" s="170"/>
      <c r="R9" s="29"/>
      <c r="S9" s="29"/>
      <c r="T9" s="33">
        <v>4</v>
      </c>
      <c r="U9" s="34">
        <v>4400</v>
      </c>
      <c r="V9" s="31">
        <f t="shared" ref="V9:V11" si="4">U9*T9</f>
        <v>17600</v>
      </c>
      <c r="W9" s="15"/>
    </row>
    <row r="10" spans="2:23" ht="44.4" customHeight="1" x14ac:dyDescent="0.35">
      <c r="B10" s="209"/>
      <c r="C10" s="210"/>
      <c r="D10" s="217"/>
      <c r="E10" s="3"/>
      <c r="F10" s="3"/>
      <c r="G10" s="3"/>
      <c r="H10" s="3"/>
      <c r="I10" s="203" t="s">
        <v>73</v>
      </c>
      <c r="J10" s="3" t="s">
        <v>6</v>
      </c>
      <c r="K10" s="3" t="s">
        <v>7</v>
      </c>
      <c r="L10" s="5" t="s">
        <v>2</v>
      </c>
      <c r="N10" s="15">
        <f t="shared" si="2"/>
        <v>8</v>
      </c>
      <c r="O10" s="169" t="s">
        <v>76</v>
      </c>
      <c r="P10" s="170"/>
      <c r="Q10" s="170"/>
      <c r="R10" s="29"/>
      <c r="S10" s="29"/>
      <c r="T10" s="33">
        <f>4*4</f>
        <v>16</v>
      </c>
      <c r="U10" s="34">
        <v>5100</v>
      </c>
      <c r="V10" s="31">
        <f t="shared" si="4"/>
        <v>81600</v>
      </c>
      <c r="W10" s="26" t="s">
        <v>67</v>
      </c>
    </row>
    <row r="11" spans="2:23" ht="44.4" customHeight="1" x14ac:dyDescent="0.35">
      <c r="B11" s="211"/>
      <c r="C11" s="212"/>
      <c r="D11" s="218"/>
      <c r="E11" s="3"/>
      <c r="F11" s="3"/>
      <c r="G11" s="3"/>
      <c r="H11" s="3"/>
      <c r="I11" s="204"/>
      <c r="J11" s="3">
        <f>IF(K7-120&gt;0,K7-120,"0")</f>
        <v>753</v>
      </c>
      <c r="K11" s="3">
        <f>IF(K8-120&gt;0,K8-120,"0")</f>
        <v>830</v>
      </c>
      <c r="L11" s="3">
        <f>G4*4</f>
        <v>4</v>
      </c>
      <c r="N11" s="15">
        <f t="shared" si="2"/>
        <v>9</v>
      </c>
      <c r="O11" s="169" t="s">
        <v>55</v>
      </c>
      <c r="P11" s="170"/>
      <c r="Q11" s="170"/>
      <c r="R11" s="29"/>
      <c r="S11" s="29"/>
      <c r="T11" s="33">
        <f>T10*2+T9</f>
        <v>36</v>
      </c>
      <c r="U11" s="34">
        <v>100</v>
      </c>
      <c r="V11" s="31">
        <f t="shared" si="4"/>
        <v>3600</v>
      </c>
      <c r="W11" s="26" t="s">
        <v>68</v>
      </c>
    </row>
    <row r="12" spans="2:23" ht="44.4" customHeight="1" x14ac:dyDescent="0.35">
      <c r="N12" s="15">
        <f t="shared" si="2"/>
        <v>10</v>
      </c>
      <c r="O12" s="182" t="s">
        <v>59</v>
      </c>
      <c r="P12" s="183"/>
      <c r="Q12" s="183"/>
      <c r="R12" s="183"/>
      <c r="S12" s="184"/>
      <c r="T12" s="35"/>
      <c r="U12" s="36"/>
      <c r="V12" s="37">
        <f>SUM(V3:V11)</f>
        <v>5731483.5773000009</v>
      </c>
      <c r="W12" s="15"/>
    </row>
    <row r="13" spans="2:23" ht="44.4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24" t="s">
        <v>14</v>
      </c>
      <c r="O13" s="174" t="s">
        <v>45</v>
      </c>
      <c r="P13" s="174"/>
      <c r="Q13" s="174"/>
      <c r="R13" s="24" t="s">
        <v>46</v>
      </c>
      <c r="S13" s="30" t="s">
        <v>52</v>
      </c>
      <c r="T13" s="30"/>
      <c r="U13" s="24" t="s">
        <v>38</v>
      </c>
      <c r="V13" s="24" t="s">
        <v>39</v>
      </c>
      <c r="W13" s="2"/>
    </row>
    <row r="14" spans="2:23" ht="44.4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v>1</v>
      </c>
      <c r="O14" s="169" t="s">
        <v>60</v>
      </c>
      <c r="P14" s="170"/>
      <c r="Q14" s="170"/>
      <c r="R14" s="38">
        <f>R3+R4+R6+R7*2</f>
        <v>28509</v>
      </c>
      <c r="S14" s="2">
        <v>1</v>
      </c>
      <c r="T14" s="25"/>
      <c r="U14" s="38">
        <v>1000</v>
      </c>
      <c r="V14" s="38">
        <f>U14*R14*S14/1000</f>
        <v>28509</v>
      </c>
      <c r="W14" s="2"/>
    </row>
    <row r="15" spans="2:23" ht="44.4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>N14+1</f>
        <v>2</v>
      </c>
      <c r="O15" s="169" t="s">
        <v>41</v>
      </c>
      <c r="P15" s="170"/>
      <c r="Q15" s="170"/>
      <c r="R15" s="38">
        <f>R4*2</f>
        <v>29168</v>
      </c>
      <c r="S15" s="2">
        <v>1</v>
      </c>
      <c r="T15" s="25"/>
      <c r="U15" s="38">
        <v>1000</v>
      </c>
      <c r="V15" s="38">
        <f>U15*R15*S15/1000</f>
        <v>29168</v>
      </c>
      <c r="W15" s="2"/>
    </row>
    <row r="16" spans="2:23" ht="44.4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ref="N16:N19" si="5">N15+1</f>
        <v>3</v>
      </c>
      <c r="O16" s="169" t="s">
        <v>66</v>
      </c>
      <c r="P16" s="170"/>
      <c r="Q16" s="170"/>
      <c r="R16" s="38"/>
      <c r="S16" s="2">
        <v>1</v>
      </c>
      <c r="T16" s="25"/>
      <c r="U16" s="38">
        <v>2500</v>
      </c>
      <c r="V16" s="38">
        <f>U16*S16</f>
        <v>2500</v>
      </c>
      <c r="W16" s="26" t="s">
        <v>69</v>
      </c>
    </row>
    <row r="17" spans="2:23" ht="44.4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N17" s="15">
        <f t="shared" si="5"/>
        <v>4</v>
      </c>
      <c r="O17" s="169" t="s">
        <v>62</v>
      </c>
      <c r="P17" s="170"/>
      <c r="Q17" s="171"/>
      <c r="R17" s="38"/>
      <c r="S17" s="60">
        <v>1</v>
      </c>
      <c r="T17" s="25"/>
      <c r="U17" s="38">
        <v>1000</v>
      </c>
      <c r="V17" s="38">
        <f t="shared" ref="V17:V18" si="6">U17*S17</f>
        <v>1000</v>
      </c>
      <c r="W17" s="26"/>
    </row>
    <row r="18" spans="2:23" ht="44.4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N18" s="15">
        <f t="shared" si="5"/>
        <v>5</v>
      </c>
      <c r="O18" s="169" t="s">
        <v>64</v>
      </c>
      <c r="P18" s="170"/>
      <c r="Q18" s="171"/>
      <c r="R18" s="38"/>
      <c r="S18" s="2">
        <v>1</v>
      </c>
      <c r="T18" s="25"/>
      <c r="U18" s="38">
        <v>2000</v>
      </c>
      <c r="V18" s="38">
        <f t="shared" si="6"/>
        <v>2000</v>
      </c>
      <c r="W18" s="2"/>
    </row>
    <row r="19" spans="2:23" ht="44.4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N19" s="15">
        <f t="shared" si="5"/>
        <v>6</v>
      </c>
      <c r="O19" s="188" t="s">
        <v>63</v>
      </c>
      <c r="P19" s="188"/>
      <c r="Q19" s="188"/>
      <c r="R19" s="188"/>
      <c r="S19" s="188"/>
      <c r="T19" s="35"/>
      <c r="U19" s="36"/>
      <c r="V19" s="37">
        <f>SUM(V14:V18)</f>
        <v>63177</v>
      </c>
      <c r="W19" s="2"/>
    </row>
    <row r="20" spans="2:23" ht="44.4" customHeight="1" x14ac:dyDescent="0.4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V20" s="139">
        <f>V12+V19</f>
        <v>5794660.5773000009</v>
      </c>
    </row>
    <row r="21" spans="2:23" ht="44.4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</row>
  </sheetData>
  <mergeCells count="64">
    <mergeCell ref="O11:Q11"/>
    <mergeCell ref="O12:S12"/>
    <mergeCell ref="O18:Q18"/>
    <mergeCell ref="O19:S19"/>
    <mergeCell ref="O13:Q13"/>
    <mergeCell ref="O14:Q14"/>
    <mergeCell ref="O15:Q15"/>
    <mergeCell ref="O16:Q16"/>
    <mergeCell ref="O17:Q17"/>
    <mergeCell ref="B1:L1"/>
    <mergeCell ref="N1:W1"/>
    <mergeCell ref="O2:Q2"/>
    <mergeCell ref="O3:Q3"/>
    <mergeCell ref="W3:W6"/>
    <mergeCell ref="O4:Q4"/>
    <mergeCell ref="O5:Q5"/>
    <mergeCell ref="O6:Q6"/>
    <mergeCell ref="B2:F2"/>
    <mergeCell ref="B3:D11"/>
    <mergeCell ref="I10:I11"/>
    <mergeCell ref="I2:L2"/>
    <mergeCell ref="O7:Q7"/>
    <mergeCell ref="O8:Q8"/>
    <mergeCell ref="O9:Q9"/>
    <mergeCell ref="O10:Q10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B21:C21"/>
    <mergeCell ref="D21:E21"/>
    <mergeCell ref="F21:G21"/>
    <mergeCell ref="H21:I21"/>
    <mergeCell ref="J21:K21"/>
    <mergeCell ref="B19:G19"/>
    <mergeCell ref="H19:I19"/>
    <mergeCell ref="J19:K19"/>
    <mergeCell ref="B20:G20"/>
    <mergeCell ref="H20:I20"/>
    <mergeCell ref="J20:K2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W27"/>
  <sheetViews>
    <sheetView zoomScale="40" zoomScaleNormal="40" workbookViewId="0">
      <selection activeCell="E5" sqref="E5"/>
    </sheetView>
  </sheetViews>
  <sheetFormatPr defaultColWidth="18.88671875" defaultRowHeight="37.200000000000003" customHeight="1" x14ac:dyDescent="0.35"/>
  <cols>
    <col min="1" max="11" width="18.88671875" style="1"/>
    <col min="12" max="12" width="18.88671875" style="1" customWidth="1"/>
    <col min="13" max="13" width="4" style="1" customWidth="1"/>
    <col min="14" max="22" width="18.88671875" style="1"/>
    <col min="23" max="23" width="44.21875" style="1" customWidth="1"/>
    <col min="24" max="16384" width="18.88671875" style="1"/>
  </cols>
  <sheetData>
    <row r="1" spans="2:23" ht="37.200000000000003" customHeight="1" x14ac:dyDescent="0.45"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37.200000000000003" customHeight="1" x14ac:dyDescent="0.35">
      <c r="B2" s="205" t="s">
        <v>8</v>
      </c>
      <c r="C2" s="206"/>
      <c r="D2" s="206"/>
      <c r="E2" s="206"/>
      <c r="F2" s="220"/>
      <c r="G2" s="12"/>
      <c r="H2" s="7"/>
      <c r="I2" s="205" t="s">
        <v>9</v>
      </c>
      <c r="J2" s="206"/>
      <c r="K2" s="206"/>
      <c r="L2" s="206"/>
      <c r="M2" s="2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7.200000000000003" customHeight="1" x14ac:dyDescent="0.35">
      <c r="B3" s="196"/>
      <c r="C3" s="197"/>
      <c r="D3" s="197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92</v>
      </c>
      <c r="P3" s="170"/>
      <c r="Q3" s="170"/>
      <c r="R3" s="34">
        <f>K4*L4</f>
        <v>854</v>
      </c>
      <c r="S3" s="90">
        <v>0.80200000000000005</v>
      </c>
      <c r="T3" s="32">
        <f>S3*R3</f>
        <v>684.90800000000002</v>
      </c>
      <c r="U3" s="34">
        <v>178000</v>
      </c>
      <c r="V3" s="31">
        <f>U3*T3/1000</f>
        <v>121913.624</v>
      </c>
      <c r="W3" s="83"/>
    </row>
    <row r="4" spans="2:23" ht="37.200000000000003" customHeight="1" x14ac:dyDescent="0.35">
      <c r="B4" s="177"/>
      <c r="C4" s="178"/>
      <c r="D4" s="178"/>
      <c r="E4" s="3">
        <v>940</v>
      </c>
      <c r="F4" s="3">
        <v>427</v>
      </c>
      <c r="G4" s="3">
        <v>1</v>
      </c>
      <c r="H4" s="6" t="s">
        <v>19</v>
      </c>
      <c r="I4" s="3" t="s">
        <v>11</v>
      </c>
      <c r="J4" s="6"/>
      <c r="K4" s="3">
        <f>F4</f>
        <v>427</v>
      </c>
      <c r="L4" s="3">
        <v>2</v>
      </c>
      <c r="N4" s="15">
        <f>N3+1</f>
        <v>2</v>
      </c>
      <c r="O4" s="169" t="s">
        <v>99</v>
      </c>
      <c r="P4" s="170"/>
      <c r="Q4" s="170"/>
      <c r="R4" s="34">
        <f>K5*L5</f>
        <v>1880</v>
      </c>
      <c r="S4" s="90">
        <v>0.80200000000000005</v>
      </c>
      <c r="T4" s="32">
        <f t="shared" ref="T4:T5" si="0">S4*R4</f>
        <v>1507.76</v>
      </c>
      <c r="U4" s="34">
        <v>178000</v>
      </c>
      <c r="V4" s="31">
        <f t="shared" ref="V4:V5" si="1">U4*T4/1000</f>
        <v>268381.28000000003</v>
      </c>
      <c r="W4" s="84"/>
    </row>
    <row r="5" spans="2:23" ht="37.200000000000003" customHeight="1" x14ac:dyDescent="0.35">
      <c r="B5" s="177"/>
      <c r="C5" s="178"/>
      <c r="D5" s="178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10</v>
      </c>
      <c r="J5" s="6"/>
      <c r="K5" s="3">
        <f>E4</f>
        <v>940</v>
      </c>
      <c r="L5" s="3">
        <v>2</v>
      </c>
      <c r="N5" s="15">
        <f t="shared" ref="N5:N14" si="2">N4+1</f>
        <v>3</v>
      </c>
      <c r="O5" s="169" t="s">
        <v>103</v>
      </c>
      <c r="P5" s="170"/>
      <c r="Q5" s="170"/>
      <c r="R5" s="34">
        <f>R3+R4</f>
        <v>2734</v>
      </c>
      <c r="S5" s="90">
        <v>0.27100000000000002</v>
      </c>
      <c r="T5" s="32">
        <f t="shared" si="0"/>
        <v>740.9140000000001</v>
      </c>
      <c r="U5" s="34">
        <v>178000</v>
      </c>
      <c r="V5" s="31">
        <f t="shared" si="1"/>
        <v>131882.69200000001</v>
      </c>
      <c r="W5" s="84"/>
    </row>
    <row r="6" spans="2:23" ht="37.200000000000003" customHeight="1" x14ac:dyDescent="0.35">
      <c r="B6" s="177"/>
      <c r="C6" s="178"/>
      <c r="D6" s="178"/>
      <c r="E6" s="146">
        <f>G6+T6</f>
        <v>3080.2611000000002</v>
      </c>
      <c r="F6" s="17">
        <f>F4*E4/1000</f>
        <v>401.38</v>
      </c>
      <c r="G6" s="93">
        <f>SUM(T3:T5)</f>
        <v>2933.5820000000003</v>
      </c>
      <c r="H6" s="6" t="s">
        <v>21</v>
      </c>
      <c r="I6" s="3" t="s">
        <v>102</v>
      </c>
      <c r="J6" s="6"/>
      <c r="K6" s="3">
        <f>E4</f>
        <v>940</v>
      </c>
      <c r="L6" s="3">
        <v>1</v>
      </c>
      <c r="N6" s="15">
        <f t="shared" si="2"/>
        <v>4</v>
      </c>
      <c r="O6" s="169" t="s">
        <v>72</v>
      </c>
      <c r="P6" s="170"/>
      <c r="Q6" s="171"/>
      <c r="R6" s="34"/>
      <c r="S6" s="29"/>
      <c r="T6" s="145">
        <f>SUM(T3:T5)*U6</f>
        <v>146.67910000000003</v>
      </c>
      <c r="U6" s="55">
        <v>0.05</v>
      </c>
      <c r="V6" s="34">
        <f>SUM(V3:V5)*U6</f>
        <v>26108.879800000002</v>
      </c>
      <c r="W6" s="42"/>
    </row>
    <row r="7" spans="2:23" ht="37.200000000000003" customHeight="1" x14ac:dyDescent="0.35">
      <c r="B7" s="177"/>
      <c r="C7" s="178"/>
      <c r="D7" s="178"/>
      <c r="E7" s="60"/>
      <c r="F7" s="17"/>
      <c r="G7" s="93"/>
      <c r="H7" s="6" t="s">
        <v>21</v>
      </c>
      <c r="I7" s="203" t="s">
        <v>73</v>
      </c>
      <c r="J7" s="3" t="s">
        <v>6</v>
      </c>
      <c r="K7" s="3" t="s">
        <v>7</v>
      </c>
      <c r="L7" s="5" t="s">
        <v>2</v>
      </c>
      <c r="N7" s="15">
        <f t="shared" si="2"/>
        <v>5</v>
      </c>
      <c r="O7" s="169" t="s">
        <v>101</v>
      </c>
      <c r="P7" s="170"/>
      <c r="Q7" s="170"/>
      <c r="R7" s="29"/>
      <c r="S7" s="29"/>
      <c r="T7" s="33">
        <v>4</v>
      </c>
      <c r="U7" s="44">
        <v>4200</v>
      </c>
      <c r="V7" s="31">
        <f>U7*T7</f>
        <v>16800</v>
      </c>
      <c r="W7" s="26" t="s">
        <v>100</v>
      </c>
    </row>
    <row r="8" spans="2:23" ht="37.200000000000003" customHeight="1" x14ac:dyDescent="0.35">
      <c r="B8" s="179"/>
      <c r="C8" s="180"/>
      <c r="D8" s="180"/>
      <c r="E8" s="3"/>
      <c r="F8" s="3"/>
      <c r="G8" s="3"/>
      <c r="H8" s="6" t="s">
        <v>22</v>
      </c>
      <c r="I8" s="204"/>
      <c r="J8" s="3">
        <f>K4-75</f>
        <v>352</v>
      </c>
      <c r="K8" s="3">
        <f>K5-75</f>
        <v>865</v>
      </c>
      <c r="L8" s="3">
        <f>G4</f>
        <v>1</v>
      </c>
      <c r="N8" s="15">
        <f t="shared" si="2"/>
        <v>6</v>
      </c>
      <c r="O8" s="169" t="s">
        <v>55</v>
      </c>
      <c r="P8" s="170"/>
      <c r="Q8" s="170"/>
      <c r="R8" s="29"/>
      <c r="S8" s="29"/>
      <c r="T8" s="33">
        <v>4</v>
      </c>
      <c r="U8" s="34">
        <v>100</v>
      </c>
      <c r="V8" s="31">
        <f t="shared" ref="V8" si="3">U8*T8</f>
        <v>400</v>
      </c>
      <c r="W8" s="26" t="s">
        <v>94</v>
      </c>
    </row>
    <row r="9" spans="2:23" ht="37.200000000000003" customHeight="1" x14ac:dyDescent="0.35">
      <c r="N9" s="15">
        <f t="shared" si="2"/>
        <v>7</v>
      </c>
      <c r="O9" s="182" t="s">
        <v>59</v>
      </c>
      <c r="P9" s="183"/>
      <c r="Q9" s="183"/>
      <c r="R9" s="183"/>
      <c r="S9" s="184"/>
      <c r="T9" s="35"/>
      <c r="U9" s="36"/>
      <c r="V9" s="37">
        <f>SUM(V3:V8)</f>
        <v>565486.47580000001</v>
      </c>
      <c r="W9" s="15"/>
    </row>
    <row r="10" spans="2:23" ht="37.200000000000003" customHeight="1" x14ac:dyDescent="0.35">
      <c r="N10" s="15">
        <f t="shared" si="2"/>
        <v>8</v>
      </c>
      <c r="O10" s="174" t="s">
        <v>45</v>
      </c>
      <c r="P10" s="174"/>
      <c r="Q10" s="174"/>
      <c r="R10" s="24" t="s">
        <v>46</v>
      </c>
      <c r="S10" s="30" t="s">
        <v>52</v>
      </c>
      <c r="T10" s="30"/>
      <c r="U10" s="24" t="s">
        <v>38</v>
      </c>
      <c r="V10" s="24" t="s">
        <v>39</v>
      </c>
      <c r="W10" s="2"/>
    </row>
    <row r="11" spans="2:23" ht="37.200000000000003" customHeight="1" x14ac:dyDescent="0.35">
      <c r="E11" s="4"/>
      <c r="G11" s="11"/>
      <c r="N11" s="15">
        <f t="shared" si="2"/>
        <v>9</v>
      </c>
      <c r="O11" s="169" t="s">
        <v>41</v>
      </c>
      <c r="P11" s="170"/>
      <c r="Q11" s="170"/>
      <c r="R11" s="38">
        <f>R3+R4*2</f>
        <v>4614</v>
      </c>
      <c r="S11" s="2">
        <v>1</v>
      </c>
      <c r="T11" s="25"/>
      <c r="U11" s="38">
        <v>1000</v>
      </c>
      <c r="V11" s="38">
        <f>U11*R11*S11/1000</f>
        <v>4614</v>
      </c>
      <c r="W11" s="2"/>
    </row>
    <row r="12" spans="2:23" ht="37.200000000000003" customHeight="1" x14ac:dyDescent="0.35">
      <c r="E12" s="4"/>
      <c r="G12" s="11"/>
      <c r="L12" s="1">
        <f>F6*300</f>
        <v>120414</v>
      </c>
      <c r="N12" s="15">
        <f t="shared" si="2"/>
        <v>10</v>
      </c>
      <c r="O12" s="169" t="s">
        <v>62</v>
      </c>
      <c r="P12" s="170"/>
      <c r="Q12" s="171"/>
      <c r="R12" s="38"/>
      <c r="S12" s="60">
        <v>1</v>
      </c>
      <c r="T12" s="25"/>
      <c r="U12" s="38">
        <v>1000</v>
      </c>
      <c r="V12" s="38">
        <f t="shared" ref="V12:V13" si="4">U12*S12</f>
        <v>1000</v>
      </c>
      <c r="W12" s="26"/>
    </row>
    <row r="13" spans="2:23" ht="37.200000000000003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20">
        <f>V15+L12+V27</f>
        <v>953708.07579999999</v>
      </c>
      <c r="N13" s="15">
        <f t="shared" si="2"/>
        <v>11</v>
      </c>
      <c r="O13" s="169" t="s">
        <v>64</v>
      </c>
      <c r="P13" s="170"/>
      <c r="Q13" s="171"/>
      <c r="R13" s="38"/>
      <c r="S13" s="2">
        <v>1</v>
      </c>
      <c r="T13" s="25"/>
      <c r="U13" s="38">
        <v>2000</v>
      </c>
      <c r="V13" s="38">
        <f t="shared" si="4"/>
        <v>2000</v>
      </c>
      <c r="W13" s="2"/>
    </row>
    <row r="14" spans="2:23" ht="37.200000000000003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L14" s="148">
        <f>L13/F6</f>
        <v>2376.0727385519958</v>
      </c>
      <c r="N14" s="15">
        <f t="shared" si="2"/>
        <v>12</v>
      </c>
      <c r="O14" s="188" t="s">
        <v>63</v>
      </c>
      <c r="P14" s="188"/>
      <c r="Q14" s="188"/>
      <c r="R14" s="188"/>
      <c r="S14" s="188"/>
      <c r="T14" s="35"/>
      <c r="U14" s="36"/>
      <c r="V14" s="37">
        <f>SUM(V11:V13)</f>
        <v>7614</v>
      </c>
      <c r="W14" s="2"/>
    </row>
    <row r="15" spans="2:23" ht="37.200000000000003" customHeight="1" x14ac:dyDescent="0.4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V15" s="140">
        <f>V14+V9</f>
        <v>573100.47580000001</v>
      </c>
    </row>
    <row r="16" spans="2:23" ht="37.200000000000003" customHeight="1" x14ac:dyDescent="0.4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M16" s="11"/>
      <c r="N16" s="173" t="s">
        <v>58</v>
      </c>
      <c r="O16" s="173"/>
      <c r="P16" s="173"/>
      <c r="Q16" s="173"/>
      <c r="R16" s="173"/>
      <c r="S16" s="173"/>
      <c r="T16" s="173"/>
      <c r="U16" s="173"/>
      <c r="V16" s="173"/>
      <c r="W16" s="173"/>
    </row>
    <row r="17" spans="2:23" ht="37.200000000000003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M17" s="11"/>
      <c r="N17" s="24" t="s">
        <v>14</v>
      </c>
      <c r="O17" s="174" t="s">
        <v>45</v>
      </c>
      <c r="P17" s="174"/>
      <c r="Q17" s="174"/>
      <c r="R17" s="24" t="s">
        <v>46</v>
      </c>
      <c r="S17" s="30" t="s">
        <v>56</v>
      </c>
      <c r="T17" s="30" t="s">
        <v>57</v>
      </c>
      <c r="U17" s="24" t="s">
        <v>38</v>
      </c>
      <c r="V17" s="24" t="s">
        <v>39</v>
      </c>
      <c r="W17" s="24" t="s">
        <v>33</v>
      </c>
    </row>
    <row r="18" spans="2:23" ht="37.200000000000003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M18" s="11"/>
      <c r="N18" s="15">
        <v>1</v>
      </c>
      <c r="O18" s="169" t="s">
        <v>106</v>
      </c>
      <c r="P18" s="170"/>
      <c r="Q18" s="170"/>
      <c r="R18" s="34">
        <v>1000</v>
      </c>
      <c r="S18" s="90">
        <v>0.80200000000000005</v>
      </c>
      <c r="T18" s="32">
        <f>S18*R18</f>
        <v>802</v>
      </c>
      <c r="U18" s="34">
        <v>178000</v>
      </c>
      <c r="V18" s="31">
        <f>U18*T18/1000</f>
        <v>142756</v>
      </c>
      <c r="W18" s="83"/>
    </row>
    <row r="19" spans="2:23" ht="37.200000000000003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M19" s="11"/>
      <c r="N19" s="15">
        <v>2</v>
      </c>
      <c r="O19" s="169" t="s">
        <v>103</v>
      </c>
      <c r="P19" s="170"/>
      <c r="Q19" s="170"/>
      <c r="R19" s="34">
        <f>R18*2</f>
        <v>2000</v>
      </c>
      <c r="S19" s="90">
        <v>0.27100000000000002</v>
      </c>
      <c r="T19" s="32">
        <f t="shared" ref="T19" si="5">S19*R19</f>
        <v>542</v>
      </c>
      <c r="U19" s="34">
        <v>178000</v>
      </c>
      <c r="V19" s="31">
        <f t="shared" ref="V19" si="6">U19*T19/1000</f>
        <v>96476</v>
      </c>
      <c r="W19" s="84"/>
    </row>
    <row r="20" spans="2:23" ht="37.200000000000003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M20" s="11"/>
      <c r="N20" s="15">
        <f t="shared" ref="N20:N26" si="7">N19+1</f>
        <v>3</v>
      </c>
      <c r="O20" s="169" t="s">
        <v>72</v>
      </c>
      <c r="P20" s="170"/>
      <c r="Q20" s="171"/>
      <c r="R20" s="34"/>
      <c r="S20" s="147">
        <f>SUM(T18:T20)</f>
        <v>1411.2</v>
      </c>
      <c r="T20" s="145">
        <f>SUM(T18:T19)*U20</f>
        <v>67.2</v>
      </c>
      <c r="U20" s="55">
        <v>0.05</v>
      </c>
      <c r="V20" s="34">
        <f>SUM(V18:V19)*U20</f>
        <v>11961.6</v>
      </c>
      <c r="W20" s="42"/>
    </row>
    <row r="21" spans="2:23" ht="37.200000000000003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  <c r="M21" s="11"/>
      <c r="N21" s="15">
        <f t="shared" si="7"/>
        <v>4</v>
      </c>
      <c r="O21" s="182" t="s">
        <v>59</v>
      </c>
      <c r="P21" s="183"/>
      <c r="Q21" s="183"/>
      <c r="R21" s="183"/>
      <c r="S21" s="184"/>
      <c r="T21" s="35"/>
      <c r="U21" s="36"/>
      <c r="V21" s="37">
        <f>SUM(V18:V20)</f>
        <v>251193.60000000001</v>
      </c>
      <c r="W21" s="15"/>
    </row>
    <row r="22" spans="2:23" ht="37.200000000000003" customHeight="1" x14ac:dyDescent="0.35">
      <c r="E22" s="4"/>
      <c r="G22" s="11"/>
      <c r="M22" s="11"/>
      <c r="N22" s="15">
        <f t="shared" si="7"/>
        <v>5</v>
      </c>
      <c r="O22" s="174" t="s">
        <v>45</v>
      </c>
      <c r="P22" s="174"/>
      <c r="Q22" s="174"/>
      <c r="R22" s="24" t="s">
        <v>46</v>
      </c>
      <c r="S22" s="30" t="s">
        <v>52</v>
      </c>
      <c r="T22" s="30"/>
      <c r="U22" s="24" t="s">
        <v>38</v>
      </c>
      <c r="V22" s="24" t="s">
        <v>39</v>
      </c>
      <c r="W22" s="2"/>
    </row>
    <row r="23" spans="2:23" ht="37.200000000000003" customHeight="1" x14ac:dyDescent="0.35">
      <c r="E23" s="4"/>
      <c r="G23" s="11"/>
      <c r="M23" s="11"/>
      <c r="N23" s="15">
        <f t="shared" si="7"/>
        <v>6</v>
      </c>
      <c r="O23" s="169" t="s">
        <v>41</v>
      </c>
      <c r="P23" s="170"/>
      <c r="Q23" s="170"/>
      <c r="R23" s="38">
        <f>R18*2+R19*2</f>
        <v>6000</v>
      </c>
      <c r="S23" s="2">
        <v>1</v>
      </c>
      <c r="T23" s="25"/>
      <c r="U23" s="38">
        <v>1000</v>
      </c>
      <c r="V23" s="38">
        <f>U23*R23*S23/1000</f>
        <v>6000</v>
      </c>
      <c r="W23" s="2"/>
    </row>
    <row r="24" spans="2:23" ht="37.200000000000003" customHeight="1" x14ac:dyDescent="0.35">
      <c r="E24" s="4"/>
      <c r="G24" s="11"/>
      <c r="N24" s="15">
        <f t="shared" si="7"/>
        <v>7</v>
      </c>
      <c r="O24" s="169" t="s">
        <v>62</v>
      </c>
      <c r="P24" s="170"/>
      <c r="Q24" s="171"/>
      <c r="R24" s="38"/>
      <c r="S24" s="60">
        <v>1</v>
      </c>
      <c r="T24" s="25"/>
      <c r="U24" s="38">
        <v>1000</v>
      </c>
      <c r="V24" s="38">
        <f t="shared" ref="V24:V25" si="8">U24*S24</f>
        <v>1000</v>
      </c>
      <c r="W24" s="26"/>
    </row>
    <row r="25" spans="2:23" ht="37.200000000000003" customHeight="1" x14ac:dyDescent="0.35">
      <c r="N25" s="15">
        <f t="shared" si="7"/>
        <v>8</v>
      </c>
      <c r="O25" s="169" t="s">
        <v>64</v>
      </c>
      <c r="P25" s="170"/>
      <c r="Q25" s="171"/>
      <c r="R25" s="38"/>
      <c r="S25" s="2">
        <v>1</v>
      </c>
      <c r="T25" s="25"/>
      <c r="U25" s="38">
        <v>2000</v>
      </c>
      <c r="V25" s="38">
        <f t="shared" si="8"/>
        <v>2000</v>
      </c>
      <c r="W25" s="2"/>
    </row>
    <row r="26" spans="2:23" ht="37.200000000000003" customHeight="1" x14ac:dyDescent="0.35">
      <c r="N26" s="15">
        <f t="shared" si="7"/>
        <v>9</v>
      </c>
      <c r="O26" s="188" t="s">
        <v>63</v>
      </c>
      <c r="P26" s="188"/>
      <c r="Q26" s="188"/>
      <c r="R26" s="188"/>
      <c r="S26" s="188"/>
      <c r="T26" s="35"/>
      <c r="U26" s="36"/>
      <c r="V26" s="37">
        <f>SUM(V23:V25)</f>
        <v>9000</v>
      </c>
      <c r="W26" s="2"/>
    </row>
    <row r="27" spans="2:23" ht="37.200000000000003" customHeight="1" x14ac:dyDescent="0.45">
      <c r="V27" s="140">
        <f>V26+V21</f>
        <v>260193.6</v>
      </c>
    </row>
  </sheetData>
  <mergeCells count="69">
    <mergeCell ref="O24:Q24"/>
    <mergeCell ref="O25:Q25"/>
    <mergeCell ref="O26:S26"/>
    <mergeCell ref="D21:E21"/>
    <mergeCell ref="F21:G21"/>
    <mergeCell ref="H21:I21"/>
    <mergeCell ref="J21:K21"/>
    <mergeCell ref="O22:Q22"/>
    <mergeCell ref="O21:S21"/>
    <mergeCell ref="O23:Q23"/>
    <mergeCell ref="B21:C21"/>
    <mergeCell ref="B20:G20"/>
    <mergeCell ref="H20:I20"/>
    <mergeCell ref="J20:K20"/>
    <mergeCell ref="O20:Q20"/>
    <mergeCell ref="B19:G19"/>
    <mergeCell ref="H19:I19"/>
    <mergeCell ref="J19:K19"/>
    <mergeCell ref="O19:Q19"/>
    <mergeCell ref="B18:C18"/>
    <mergeCell ref="D18:E18"/>
    <mergeCell ref="F18:G18"/>
    <mergeCell ref="H18:I18"/>
    <mergeCell ref="J18:K18"/>
    <mergeCell ref="O18:Q18"/>
    <mergeCell ref="N16:W16"/>
    <mergeCell ref="B17:G17"/>
    <mergeCell ref="H17:I17"/>
    <mergeCell ref="J17:K17"/>
    <mergeCell ref="O17:Q17"/>
    <mergeCell ref="B16:C16"/>
    <mergeCell ref="D16:E16"/>
    <mergeCell ref="F16:G16"/>
    <mergeCell ref="H16:I16"/>
    <mergeCell ref="J16:K16"/>
    <mergeCell ref="J15:K15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O14:S14"/>
    <mergeCell ref="O9:S9"/>
    <mergeCell ref="O10:Q10"/>
    <mergeCell ref="O11:Q11"/>
    <mergeCell ref="O12:Q12"/>
    <mergeCell ref="O13:Q13"/>
    <mergeCell ref="B13:C13"/>
    <mergeCell ref="D13:E13"/>
    <mergeCell ref="F13:G13"/>
    <mergeCell ref="H13:I13"/>
    <mergeCell ref="J13:K13"/>
    <mergeCell ref="B3:D8"/>
    <mergeCell ref="O3:Q3"/>
    <mergeCell ref="O4:Q4"/>
    <mergeCell ref="O5:Q5"/>
    <mergeCell ref="O6:Q6"/>
    <mergeCell ref="I7:I8"/>
    <mergeCell ref="O7:Q7"/>
    <mergeCell ref="O8:Q8"/>
    <mergeCell ref="B1:L1"/>
    <mergeCell ref="N1:W1"/>
    <mergeCell ref="B2:F2"/>
    <mergeCell ref="I2:L2"/>
    <mergeCell ref="O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36"/>
  <sheetViews>
    <sheetView topLeftCell="C1" zoomScale="50" zoomScaleNormal="50" workbookViewId="0">
      <selection activeCell="H17" sqref="H17:I17"/>
    </sheetView>
  </sheetViews>
  <sheetFormatPr defaultColWidth="16.109375" defaultRowHeight="19.2" x14ac:dyDescent="0.35"/>
  <cols>
    <col min="2" max="12" width="16.109375" style="1"/>
    <col min="13" max="13" width="6.21875" style="1" customWidth="1"/>
    <col min="14" max="21" width="16.109375" style="1"/>
    <col min="22" max="22" width="18.6640625" style="1" bestFit="1" customWidth="1"/>
    <col min="23" max="23" width="31.88671875" style="1" customWidth="1"/>
  </cols>
  <sheetData>
    <row r="1" spans="2:23" ht="44.4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57.75" customHeight="1" x14ac:dyDescent="0.35">
      <c r="B2" s="175"/>
      <c r="C2" s="175"/>
      <c r="D2" s="175"/>
      <c r="E2" s="175"/>
      <c r="F2" s="175"/>
      <c r="G2" s="18"/>
      <c r="H2" s="176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30" t="s">
        <v>96</v>
      </c>
      <c r="S2" s="30" t="s">
        <v>56</v>
      </c>
      <c r="T2" s="30" t="s">
        <v>95</v>
      </c>
      <c r="U2" s="24" t="s">
        <v>38</v>
      </c>
      <c r="V2" s="24" t="s">
        <v>39</v>
      </c>
      <c r="W2" s="24" t="s">
        <v>33</v>
      </c>
    </row>
    <row r="3" spans="2:23" ht="44.4" customHeight="1" x14ac:dyDescent="0.35">
      <c r="B3" s="177"/>
      <c r="C3" s="178"/>
      <c r="D3" s="178"/>
      <c r="E3" s="3" t="s">
        <v>0</v>
      </c>
      <c r="F3" s="16" t="s">
        <v>1</v>
      </c>
      <c r="G3" s="3" t="s">
        <v>2</v>
      </c>
      <c r="H3" s="176"/>
      <c r="I3" s="5" t="s">
        <v>4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47</v>
      </c>
      <c r="P3" s="170"/>
      <c r="Q3" s="170"/>
      <c r="R3" s="34">
        <f>K4*L4+K5*L5</f>
        <v>4900</v>
      </c>
      <c r="S3" s="90">
        <v>1.621</v>
      </c>
      <c r="T3" s="142">
        <f>S3*R3</f>
        <v>7942.9</v>
      </c>
      <c r="U3" s="34">
        <v>178000</v>
      </c>
      <c r="V3" s="31">
        <f>U3*T3/1000</f>
        <v>1413836.2</v>
      </c>
      <c r="W3" s="86"/>
    </row>
    <row r="4" spans="2:23" ht="44.4" customHeight="1" x14ac:dyDescent="0.35">
      <c r="B4" s="177"/>
      <c r="C4" s="178"/>
      <c r="D4" s="178"/>
      <c r="E4" s="3">
        <v>900</v>
      </c>
      <c r="F4" s="3">
        <v>2000</v>
      </c>
      <c r="G4" s="3">
        <v>1</v>
      </c>
      <c r="H4" s="6" t="s">
        <v>19</v>
      </c>
      <c r="I4" s="3" t="s">
        <v>10</v>
      </c>
      <c r="J4" s="6">
        <v>8301</v>
      </c>
      <c r="K4" s="87">
        <f>E4</f>
        <v>900</v>
      </c>
      <c r="L4" s="3">
        <f>G4*1</f>
        <v>1</v>
      </c>
      <c r="N4" s="15">
        <f>N3+1</f>
        <v>2</v>
      </c>
      <c r="O4" s="169" t="s">
        <v>48</v>
      </c>
      <c r="P4" s="170"/>
      <c r="Q4" s="170"/>
      <c r="R4" s="34">
        <f>K6*L6+K7*L7</f>
        <v>5550</v>
      </c>
      <c r="S4" s="90">
        <v>1.6040000000000001</v>
      </c>
      <c r="T4" s="142">
        <f>S4*R4</f>
        <v>8902.2000000000007</v>
      </c>
      <c r="U4" s="34">
        <v>178000</v>
      </c>
      <c r="V4" s="31">
        <f>U4*T4/1000</f>
        <v>1584591.6000000003</v>
      </c>
      <c r="W4" s="86"/>
    </row>
    <row r="5" spans="2:23" ht="44.4" customHeight="1" x14ac:dyDescent="0.35">
      <c r="B5" s="177"/>
      <c r="C5" s="178"/>
      <c r="D5" s="178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35</v>
      </c>
      <c r="J5" s="6">
        <v>8301</v>
      </c>
      <c r="K5" s="87">
        <f>F4</f>
        <v>2000</v>
      </c>
      <c r="L5" s="3">
        <f>G4*2</f>
        <v>2</v>
      </c>
      <c r="N5" s="15">
        <f t="shared" ref="N5:N11" si="0">N4+1</f>
        <v>3</v>
      </c>
      <c r="O5" s="169" t="s">
        <v>49</v>
      </c>
      <c r="P5" s="170"/>
      <c r="Q5" s="170"/>
      <c r="R5" s="34">
        <f>R4</f>
        <v>5550</v>
      </c>
      <c r="S5" s="90">
        <v>0.27900000000000003</v>
      </c>
      <c r="T5" s="142">
        <f>S5*R5</f>
        <v>1548.45</v>
      </c>
      <c r="U5" s="34">
        <v>178000</v>
      </c>
      <c r="V5" s="31">
        <f>U5*T5/1000</f>
        <v>275624.09999999998</v>
      </c>
      <c r="W5" s="86"/>
    </row>
    <row r="6" spans="2:23" ht="44.4" customHeight="1" x14ac:dyDescent="0.35">
      <c r="B6" s="177"/>
      <c r="C6" s="178"/>
      <c r="D6" s="178"/>
      <c r="E6" s="146">
        <f>G6+T7</f>
        <v>19647.859349999999</v>
      </c>
      <c r="F6" s="17">
        <f>F4*E4/1000</f>
        <v>1800</v>
      </c>
      <c r="G6" s="93">
        <f>SUM(T3:T6)</f>
        <v>18712.246999999999</v>
      </c>
      <c r="H6" s="6" t="s">
        <v>21</v>
      </c>
      <c r="I6" s="3" t="s">
        <v>12</v>
      </c>
      <c r="J6" s="6" t="s">
        <v>121</v>
      </c>
      <c r="K6" s="88">
        <f>K4-72-10</f>
        <v>818</v>
      </c>
      <c r="L6" s="3">
        <f>G4*2</f>
        <v>2</v>
      </c>
      <c r="N6" s="15">
        <f t="shared" si="0"/>
        <v>4</v>
      </c>
      <c r="O6" s="169" t="s">
        <v>50</v>
      </c>
      <c r="P6" s="170"/>
      <c r="Q6" s="170"/>
      <c r="R6" s="34">
        <f>K8*L8</f>
        <v>757</v>
      </c>
      <c r="S6" s="90">
        <v>0.42099999999999999</v>
      </c>
      <c r="T6" s="142">
        <f>S6*R6</f>
        <v>318.697</v>
      </c>
      <c r="U6" s="34">
        <v>178000</v>
      </c>
      <c r="V6" s="31">
        <f t="shared" ref="V6" si="1">U6*T6/1000</f>
        <v>56728.065999999999</v>
      </c>
      <c r="W6" s="86"/>
    </row>
    <row r="7" spans="2:23" ht="44.4" customHeight="1" x14ac:dyDescent="0.35">
      <c r="B7" s="177"/>
      <c r="C7" s="178"/>
      <c r="D7" s="178"/>
      <c r="E7" s="3"/>
      <c r="F7" s="41" t="s">
        <v>36</v>
      </c>
      <c r="G7" s="41" t="s">
        <v>43</v>
      </c>
      <c r="H7" s="6" t="s">
        <v>22</v>
      </c>
      <c r="I7" s="3" t="s">
        <v>13</v>
      </c>
      <c r="J7" s="6" t="s">
        <v>121</v>
      </c>
      <c r="K7" s="88">
        <f>IF(AND(F9="X",G9=""),K5-F8,0)+IF(AND(G9="X",F9=""),K5-G8,0)</f>
        <v>1957</v>
      </c>
      <c r="L7" s="3">
        <v>2</v>
      </c>
      <c r="N7" s="15">
        <f t="shared" si="0"/>
        <v>5</v>
      </c>
      <c r="O7" s="169" t="s">
        <v>72</v>
      </c>
      <c r="P7" s="170"/>
      <c r="Q7" s="171"/>
      <c r="R7" s="34"/>
      <c r="S7" s="29"/>
      <c r="T7" s="145">
        <f>SUM(T3:T6)*U7</f>
        <v>935.61234999999999</v>
      </c>
      <c r="U7" s="55">
        <v>0.05</v>
      </c>
      <c r="V7" s="34">
        <f>SUM(V3:V6)*U7</f>
        <v>166538.99830000004</v>
      </c>
      <c r="W7" s="42"/>
    </row>
    <row r="8" spans="2:23" ht="44.4" customHeight="1" x14ac:dyDescent="0.35">
      <c r="B8" s="177"/>
      <c r="C8" s="178"/>
      <c r="D8" s="178"/>
      <c r="E8" s="3"/>
      <c r="F8" s="3">
        <v>43</v>
      </c>
      <c r="G8" s="3">
        <v>23</v>
      </c>
      <c r="H8" s="6" t="s">
        <v>24</v>
      </c>
      <c r="I8" s="3" t="s">
        <v>51</v>
      </c>
      <c r="J8" s="6">
        <v>8309</v>
      </c>
      <c r="K8" s="113">
        <f>K6-61</f>
        <v>757</v>
      </c>
      <c r="L8" s="3">
        <f>G4*1</f>
        <v>1</v>
      </c>
      <c r="N8" s="15">
        <f t="shared" si="0"/>
        <v>6</v>
      </c>
      <c r="O8" s="169" t="s">
        <v>120</v>
      </c>
      <c r="P8" s="170"/>
      <c r="Q8" s="170"/>
      <c r="R8" s="29"/>
      <c r="S8" s="29"/>
      <c r="T8" s="33">
        <v>2</v>
      </c>
      <c r="U8" s="44">
        <v>25000</v>
      </c>
      <c r="V8" s="31">
        <f>U8*T8</f>
        <v>50000</v>
      </c>
      <c r="W8" s="15"/>
    </row>
    <row r="9" spans="2:23" ht="44.4" customHeight="1" x14ac:dyDescent="0.35">
      <c r="B9" s="177"/>
      <c r="C9" s="178"/>
      <c r="D9" s="178"/>
      <c r="E9" s="2" t="s">
        <v>34</v>
      </c>
      <c r="F9" s="3" t="s">
        <v>37</v>
      </c>
      <c r="G9" s="3"/>
      <c r="H9" s="6" t="s">
        <v>25</v>
      </c>
      <c r="I9" s="221" t="s">
        <v>15</v>
      </c>
      <c r="J9" s="3" t="s">
        <v>6</v>
      </c>
      <c r="K9" s="3" t="s">
        <v>7</v>
      </c>
      <c r="L9" s="5" t="s">
        <v>2</v>
      </c>
      <c r="N9" s="15">
        <f t="shared" si="0"/>
        <v>7</v>
      </c>
      <c r="O9" s="169" t="s">
        <v>163</v>
      </c>
      <c r="P9" s="170"/>
      <c r="Q9" s="170"/>
      <c r="R9" s="29"/>
      <c r="S9" s="29"/>
      <c r="T9" s="33">
        <v>4</v>
      </c>
      <c r="U9" s="44">
        <v>18000</v>
      </c>
      <c r="V9" s="31">
        <f t="shared" ref="V9:V10" si="2">U9*T9</f>
        <v>72000</v>
      </c>
      <c r="W9" s="26"/>
    </row>
    <row r="10" spans="2:23" ht="44.4" customHeight="1" x14ac:dyDescent="0.35">
      <c r="B10" s="179"/>
      <c r="C10" s="180"/>
      <c r="D10" s="180"/>
      <c r="E10" s="2"/>
      <c r="F10" s="3"/>
      <c r="G10" s="3"/>
      <c r="H10" s="6" t="s">
        <v>28</v>
      </c>
      <c r="I10" s="221"/>
      <c r="J10" s="93">
        <f>K6-172</f>
        <v>646</v>
      </c>
      <c r="K10" s="93">
        <f>K7-172</f>
        <v>1785</v>
      </c>
      <c r="L10" s="3">
        <v>1</v>
      </c>
      <c r="N10" s="15">
        <f t="shared" si="0"/>
        <v>8</v>
      </c>
      <c r="O10" s="169" t="s">
        <v>55</v>
      </c>
      <c r="P10" s="170"/>
      <c r="Q10" s="170"/>
      <c r="R10" s="29"/>
      <c r="S10" s="29"/>
      <c r="T10" s="33">
        <f>T9*2+T8</f>
        <v>10</v>
      </c>
      <c r="U10" s="34">
        <v>1600</v>
      </c>
      <c r="V10" s="31">
        <f t="shared" si="2"/>
        <v>16000</v>
      </c>
      <c r="W10" s="26"/>
    </row>
    <row r="11" spans="2:23" ht="44.4" customHeight="1" x14ac:dyDescent="0.35">
      <c r="N11" s="15">
        <f t="shared" si="0"/>
        <v>9</v>
      </c>
      <c r="O11" s="182" t="s">
        <v>59</v>
      </c>
      <c r="P11" s="183"/>
      <c r="Q11" s="183"/>
      <c r="R11" s="183"/>
      <c r="S11" s="184"/>
      <c r="T11" s="35"/>
      <c r="U11" s="36"/>
      <c r="V11" s="37">
        <f>SUM(V3:V10)</f>
        <v>3635318.9643000006</v>
      </c>
      <c r="W11" s="15"/>
    </row>
    <row r="12" spans="2:23" ht="44.4" customHeight="1" x14ac:dyDescent="0.35"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40"/>
      <c r="N12" s="24" t="s">
        <v>14</v>
      </c>
      <c r="O12" s="174" t="s">
        <v>45</v>
      </c>
      <c r="P12" s="174"/>
      <c r="Q12" s="174"/>
      <c r="R12" s="24" t="s">
        <v>46</v>
      </c>
      <c r="S12" s="30" t="s">
        <v>52</v>
      </c>
      <c r="T12" s="30"/>
      <c r="U12" s="24" t="s">
        <v>38</v>
      </c>
      <c r="V12" s="24" t="s">
        <v>39</v>
      </c>
      <c r="W12" s="2"/>
    </row>
    <row r="13" spans="2:23" ht="44.4" customHeight="1" x14ac:dyDescent="0.35">
      <c r="B13" s="172"/>
      <c r="C13" s="172"/>
      <c r="D13" s="185"/>
      <c r="E13" s="185"/>
      <c r="F13" s="185"/>
      <c r="G13" s="185"/>
      <c r="H13" s="185"/>
      <c r="I13" s="185"/>
      <c r="J13" s="172"/>
      <c r="K13" s="172"/>
      <c r="L13" s="56"/>
      <c r="N13" s="15">
        <v>1</v>
      </c>
      <c r="O13" s="169" t="s">
        <v>60</v>
      </c>
      <c r="P13" s="170"/>
      <c r="Q13" s="170"/>
      <c r="R13" s="38">
        <f>R3+R4</f>
        <v>10450</v>
      </c>
      <c r="S13" s="2">
        <v>1</v>
      </c>
      <c r="T13" s="25"/>
      <c r="U13" s="38">
        <v>1000</v>
      </c>
      <c r="V13" s="38">
        <f>U13*R13*S13/1000</f>
        <v>10450</v>
      </c>
      <c r="W13" s="2"/>
    </row>
    <row r="14" spans="2:23" ht="44.4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L14" s="56"/>
      <c r="N14" s="15">
        <f>N13+1</f>
        <v>2</v>
      </c>
      <c r="O14" s="169" t="s">
        <v>41</v>
      </c>
      <c r="P14" s="170"/>
      <c r="Q14" s="170"/>
      <c r="R14" s="38">
        <f>R4*2</f>
        <v>11100</v>
      </c>
      <c r="S14" s="2">
        <v>1</v>
      </c>
      <c r="T14" s="25"/>
      <c r="U14" s="38">
        <v>1000</v>
      </c>
      <c r="V14" s="38">
        <f>U14*R14*S14/1000</f>
        <v>11100</v>
      </c>
      <c r="W14" s="2"/>
    </row>
    <row r="15" spans="2:23" ht="44.4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L15" s="56"/>
      <c r="N15" s="15">
        <f t="shared" ref="N15:N18" si="3">N14+1</f>
        <v>3</v>
      </c>
      <c r="O15" s="169" t="s">
        <v>61</v>
      </c>
      <c r="P15" s="170"/>
      <c r="Q15" s="170"/>
      <c r="R15" s="38"/>
      <c r="S15" s="2">
        <v>1</v>
      </c>
      <c r="T15" s="25"/>
      <c r="U15" s="38">
        <v>9500</v>
      </c>
      <c r="V15" s="38">
        <f>U15*S15</f>
        <v>9500</v>
      </c>
      <c r="W15" s="26" t="s">
        <v>69</v>
      </c>
    </row>
    <row r="16" spans="2:23" ht="44.4" customHeight="1" x14ac:dyDescent="0.35">
      <c r="B16" s="172"/>
      <c r="C16" s="172"/>
      <c r="D16" s="172"/>
      <c r="E16" s="172"/>
      <c r="F16" s="172"/>
      <c r="G16" s="172"/>
      <c r="H16" s="185"/>
      <c r="I16" s="185"/>
      <c r="J16" s="172"/>
      <c r="K16" s="172"/>
      <c r="L16" s="56"/>
      <c r="N16" s="15">
        <f t="shared" si="3"/>
        <v>4</v>
      </c>
      <c r="O16" s="169" t="s">
        <v>62</v>
      </c>
      <c r="P16" s="170"/>
      <c r="Q16" s="171"/>
      <c r="R16" s="38"/>
      <c r="S16" s="60">
        <v>1</v>
      </c>
      <c r="T16" s="25"/>
      <c r="U16" s="38">
        <v>1000</v>
      </c>
      <c r="V16" s="38">
        <f t="shared" ref="V16:V17" si="4">U16*S16</f>
        <v>1000</v>
      </c>
      <c r="W16" s="26" t="s">
        <v>80</v>
      </c>
    </row>
    <row r="17" spans="2:23" ht="44.4" customHeight="1" x14ac:dyDescent="0.35">
      <c r="B17" s="172"/>
      <c r="C17" s="172"/>
      <c r="D17" s="185"/>
      <c r="E17" s="185"/>
      <c r="F17" s="185"/>
      <c r="G17" s="185"/>
      <c r="H17" s="185"/>
      <c r="I17" s="185"/>
      <c r="J17" s="172"/>
      <c r="K17" s="172"/>
      <c r="L17" s="56"/>
      <c r="N17" s="15">
        <f t="shared" si="3"/>
        <v>5</v>
      </c>
      <c r="O17" s="169" t="s">
        <v>64</v>
      </c>
      <c r="P17" s="170"/>
      <c r="Q17" s="171"/>
      <c r="R17" s="38"/>
      <c r="S17" s="2">
        <v>1</v>
      </c>
      <c r="T17" s="25"/>
      <c r="U17" s="38">
        <v>2000</v>
      </c>
      <c r="V17" s="38">
        <f t="shared" si="4"/>
        <v>2000</v>
      </c>
      <c r="W17" s="26" t="s">
        <v>80</v>
      </c>
    </row>
    <row r="18" spans="2:23" ht="44.4" customHeight="1" x14ac:dyDescent="0.35">
      <c r="B18" s="172"/>
      <c r="C18" s="172"/>
      <c r="D18" s="172"/>
      <c r="E18" s="172"/>
      <c r="F18" s="172"/>
      <c r="G18" s="172"/>
      <c r="H18" s="185"/>
      <c r="I18" s="185"/>
      <c r="J18" s="172"/>
      <c r="K18" s="172"/>
      <c r="L18" s="56"/>
      <c r="N18" s="15">
        <f t="shared" si="3"/>
        <v>6</v>
      </c>
      <c r="O18" s="188" t="s">
        <v>63</v>
      </c>
      <c r="P18" s="188"/>
      <c r="Q18" s="188"/>
      <c r="R18" s="188"/>
      <c r="S18" s="188"/>
      <c r="T18" s="35"/>
      <c r="U18" s="36"/>
      <c r="V18" s="37">
        <f>SUM(V13:V17)</f>
        <v>34050</v>
      </c>
      <c r="W18" s="2"/>
    </row>
    <row r="19" spans="2:23" ht="44.4" customHeight="1" x14ac:dyDescent="0.4">
      <c r="B19" s="172"/>
      <c r="C19" s="172"/>
      <c r="D19" s="172"/>
      <c r="E19" s="172"/>
      <c r="F19" s="172"/>
      <c r="G19" s="172"/>
      <c r="H19" s="190"/>
      <c r="I19" s="190"/>
      <c r="J19" s="172"/>
      <c r="K19" s="172"/>
      <c r="L19" s="56"/>
      <c r="N19" s="45"/>
      <c r="O19" s="189"/>
      <c r="P19" s="189"/>
      <c r="Q19" s="21"/>
      <c r="R19" s="45"/>
      <c r="S19" s="45"/>
      <c r="T19" s="57"/>
      <c r="U19" s="45"/>
      <c r="V19" s="139">
        <f>V11+V18</f>
        <v>3669368.9643000006</v>
      </c>
    </row>
    <row r="20" spans="2:23" ht="44.4" customHeight="1" x14ac:dyDescent="0.35">
      <c r="B20" s="172"/>
      <c r="C20" s="172"/>
      <c r="D20" s="172"/>
      <c r="E20" s="172"/>
      <c r="F20" s="172"/>
      <c r="G20" s="172"/>
      <c r="H20" s="185">
        <f t="shared" ref="H20" si="5">F20</f>
        <v>0</v>
      </c>
      <c r="I20" s="185"/>
      <c r="J20" s="172"/>
      <c r="K20" s="172"/>
      <c r="L20" s="56"/>
      <c r="N20" s="19"/>
      <c r="O20" s="187"/>
      <c r="P20" s="187"/>
      <c r="Q20" s="48"/>
      <c r="R20" s="46"/>
      <c r="S20" s="46"/>
      <c r="T20" s="50"/>
      <c r="U20" s="46"/>
      <c r="V20" s="50"/>
    </row>
    <row r="21" spans="2:23" ht="44.4" customHeight="1" x14ac:dyDescent="0.35">
      <c r="N21" s="19"/>
      <c r="O21" s="187"/>
      <c r="P21" s="187"/>
      <c r="Q21" s="48"/>
      <c r="R21" s="46"/>
      <c r="S21" s="46"/>
      <c r="T21" s="49"/>
      <c r="U21" s="46"/>
      <c r="V21" s="50"/>
    </row>
    <row r="22" spans="2:23" ht="44.4" customHeight="1" x14ac:dyDescent="0.35">
      <c r="N22" s="19"/>
      <c r="O22" s="187"/>
      <c r="P22" s="187"/>
      <c r="Q22" s="48"/>
      <c r="R22" s="46"/>
      <c r="S22" s="46"/>
      <c r="T22" s="49"/>
      <c r="U22" s="46"/>
      <c r="V22" s="50"/>
    </row>
    <row r="23" spans="2:23" ht="44.4" customHeight="1" x14ac:dyDescent="0.35">
      <c r="N23" s="19"/>
      <c r="O23" s="187"/>
      <c r="P23" s="187"/>
      <c r="Q23" s="48"/>
      <c r="R23" s="46"/>
      <c r="S23" s="46"/>
      <c r="T23" s="49"/>
      <c r="U23" s="46"/>
      <c r="V23" s="50"/>
    </row>
    <row r="24" spans="2:23" ht="44.4" customHeight="1" x14ac:dyDescent="0.35">
      <c r="N24" s="19"/>
      <c r="O24" s="187"/>
      <c r="P24" s="187"/>
      <c r="Q24" s="48"/>
      <c r="R24" s="46"/>
      <c r="S24" s="46"/>
      <c r="T24" s="51"/>
      <c r="U24" s="46"/>
      <c r="V24" s="50"/>
    </row>
    <row r="25" spans="2:23" ht="44.4" customHeight="1" x14ac:dyDescent="0.35">
      <c r="N25" s="19"/>
      <c r="O25" s="187"/>
      <c r="P25" s="187"/>
      <c r="Q25" s="48"/>
      <c r="R25" s="46"/>
      <c r="S25" s="46"/>
      <c r="T25" s="51"/>
      <c r="U25" s="46"/>
      <c r="V25" s="50"/>
    </row>
    <row r="26" spans="2:23" ht="44.4" customHeight="1" x14ac:dyDescent="0.35">
      <c r="N26" s="19"/>
      <c r="O26" s="187"/>
      <c r="P26" s="187"/>
      <c r="Q26" s="48"/>
      <c r="R26" s="46"/>
      <c r="S26" s="46"/>
      <c r="T26" s="51"/>
      <c r="U26" s="46"/>
      <c r="V26" s="50"/>
    </row>
    <row r="27" spans="2:23" ht="44.4" customHeight="1" x14ac:dyDescent="0.35">
      <c r="N27" s="19"/>
      <c r="O27" s="187"/>
      <c r="P27" s="187"/>
      <c r="Q27" s="48"/>
      <c r="R27" s="46"/>
      <c r="S27" s="46"/>
      <c r="T27" s="51"/>
      <c r="U27" s="46"/>
      <c r="V27" s="50"/>
    </row>
    <row r="28" spans="2:23" ht="44.4" customHeight="1" x14ac:dyDescent="0.35">
      <c r="N28" s="19"/>
      <c r="O28" s="187"/>
      <c r="P28" s="187"/>
      <c r="Q28" s="48"/>
      <c r="R28" s="46"/>
      <c r="S28" s="46"/>
      <c r="T28" s="51"/>
      <c r="U28" s="46"/>
      <c r="V28" s="50"/>
    </row>
    <row r="29" spans="2:23" ht="44.4" customHeight="1" x14ac:dyDescent="0.35">
      <c r="N29" s="19"/>
      <c r="O29" s="187"/>
      <c r="P29" s="187"/>
      <c r="Q29" s="48"/>
      <c r="R29" s="46"/>
      <c r="S29" s="46"/>
      <c r="T29" s="51"/>
      <c r="U29" s="46"/>
      <c r="V29" s="50"/>
    </row>
    <row r="30" spans="2:23" ht="44.4" customHeight="1" x14ac:dyDescent="0.35">
      <c r="N30" s="19"/>
      <c r="O30" s="187"/>
      <c r="P30" s="187"/>
      <c r="Q30" s="48"/>
      <c r="R30" s="46"/>
      <c r="S30" s="46"/>
      <c r="T30" s="51"/>
      <c r="U30" s="46"/>
      <c r="V30" s="50"/>
    </row>
    <row r="31" spans="2:23" ht="44.4" customHeight="1" x14ac:dyDescent="0.35">
      <c r="N31" s="19"/>
      <c r="O31" s="187"/>
      <c r="P31" s="187"/>
      <c r="Q31" s="48"/>
      <c r="R31" s="46"/>
      <c r="S31" s="46"/>
      <c r="T31" s="51"/>
      <c r="U31" s="46"/>
      <c r="V31" s="50"/>
    </row>
    <row r="32" spans="2:23" ht="44.4" customHeight="1" x14ac:dyDescent="0.35">
      <c r="N32" s="19"/>
      <c r="O32" s="187"/>
      <c r="P32" s="187"/>
      <c r="Q32" s="48"/>
      <c r="R32" s="46"/>
      <c r="S32" s="46"/>
      <c r="T32" s="51"/>
      <c r="U32" s="46"/>
      <c r="V32" s="50"/>
    </row>
    <row r="33" spans="14:22" ht="44.4" customHeight="1" x14ac:dyDescent="0.35">
      <c r="N33" s="19"/>
      <c r="O33" s="187"/>
      <c r="P33" s="187"/>
      <c r="Q33" s="48"/>
      <c r="R33" s="46"/>
      <c r="S33" s="46"/>
      <c r="T33" s="51"/>
      <c r="U33" s="46"/>
      <c r="V33" s="50"/>
    </row>
    <row r="34" spans="14:22" ht="44.4" customHeight="1" x14ac:dyDescent="0.35">
      <c r="N34" s="19"/>
      <c r="O34" s="187"/>
      <c r="P34" s="187"/>
      <c r="Q34" s="48"/>
      <c r="R34" s="46"/>
      <c r="S34" s="46"/>
      <c r="T34" s="51"/>
      <c r="U34" s="46"/>
      <c r="V34" s="50"/>
    </row>
    <row r="35" spans="14:22" ht="44.4" customHeight="1" x14ac:dyDescent="0.35">
      <c r="N35" s="19"/>
      <c r="O35" s="186"/>
      <c r="P35" s="186"/>
      <c r="Q35" s="186"/>
      <c r="R35" s="186"/>
      <c r="S35" s="186"/>
      <c r="T35" s="53"/>
      <c r="U35" s="46"/>
      <c r="V35" s="50"/>
    </row>
    <row r="36" spans="14:22" x14ac:dyDescent="0.35">
      <c r="O36" s="54"/>
      <c r="P36" s="54"/>
      <c r="Q36" s="54"/>
      <c r="R36" s="54"/>
      <c r="S36" s="54"/>
      <c r="T36" s="54"/>
      <c r="U36" s="54"/>
      <c r="V36" s="54"/>
    </row>
  </sheetData>
  <mergeCells count="80">
    <mergeCell ref="B1:L1"/>
    <mergeCell ref="N1:W1"/>
    <mergeCell ref="B2:F2"/>
    <mergeCell ref="H2:H3"/>
    <mergeCell ref="I2:L2"/>
    <mergeCell ref="O2:Q2"/>
    <mergeCell ref="B3:D10"/>
    <mergeCell ref="O3:Q3"/>
    <mergeCell ref="O4:Q4"/>
    <mergeCell ref="O5:Q5"/>
    <mergeCell ref="O6:Q6"/>
    <mergeCell ref="O7:Q7"/>
    <mergeCell ref="O8:Q8"/>
    <mergeCell ref="I9:I10"/>
    <mergeCell ref="O9:Q9"/>
    <mergeCell ref="O10:Q10"/>
    <mergeCell ref="O13:Q13"/>
    <mergeCell ref="O11:S11"/>
    <mergeCell ref="B12:C12"/>
    <mergeCell ref="D12:E12"/>
    <mergeCell ref="F12:G12"/>
    <mergeCell ref="H12:I12"/>
    <mergeCell ref="J12:K12"/>
    <mergeCell ref="O12:Q12"/>
    <mergeCell ref="B13:C13"/>
    <mergeCell ref="D13:E13"/>
    <mergeCell ref="F13:G13"/>
    <mergeCell ref="H13:I13"/>
    <mergeCell ref="J13:K13"/>
    <mergeCell ref="O15:Q15"/>
    <mergeCell ref="B14:C14"/>
    <mergeCell ref="D14:E14"/>
    <mergeCell ref="F14:G14"/>
    <mergeCell ref="H14:I14"/>
    <mergeCell ref="J14:K14"/>
    <mergeCell ref="O14:Q14"/>
    <mergeCell ref="B15:C15"/>
    <mergeCell ref="D15:E15"/>
    <mergeCell ref="F15:G15"/>
    <mergeCell ref="H15:I15"/>
    <mergeCell ref="J15:K15"/>
    <mergeCell ref="B16:G16"/>
    <mergeCell ref="H16:I16"/>
    <mergeCell ref="J16:K16"/>
    <mergeCell ref="O16:Q16"/>
    <mergeCell ref="B17:C17"/>
    <mergeCell ref="D17:E17"/>
    <mergeCell ref="F17:G17"/>
    <mergeCell ref="H17:I17"/>
    <mergeCell ref="J17:K17"/>
    <mergeCell ref="O17:Q17"/>
    <mergeCell ref="B18:G18"/>
    <mergeCell ref="H18:I18"/>
    <mergeCell ref="J18:K18"/>
    <mergeCell ref="O18:S18"/>
    <mergeCell ref="B19:G19"/>
    <mergeCell ref="H19:I19"/>
    <mergeCell ref="J19:K19"/>
    <mergeCell ref="O19:P19"/>
    <mergeCell ref="O26:P26"/>
    <mergeCell ref="B20:C20"/>
    <mergeCell ref="D20:E20"/>
    <mergeCell ref="F20:G20"/>
    <mergeCell ref="H20:I20"/>
    <mergeCell ref="J20:K20"/>
    <mergeCell ref="O20:P20"/>
    <mergeCell ref="O21:P21"/>
    <mergeCell ref="O22:P22"/>
    <mergeCell ref="O23:P23"/>
    <mergeCell ref="O24:P24"/>
    <mergeCell ref="O25:P25"/>
    <mergeCell ref="O33:P33"/>
    <mergeCell ref="O34:P34"/>
    <mergeCell ref="O35:S35"/>
    <mergeCell ref="O27:P27"/>
    <mergeCell ref="O28:P28"/>
    <mergeCell ref="O29:P29"/>
    <mergeCell ref="O30:P30"/>
    <mergeCell ref="O31:P31"/>
    <mergeCell ref="O32:P3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W29"/>
  <sheetViews>
    <sheetView zoomScale="40" zoomScaleNormal="40" workbookViewId="0">
      <selection activeCell="I24" sqref="I24:I25"/>
    </sheetView>
  </sheetViews>
  <sheetFormatPr defaultColWidth="18.6640625" defaultRowHeight="37.950000000000003" customHeight="1" x14ac:dyDescent="0.35"/>
  <cols>
    <col min="1" max="7" width="18.6640625" style="1"/>
    <col min="8" max="8" width="9.21875" style="1" customWidth="1"/>
    <col min="9" max="12" width="18.6640625" style="1"/>
    <col min="13" max="13" width="8.21875" style="1" customWidth="1"/>
    <col min="14" max="14" width="9.6640625" style="1" customWidth="1"/>
    <col min="15" max="22" width="18.6640625" style="1"/>
    <col min="23" max="23" width="39.6640625" style="43" customWidth="1"/>
    <col min="24" max="16384" width="18.6640625" style="1"/>
  </cols>
  <sheetData>
    <row r="1" spans="2:23" ht="37.950000000000003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58.95" customHeight="1" x14ac:dyDescent="0.35">
      <c r="B2" s="175"/>
      <c r="C2" s="175"/>
      <c r="D2" s="175"/>
      <c r="E2" s="175"/>
      <c r="F2" s="175"/>
      <c r="G2" s="8"/>
      <c r="H2" s="176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7.950000000000003" customHeight="1" x14ac:dyDescent="0.35">
      <c r="B3" s="191"/>
      <c r="C3" s="191"/>
      <c r="D3" s="191"/>
      <c r="E3" s="3" t="s">
        <v>0</v>
      </c>
      <c r="F3" s="3" t="s">
        <v>1</v>
      </c>
      <c r="G3" s="3" t="s">
        <v>2</v>
      </c>
      <c r="H3" s="176"/>
      <c r="I3" s="9" t="s">
        <v>4</v>
      </c>
      <c r="J3" s="9" t="s">
        <v>3</v>
      </c>
      <c r="K3" s="9" t="s">
        <v>5</v>
      </c>
      <c r="L3" s="9" t="s">
        <v>2</v>
      </c>
      <c r="N3" s="15">
        <v>1</v>
      </c>
      <c r="O3" s="169" t="s">
        <v>47</v>
      </c>
      <c r="P3" s="170"/>
      <c r="Q3" s="170"/>
      <c r="R3" s="34">
        <f>K4*L4+K5*L5</f>
        <v>5800</v>
      </c>
      <c r="S3" s="90">
        <v>1.621</v>
      </c>
      <c r="T3" s="32">
        <f>S3*R3</f>
        <v>9401.7999999999993</v>
      </c>
      <c r="U3" s="34">
        <v>178000</v>
      </c>
      <c r="V3" s="31">
        <f>U3*T3/1000</f>
        <v>1673520.3999999997</v>
      </c>
      <c r="W3" s="213"/>
    </row>
    <row r="4" spans="2:23" ht="37.950000000000003" customHeight="1" x14ac:dyDescent="0.35">
      <c r="B4" s="191"/>
      <c r="C4" s="191"/>
      <c r="D4" s="191"/>
      <c r="E4" s="3">
        <v>1800</v>
      </c>
      <c r="F4" s="3">
        <v>2000</v>
      </c>
      <c r="G4" s="3">
        <v>1</v>
      </c>
      <c r="H4" s="3">
        <v>1</v>
      </c>
      <c r="I4" s="3" t="s">
        <v>10</v>
      </c>
      <c r="J4" s="6">
        <v>8301</v>
      </c>
      <c r="K4" s="3">
        <f>E4</f>
        <v>1800</v>
      </c>
      <c r="L4" s="3">
        <f>G4*1</f>
        <v>1</v>
      </c>
      <c r="N4" s="15">
        <f>N3+1</f>
        <v>2</v>
      </c>
      <c r="O4" s="169" t="s">
        <v>48</v>
      </c>
      <c r="P4" s="170"/>
      <c r="Q4" s="170"/>
      <c r="R4" s="34">
        <f>K6*L6+K7*L7</f>
        <v>11282</v>
      </c>
      <c r="S4" s="90">
        <v>1.6040000000000001</v>
      </c>
      <c r="T4" s="32">
        <f t="shared" ref="T4:T7" si="0">S4*R4</f>
        <v>18096.328000000001</v>
      </c>
      <c r="U4" s="34">
        <v>178000</v>
      </c>
      <c r="V4" s="31">
        <f t="shared" ref="V4:V7" si="1">U4*T4/1000</f>
        <v>3221146.3840000001</v>
      </c>
      <c r="W4" s="214"/>
    </row>
    <row r="5" spans="2:23" ht="37.950000000000003" customHeight="1" x14ac:dyDescent="0.35">
      <c r="B5" s="191"/>
      <c r="C5" s="191"/>
      <c r="D5" s="191"/>
      <c r="E5" s="41" t="s">
        <v>164</v>
      </c>
      <c r="F5" s="41" t="s">
        <v>40</v>
      </c>
      <c r="G5" s="41" t="s">
        <v>98</v>
      </c>
      <c r="H5" s="3">
        <f>H4+1</f>
        <v>2</v>
      </c>
      <c r="I5" s="3" t="s">
        <v>11</v>
      </c>
      <c r="J5" s="6">
        <v>8301</v>
      </c>
      <c r="K5" s="3">
        <f>F4</f>
        <v>2000</v>
      </c>
      <c r="L5" s="3">
        <f>G4*2</f>
        <v>2</v>
      </c>
      <c r="N5" s="15">
        <f t="shared" ref="N5:N11" si="2">N4+1</f>
        <v>3</v>
      </c>
      <c r="O5" s="169" t="s">
        <v>49</v>
      </c>
      <c r="P5" s="170"/>
      <c r="Q5" s="170"/>
      <c r="R5" s="34">
        <f>R4</f>
        <v>11282</v>
      </c>
      <c r="S5" s="90">
        <v>0.27900000000000003</v>
      </c>
      <c r="T5" s="32">
        <f t="shared" si="0"/>
        <v>3147.6780000000003</v>
      </c>
      <c r="U5" s="34">
        <v>178000</v>
      </c>
      <c r="V5" s="31">
        <f t="shared" si="1"/>
        <v>560286.68400000012</v>
      </c>
      <c r="W5" s="214"/>
    </row>
    <row r="6" spans="2:23" ht="37.950000000000003" customHeight="1" x14ac:dyDescent="0.35">
      <c r="B6" s="191"/>
      <c r="C6" s="191"/>
      <c r="D6" s="191"/>
      <c r="E6" s="146">
        <f>G6+T8</f>
        <v>34806.818549999996</v>
      </c>
      <c r="F6" s="17">
        <f>F4*E4/1000</f>
        <v>3600</v>
      </c>
      <c r="G6" s="93">
        <f>SUM(T3:T7)</f>
        <v>33149.350999999995</v>
      </c>
      <c r="H6" s="3">
        <f t="shared" ref="H6:H11" si="3">H5+1</f>
        <v>3</v>
      </c>
      <c r="I6" s="3" t="s">
        <v>17</v>
      </c>
      <c r="J6" s="6" t="s">
        <v>121</v>
      </c>
      <c r="K6" s="114">
        <f>(E4-73)/2</f>
        <v>863.5</v>
      </c>
      <c r="L6" s="3">
        <f>G4*4</f>
        <v>4</v>
      </c>
      <c r="N6" s="15">
        <f t="shared" si="2"/>
        <v>4</v>
      </c>
      <c r="O6" s="169" t="s">
        <v>50</v>
      </c>
      <c r="P6" s="170"/>
      <c r="Q6" s="170"/>
      <c r="R6" s="34">
        <f>K9*L9</f>
        <v>1605</v>
      </c>
      <c r="S6" s="90">
        <v>0.42099999999999999</v>
      </c>
      <c r="T6" s="32">
        <f t="shared" si="0"/>
        <v>675.70499999999993</v>
      </c>
      <c r="U6" s="34">
        <v>178000</v>
      </c>
      <c r="V6" s="31">
        <f t="shared" si="1"/>
        <v>120275.48999999999</v>
      </c>
      <c r="W6" s="214"/>
    </row>
    <row r="7" spans="2:23" ht="37.950000000000003" customHeight="1" x14ac:dyDescent="0.35">
      <c r="B7" s="191"/>
      <c r="C7" s="191"/>
      <c r="D7" s="191"/>
      <c r="E7" s="3"/>
      <c r="F7" s="41" t="s">
        <v>36</v>
      </c>
      <c r="G7" s="41" t="s">
        <v>43</v>
      </c>
      <c r="H7" s="3">
        <f t="shared" si="3"/>
        <v>4</v>
      </c>
      <c r="I7" s="3" t="s">
        <v>18</v>
      </c>
      <c r="J7" s="6" t="s">
        <v>121</v>
      </c>
      <c r="K7" s="17">
        <f>IF(AND(F9="X",G9=""),K5-F8,0)+IF(AND(G9="X",F9=""),K5-G8,0)</f>
        <v>1957</v>
      </c>
      <c r="L7" s="3">
        <f>G4*4</f>
        <v>4</v>
      </c>
      <c r="N7" s="15">
        <f t="shared" si="2"/>
        <v>5</v>
      </c>
      <c r="O7" s="169" t="s">
        <v>65</v>
      </c>
      <c r="P7" s="170"/>
      <c r="Q7" s="171"/>
      <c r="R7" s="34">
        <f>K8*L8</f>
        <v>1904</v>
      </c>
      <c r="S7" s="100">
        <v>0.96</v>
      </c>
      <c r="T7" s="32">
        <f t="shared" si="0"/>
        <v>1827.84</v>
      </c>
      <c r="U7" s="34">
        <v>178000</v>
      </c>
      <c r="V7" s="31">
        <f t="shared" si="1"/>
        <v>325355.52000000002</v>
      </c>
      <c r="W7" s="215"/>
    </row>
    <row r="8" spans="2:23" ht="37.950000000000003" customHeight="1" x14ac:dyDescent="0.35">
      <c r="B8" s="191"/>
      <c r="C8" s="191"/>
      <c r="D8" s="191"/>
      <c r="E8" s="3"/>
      <c r="F8" s="3">
        <v>43</v>
      </c>
      <c r="G8" s="3">
        <v>23</v>
      </c>
      <c r="H8" s="3">
        <f t="shared" si="3"/>
        <v>5</v>
      </c>
      <c r="I8" s="3" t="s">
        <v>16</v>
      </c>
      <c r="J8" s="6">
        <v>8306</v>
      </c>
      <c r="K8" s="116">
        <f>IF(G9="x",ROUNDDOWN(K7-30-4,0),ROUNDDOWN(K7-34-19,0))</f>
        <v>1904</v>
      </c>
      <c r="L8" s="3">
        <f>G4</f>
        <v>1</v>
      </c>
      <c r="N8" s="15">
        <f t="shared" si="2"/>
        <v>6</v>
      </c>
      <c r="O8" s="169" t="s">
        <v>72</v>
      </c>
      <c r="P8" s="170"/>
      <c r="Q8" s="171"/>
      <c r="R8" s="34"/>
      <c r="S8" s="29"/>
      <c r="T8" s="145">
        <f>SUM(T3:T7)*U8</f>
        <v>1657.4675499999998</v>
      </c>
      <c r="U8" s="55">
        <v>0.05</v>
      </c>
      <c r="V8" s="34">
        <f>SUM(V3:V7)*U8</f>
        <v>295029.22390000004</v>
      </c>
      <c r="W8" s="42"/>
    </row>
    <row r="9" spans="2:23" ht="37.950000000000003" customHeight="1" x14ac:dyDescent="0.35">
      <c r="B9" s="191"/>
      <c r="C9" s="191"/>
      <c r="D9" s="191"/>
      <c r="E9" s="3"/>
      <c r="F9" s="3" t="s">
        <v>37</v>
      </c>
      <c r="G9" s="3"/>
      <c r="H9" s="3">
        <f t="shared" si="3"/>
        <v>6</v>
      </c>
      <c r="I9" s="3" t="s">
        <v>31</v>
      </c>
      <c r="J9" s="6">
        <v>8309</v>
      </c>
      <c r="K9" s="116">
        <f>K6-61</f>
        <v>802.5</v>
      </c>
      <c r="L9" s="3">
        <f>G4*2</f>
        <v>2</v>
      </c>
      <c r="N9" s="15">
        <f t="shared" si="2"/>
        <v>7</v>
      </c>
      <c r="O9" s="169" t="s">
        <v>120</v>
      </c>
      <c r="P9" s="170"/>
      <c r="Q9" s="170"/>
      <c r="R9" s="29"/>
      <c r="S9" s="29"/>
      <c r="T9" s="33">
        <v>2</v>
      </c>
      <c r="U9" s="44">
        <v>25000</v>
      </c>
      <c r="V9" s="31">
        <f t="shared" ref="V9:V11" si="4">U9*T9</f>
        <v>50000</v>
      </c>
      <c r="W9" s="26"/>
    </row>
    <row r="10" spans="2:23" ht="37.950000000000003" customHeight="1" x14ac:dyDescent="0.35">
      <c r="B10" s="191"/>
      <c r="C10" s="191"/>
      <c r="D10" s="191"/>
      <c r="E10" s="3"/>
      <c r="F10" s="3"/>
      <c r="G10" s="3"/>
      <c r="H10" s="3">
        <f t="shared" si="3"/>
        <v>7</v>
      </c>
      <c r="I10" s="176" t="s">
        <v>15</v>
      </c>
      <c r="J10" s="3" t="s">
        <v>6</v>
      </c>
      <c r="K10" s="3" t="s">
        <v>7</v>
      </c>
      <c r="L10" s="5" t="s">
        <v>2</v>
      </c>
      <c r="N10" s="15">
        <f t="shared" si="2"/>
        <v>8</v>
      </c>
      <c r="O10" s="169" t="s">
        <v>163</v>
      </c>
      <c r="P10" s="170"/>
      <c r="Q10" s="170"/>
      <c r="R10" s="29"/>
      <c r="S10" s="29"/>
      <c r="T10" s="33">
        <v>8</v>
      </c>
      <c r="U10" s="44">
        <v>18000</v>
      </c>
      <c r="V10" s="31">
        <f t="shared" si="4"/>
        <v>144000</v>
      </c>
      <c r="W10" s="26"/>
    </row>
    <row r="11" spans="2:23" ht="37.950000000000003" customHeight="1" x14ac:dyDescent="0.35">
      <c r="B11" s="191"/>
      <c r="C11" s="191"/>
      <c r="D11" s="191"/>
      <c r="E11" s="3"/>
      <c r="F11" s="3"/>
      <c r="G11" s="3"/>
      <c r="H11" s="3">
        <f t="shared" si="3"/>
        <v>8</v>
      </c>
      <c r="I11" s="176"/>
      <c r="J11" s="114">
        <f>K6-172</f>
        <v>691.5</v>
      </c>
      <c r="K11" s="17">
        <f>K7-172</f>
        <v>1785</v>
      </c>
      <c r="L11" s="17">
        <f>G4*2</f>
        <v>2</v>
      </c>
      <c r="N11" s="15">
        <f t="shared" si="2"/>
        <v>9</v>
      </c>
      <c r="O11" s="169" t="s">
        <v>55</v>
      </c>
      <c r="P11" s="170"/>
      <c r="Q11" s="170"/>
      <c r="R11" s="29"/>
      <c r="S11" s="29"/>
      <c r="T11" s="33">
        <f>T10*2+T9</f>
        <v>18</v>
      </c>
      <c r="U11" s="34">
        <v>1600</v>
      </c>
      <c r="V11" s="31">
        <f t="shared" si="4"/>
        <v>28800</v>
      </c>
      <c r="W11" s="26"/>
    </row>
    <row r="12" spans="2:23" ht="37.950000000000003" customHeight="1" x14ac:dyDescent="0.35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N12" s="15">
        <f>N11+1</f>
        <v>10</v>
      </c>
      <c r="O12" s="182" t="s">
        <v>59</v>
      </c>
      <c r="P12" s="183"/>
      <c r="Q12" s="183"/>
      <c r="R12" s="183"/>
      <c r="S12" s="184"/>
      <c r="T12" s="35"/>
      <c r="U12" s="36"/>
      <c r="V12" s="92">
        <f>SUM(V3:V11)</f>
        <v>6418413.7018999998</v>
      </c>
      <c r="W12" s="26"/>
    </row>
    <row r="13" spans="2:23" ht="37.950000000000003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54"/>
      <c r="N13" s="24" t="s">
        <v>14</v>
      </c>
      <c r="O13" s="174" t="s">
        <v>45</v>
      </c>
      <c r="P13" s="174"/>
      <c r="Q13" s="174"/>
      <c r="R13" s="24" t="s">
        <v>46</v>
      </c>
      <c r="S13" s="30" t="s">
        <v>52</v>
      </c>
      <c r="T13" s="30"/>
      <c r="U13" s="24" t="s">
        <v>38</v>
      </c>
      <c r="V13" s="24" t="s">
        <v>39</v>
      </c>
      <c r="W13" s="26"/>
    </row>
    <row r="14" spans="2:23" ht="37.950000000000003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L14" s="54"/>
      <c r="N14" s="15">
        <v>1</v>
      </c>
      <c r="O14" s="169" t="s">
        <v>60</v>
      </c>
      <c r="P14" s="170"/>
      <c r="Q14" s="170"/>
      <c r="R14" s="38">
        <f>R3+R4+R7</f>
        <v>18986</v>
      </c>
      <c r="S14" s="2">
        <v>1</v>
      </c>
      <c r="T14" s="39"/>
      <c r="U14" s="38">
        <v>1000</v>
      </c>
      <c r="V14" s="38">
        <f>U14*R14*S14/1000</f>
        <v>18986</v>
      </c>
      <c r="W14" s="26"/>
    </row>
    <row r="15" spans="2:23" ht="37.950000000000003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L15" s="54"/>
      <c r="N15" s="15">
        <f>N14+1</f>
        <v>2</v>
      </c>
      <c r="O15" s="169" t="s">
        <v>41</v>
      </c>
      <c r="P15" s="170"/>
      <c r="Q15" s="170"/>
      <c r="R15" s="38">
        <f>R4*2</f>
        <v>22564</v>
      </c>
      <c r="S15" s="2">
        <v>1</v>
      </c>
      <c r="T15" s="39"/>
      <c r="U15" s="38">
        <v>1000</v>
      </c>
      <c r="V15" s="38">
        <f>U15*R15*S15/1000</f>
        <v>22564</v>
      </c>
      <c r="W15" s="26"/>
    </row>
    <row r="16" spans="2:23" ht="37.950000000000003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L16" s="54"/>
      <c r="N16" s="15">
        <f t="shared" ref="N16:N20" si="5">N15+1</f>
        <v>3</v>
      </c>
      <c r="O16" s="169" t="s">
        <v>61</v>
      </c>
      <c r="P16" s="170"/>
      <c r="Q16" s="170"/>
      <c r="R16" s="38"/>
      <c r="S16" s="2">
        <v>2</v>
      </c>
      <c r="T16" s="39"/>
      <c r="U16" s="38">
        <v>9500</v>
      </c>
      <c r="V16" s="38">
        <f>U16*S16</f>
        <v>19000</v>
      </c>
      <c r="W16" s="26" t="s">
        <v>69</v>
      </c>
    </row>
    <row r="17" spans="2:23" ht="37.950000000000003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L17" s="54"/>
      <c r="N17" s="15">
        <f t="shared" si="5"/>
        <v>4</v>
      </c>
      <c r="O17" s="169" t="s">
        <v>66</v>
      </c>
      <c r="P17" s="170"/>
      <c r="Q17" s="170"/>
      <c r="R17" s="38"/>
      <c r="S17" s="2">
        <v>1</v>
      </c>
      <c r="T17" s="39"/>
      <c r="U17" s="38">
        <v>10000</v>
      </c>
      <c r="V17" s="38">
        <f>U17*S17</f>
        <v>10000</v>
      </c>
      <c r="W17" s="26" t="s">
        <v>70</v>
      </c>
    </row>
    <row r="18" spans="2:23" ht="37.950000000000003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L18" s="54"/>
      <c r="N18" s="15">
        <f t="shared" si="5"/>
        <v>5</v>
      </c>
      <c r="O18" s="169" t="s">
        <v>62</v>
      </c>
      <c r="P18" s="170"/>
      <c r="Q18" s="171"/>
      <c r="R18" s="38"/>
      <c r="S18" s="60">
        <v>1</v>
      </c>
      <c r="T18" s="39"/>
      <c r="U18" s="38">
        <v>1000</v>
      </c>
      <c r="V18" s="38">
        <f t="shared" ref="V18:V19" si="6">U18*S18</f>
        <v>1000</v>
      </c>
      <c r="W18" s="26"/>
    </row>
    <row r="19" spans="2:23" ht="37.950000000000003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L19" s="54"/>
      <c r="N19" s="15">
        <f t="shared" si="5"/>
        <v>6</v>
      </c>
      <c r="O19" s="169" t="s">
        <v>64</v>
      </c>
      <c r="P19" s="170"/>
      <c r="Q19" s="171"/>
      <c r="R19" s="38"/>
      <c r="S19" s="2">
        <v>1</v>
      </c>
      <c r="T19" s="39"/>
      <c r="U19" s="38">
        <v>2000</v>
      </c>
      <c r="V19" s="38">
        <f t="shared" si="6"/>
        <v>2000</v>
      </c>
      <c r="W19" s="26" t="s">
        <v>71</v>
      </c>
    </row>
    <row r="20" spans="2:23" ht="37.950000000000003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L20" s="54"/>
      <c r="N20" s="15">
        <f t="shared" si="5"/>
        <v>7</v>
      </c>
      <c r="O20" s="188" t="s">
        <v>63</v>
      </c>
      <c r="P20" s="188"/>
      <c r="Q20" s="188"/>
      <c r="R20" s="188"/>
      <c r="S20" s="188"/>
      <c r="T20" s="35"/>
      <c r="U20" s="36"/>
      <c r="V20" s="37">
        <f>SUM(V14:V19)</f>
        <v>73550</v>
      </c>
      <c r="W20" s="26"/>
    </row>
    <row r="21" spans="2:23" ht="37.950000000000003" customHeight="1" x14ac:dyDescent="0.4">
      <c r="B21" s="172"/>
      <c r="C21" s="172"/>
      <c r="D21" s="172"/>
      <c r="E21" s="172"/>
      <c r="F21" s="172"/>
      <c r="G21" s="172"/>
      <c r="H21" s="185"/>
      <c r="I21" s="185"/>
      <c r="J21" s="172"/>
      <c r="K21" s="172"/>
      <c r="L21" s="54"/>
      <c r="N21" s="40"/>
      <c r="O21" s="181"/>
      <c r="P21" s="181"/>
      <c r="Q21" s="58"/>
      <c r="R21" s="40"/>
      <c r="S21" s="40"/>
      <c r="T21" s="59"/>
      <c r="U21" s="40"/>
      <c r="V21" s="139">
        <f>V12+V20</f>
        <v>6491963.7018999998</v>
      </c>
      <c r="W21" s="47"/>
    </row>
    <row r="22" spans="2:23" ht="37.950000000000003" customHeight="1" x14ac:dyDescent="0.35">
      <c r="N22" s="52"/>
      <c r="O22" s="187"/>
      <c r="P22" s="187"/>
      <c r="Q22" s="48"/>
      <c r="R22" s="46"/>
      <c r="S22" s="46"/>
      <c r="T22" s="49"/>
      <c r="U22" s="46"/>
      <c r="V22" s="50"/>
      <c r="W22" s="47"/>
    </row>
    <row r="23" spans="2:23" ht="37.950000000000003" customHeight="1" x14ac:dyDescent="0.35">
      <c r="N23" s="52"/>
      <c r="O23" s="187"/>
      <c r="P23" s="187"/>
      <c r="Q23" s="48"/>
      <c r="R23" s="46"/>
      <c r="S23" s="46"/>
      <c r="T23" s="49"/>
      <c r="U23" s="46"/>
      <c r="V23" s="50"/>
      <c r="W23" s="47"/>
    </row>
    <row r="24" spans="2:23" ht="37.950000000000003" customHeight="1" x14ac:dyDescent="0.35">
      <c r="N24" s="52"/>
      <c r="O24" s="187"/>
      <c r="P24" s="187"/>
      <c r="Q24" s="48"/>
      <c r="R24" s="46"/>
      <c r="S24" s="46"/>
      <c r="T24" s="49"/>
      <c r="U24" s="46"/>
      <c r="V24" s="50"/>
      <c r="W24" s="47"/>
    </row>
    <row r="25" spans="2:23" ht="37.950000000000003" customHeight="1" x14ac:dyDescent="0.35">
      <c r="N25" s="52"/>
      <c r="O25" s="187"/>
      <c r="P25" s="187"/>
      <c r="Q25" s="48"/>
      <c r="R25" s="46"/>
      <c r="S25" s="46"/>
      <c r="T25" s="49"/>
      <c r="U25" s="46"/>
      <c r="V25" s="50"/>
      <c r="W25" s="47"/>
    </row>
    <row r="26" spans="2:23" ht="37.950000000000003" customHeight="1" x14ac:dyDescent="0.35">
      <c r="N26" s="52"/>
      <c r="O26" s="187"/>
      <c r="P26" s="187"/>
      <c r="Q26" s="48"/>
      <c r="R26" s="46"/>
      <c r="S26" s="46"/>
      <c r="T26" s="51"/>
      <c r="U26" s="46"/>
      <c r="V26" s="50"/>
      <c r="W26" s="47"/>
    </row>
    <row r="27" spans="2:23" ht="37.950000000000003" customHeight="1" x14ac:dyDescent="0.35">
      <c r="N27" s="52"/>
      <c r="O27" s="187"/>
      <c r="P27" s="187"/>
      <c r="Q27" s="48"/>
      <c r="R27" s="46"/>
      <c r="S27" s="46"/>
      <c r="T27" s="51"/>
      <c r="U27" s="46"/>
      <c r="V27" s="50"/>
      <c r="W27" s="47"/>
    </row>
    <row r="28" spans="2:23" ht="37.950000000000003" customHeight="1" x14ac:dyDescent="0.35">
      <c r="N28" s="52"/>
      <c r="O28" s="187"/>
      <c r="P28" s="187"/>
      <c r="Q28" s="48"/>
      <c r="R28" s="46"/>
      <c r="S28" s="46"/>
      <c r="T28" s="51"/>
      <c r="U28" s="46"/>
      <c r="V28" s="50"/>
      <c r="W28" s="47"/>
    </row>
    <row r="29" spans="2:23" ht="37.950000000000003" customHeight="1" x14ac:dyDescent="0.35">
      <c r="N29" s="52"/>
      <c r="O29" s="186"/>
      <c r="P29" s="186"/>
      <c r="Q29" s="186"/>
      <c r="R29" s="186"/>
      <c r="S29" s="186"/>
      <c r="T29" s="53"/>
      <c r="U29" s="46"/>
      <c r="V29" s="50"/>
      <c r="W29" s="47"/>
    </row>
  </sheetData>
  <mergeCells count="75">
    <mergeCell ref="O9:Q9"/>
    <mergeCell ref="B1:L1"/>
    <mergeCell ref="N1:W1"/>
    <mergeCell ref="B2:F2"/>
    <mergeCell ref="H2:H3"/>
    <mergeCell ref="I2:L2"/>
    <mergeCell ref="O2:Q2"/>
    <mergeCell ref="B3:D11"/>
    <mergeCell ref="O3:Q3"/>
    <mergeCell ref="W3:W7"/>
    <mergeCell ref="O4:Q4"/>
    <mergeCell ref="O5:Q5"/>
    <mergeCell ref="O6:Q6"/>
    <mergeCell ref="O7:Q7"/>
    <mergeCell ref="O8:Q8"/>
    <mergeCell ref="B13:C13"/>
    <mergeCell ref="D13:E13"/>
    <mergeCell ref="F13:G13"/>
    <mergeCell ref="H13:I13"/>
    <mergeCell ref="J13:K13"/>
    <mergeCell ref="O14:Q14"/>
    <mergeCell ref="I10:I11"/>
    <mergeCell ref="O10:Q10"/>
    <mergeCell ref="O11:Q11"/>
    <mergeCell ref="O12:S12"/>
    <mergeCell ref="O13:Q13"/>
    <mergeCell ref="B14:C14"/>
    <mergeCell ref="D14:E14"/>
    <mergeCell ref="F14:G14"/>
    <mergeCell ref="H14:I14"/>
    <mergeCell ref="J14:K14"/>
    <mergeCell ref="O16:Q16"/>
    <mergeCell ref="B15:C15"/>
    <mergeCell ref="D15:E15"/>
    <mergeCell ref="F15:G15"/>
    <mergeCell ref="H15:I15"/>
    <mergeCell ref="J15:K15"/>
    <mergeCell ref="O15:Q15"/>
    <mergeCell ref="B16:C16"/>
    <mergeCell ref="D16:E16"/>
    <mergeCell ref="F16:G16"/>
    <mergeCell ref="H16:I16"/>
    <mergeCell ref="J16:K16"/>
    <mergeCell ref="B17:G17"/>
    <mergeCell ref="H17:I17"/>
    <mergeCell ref="J17:K17"/>
    <mergeCell ref="O17:Q17"/>
    <mergeCell ref="B18:C18"/>
    <mergeCell ref="D18:E18"/>
    <mergeCell ref="F18:G18"/>
    <mergeCell ref="H18:I18"/>
    <mergeCell ref="J18:K18"/>
    <mergeCell ref="O18:Q18"/>
    <mergeCell ref="O21:P21"/>
    <mergeCell ref="B19:G19"/>
    <mergeCell ref="H19:I19"/>
    <mergeCell ref="J19:K19"/>
    <mergeCell ref="O19:Q19"/>
    <mergeCell ref="B20:G20"/>
    <mergeCell ref="H20:I20"/>
    <mergeCell ref="J20:K20"/>
    <mergeCell ref="O20:S20"/>
    <mergeCell ref="B21:C21"/>
    <mergeCell ref="D21:E21"/>
    <mergeCell ref="F21:G21"/>
    <mergeCell ref="H21:I21"/>
    <mergeCell ref="J21:K21"/>
    <mergeCell ref="O28:P28"/>
    <mergeCell ref="O29:S29"/>
    <mergeCell ref="O22:P22"/>
    <mergeCell ref="O23:P23"/>
    <mergeCell ref="O24:P24"/>
    <mergeCell ref="O25:P25"/>
    <mergeCell ref="O26:P26"/>
    <mergeCell ref="O27:P2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W37"/>
  <sheetViews>
    <sheetView topLeftCell="C1" zoomScale="46" zoomScaleNormal="46" workbookViewId="0">
      <selection activeCell="T9" sqref="T9"/>
    </sheetView>
  </sheetViews>
  <sheetFormatPr defaultColWidth="17.109375" defaultRowHeight="39.6" customHeight="1" x14ac:dyDescent="0.35"/>
  <cols>
    <col min="1" max="12" width="17.109375" style="1"/>
    <col min="13" max="13" width="5.5546875" style="1" customWidth="1"/>
    <col min="14" max="14" width="12" style="1" customWidth="1"/>
    <col min="15" max="21" width="17.109375" style="1"/>
    <col min="22" max="22" width="19.21875" style="1" customWidth="1"/>
    <col min="23" max="23" width="34.21875" style="1" customWidth="1"/>
    <col min="24" max="16384" width="17.109375" style="1"/>
  </cols>
  <sheetData>
    <row r="1" spans="2:23" ht="39.6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39.6" customHeight="1" x14ac:dyDescent="0.35">
      <c r="B2" s="175"/>
      <c r="C2" s="175"/>
      <c r="D2" s="175"/>
      <c r="E2" s="175"/>
      <c r="F2" s="175"/>
      <c r="G2" s="8"/>
      <c r="H2" s="176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9.6" customHeight="1" x14ac:dyDescent="0.35">
      <c r="B3" s="191"/>
      <c r="C3" s="191"/>
      <c r="D3" s="191"/>
      <c r="E3" s="3" t="s">
        <v>0</v>
      </c>
      <c r="F3" s="3" t="s">
        <v>1</v>
      </c>
      <c r="G3" s="3" t="s">
        <v>2</v>
      </c>
      <c r="H3" s="176"/>
      <c r="I3" s="9" t="s">
        <v>4</v>
      </c>
      <c r="J3" s="9" t="s">
        <v>3</v>
      </c>
      <c r="K3" s="9" t="s">
        <v>5</v>
      </c>
      <c r="L3" s="9" t="s">
        <v>2</v>
      </c>
      <c r="N3" s="15">
        <v>1</v>
      </c>
      <c r="O3" s="169" t="s">
        <v>47</v>
      </c>
      <c r="P3" s="170"/>
      <c r="Q3" s="170"/>
      <c r="R3" s="34">
        <f>K4*L4+K5*L5</f>
        <v>7600</v>
      </c>
      <c r="S3" s="90">
        <v>1.621</v>
      </c>
      <c r="T3" s="32">
        <f>S3*R3</f>
        <v>12319.6</v>
      </c>
      <c r="U3" s="34">
        <v>178000</v>
      </c>
      <c r="V3" s="31">
        <f>U3*T3/1000</f>
        <v>2192888.7999999998</v>
      </c>
      <c r="W3" s="86"/>
    </row>
    <row r="4" spans="2:23" ht="39.6" customHeight="1" x14ac:dyDescent="0.35">
      <c r="B4" s="191"/>
      <c r="C4" s="191"/>
      <c r="D4" s="191"/>
      <c r="E4" s="3">
        <v>3600</v>
      </c>
      <c r="F4" s="3">
        <v>2000</v>
      </c>
      <c r="G4" s="3">
        <v>1</v>
      </c>
      <c r="H4" s="6">
        <v>1</v>
      </c>
      <c r="I4" s="3" t="s">
        <v>10</v>
      </c>
      <c r="J4" s="6">
        <v>8301</v>
      </c>
      <c r="K4" s="3">
        <f>E4</f>
        <v>3600</v>
      </c>
      <c r="L4" s="3">
        <f>G4*1</f>
        <v>1</v>
      </c>
      <c r="N4" s="15">
        <f>N3+1</f>
        <v>2</v>
      </c>
      <c r="O4" s="169" t="s">
        <v>48</v>
      </c>
      <c r="P4" s="170"/>
      <c r="Q4" s="170"/>
      <c r="R4" s="34">
        <f>K6*L6+K7*L7</f>
        <v>22682</v>
      </c>
      <c r="S4" s="90">
        <v>1.6040000000000001</v>
      </c>
      <c r="T4" s="32">
        <f t="shared" ref="T4:T7" si="0">S4*R4</f>
        <v>36381.928</v>
      </c>
      <c r="U4" s="34">
        <v>178000</v>
      </c>
      <c r="V4" s="31">
        <f>U4*T4/1000</f>
        <v>6475983.1840000004</v>
      </c>
      <c r="W4" s="86"/>
    </row>
    <row r="5" spans="2:23" ht="39.6" customHeight="1" x14ac:dyDescent="0.35">
      <c r="B5" s="191"/>
      <c r="C5" s="191"/>
      <c r="D5" s="191"/>
      <c r="E5" s="41" t="s">
        <v>164</v>
      </c>
      <c r="F5" s="41" t="s">
        <v>40</v>
      </c>
      <c r="G5" s="41" t="s">
        <v>98</v>
      </c>
      <c r="H5" s="6">
        <f>H4+1</f>
        <v>2</v>
      </c>
      <c r="I5" s="3" t="s">
        <v>11</v>
      </c>
      <c r="J5" s="6">
        <v>8301</v>
      </c>
      <c r="K5" s="3">
        <f>F4</f>
        <v>2000</v>
      </c>
      <c r="L5" s="3">
        <f>G4*2</f>
        <v>2</v>
      </c>
      <c r="N5" s="15">
        <f t="shared" ref="N5:N12" si="1">N4+1</f>
        <v>3</v>
      </c>
      <c r="O5" s="169" t="s">
        <v>49</v>
      </c>
      <c r="P5" s="170"/>
      <c r="Q5" s="170"/>
      <c r="R5" s="34">
        <f>R4</f>
        <v>22682</v>
      </c>
      <c r="S5" s="90">
        <v>0.27900000000000003</v>
      </c>
      <c r="T5" s="32">
        <f t="shared" si="0"/>
        <v>6328.2780000000002</v>
      </c>
      <c r="U5" s="34">
        <v>178000</v>
      </c>
      <c r="V5" s="31">
        <f t="shared" ref="V5:V7" si="2">U5*T5/1000</f>
        <v>1126433.4839999999</v>
      </c>
      <c r="W5" s="86"/>
    </row>
    <row r="6" spans="2:23" ht="39.6" customHeight="1" x14ac:dyDescent="0.35">
      <c r="B6" s="191"/>
      <c r="C6" s="191"/>
      <c r="D6" s="191"/>
      <c r="E6" s="146">
        <f>G6+T8</f>
        <v>66063.981899999999</v>
      </c>
      <c r="F6" s="17">
        <f>F4*E4/1000</f>
        <v>7200</v>
      </c>
      <c r="G6" s="93">
        <f>SUM(T3:T7)</f>
        <v>62918.077999999994</v>
      </c>
      <c r="H6" s="6">
        <f t="shared" ref="H6:H11" si="3">H5+1</f>
        <v>3</v>
      </c>
      <c r="I6" s="3" t="s">
        <v>17</v>
      </c>
      <c r="J6" s="6" t="s">
        <v>121</v>
      </c>
      <c r="K6" s="17">
        <f>(E4-87)/4</f>
        <v>878.25</v>
      </c>
      <c r="L6" s="3">
        <f>G4*8</f>
        <v>8</v>
      </c>
      <c r="N6" s="15">
        <f t="shared" si="1"/>
        <v>4</v>
      </c>
      <c r="O6" s="169" t="s">
        <v>50</v>
      </c>
      <c r="P6" s="170"/>
      <c r="Q6" s="170"/>
      <c r="R6" s="34">
        <f>K8*L8</f>
        <v>5712</v>
      </c>
      <c r="S6" s="90">
        <v>0.42099999999999999</v>
      </c>
      <c r="T6" s="32">
        <f t="shared" si="0"/>
        <v>2404.752</v>
      </c>
      <c r="U6" s="34">
        <v>178000</v>
      </c>
      <c r="V6" s="31">
        <f t="shared" si="2"/>
        <v>428045.85600000003</v>
      </c>
      <c r="W6" s="86"/>
    </row>
    <row r="7" spans="2:23" ht="39.6" customHeight="1" x14ac:dyDescent="0.35">
      <c r="B7" s="191"/>
      <c r="C7" s="191"/>
      <c r="D7" s="191"/>
      <c r="E7" s="3"/>
      <c r="F7" s="41" t="s">
        <v>36</v>
      </c>
      <c r="G7" s="41" t="s">
        <v>43</v>
      </c>
      <c r="H7" s="6">
        <f t="shared" si="3"/>
        <v>4</v>
      </c>
      <c r="I7" s="3" t="s">
        <v>18</v>
      </c>
      <c r="J7" s="6" t="s">
        <v>121</v>
      </c>
      <c r="K7" s="17">
        <f>IF(AND(F9="X",G9=""),K5-F8,0)+IF(AND(G9="X",F9=""),K5-G8,0)</f>
        <v>1957</v>
      </c>
      <c r="L7" s="3">
        <f>G4*8</f>
        <v>8</v>
      </c>
      <c r="N7" s="15">
        <f t="shared" si="1"/>
        <v>5</v>
      </c>
      <c r="O7" s="169" t="s">
        <v>65</v>
      </c>
      <c r="P7" s="170"/>
      <c r="Q7" s="171"/>
      <c r="R7" s="34">
        <f>K8*L8</f>
        <v>5712</v>
      </c>
      <c r="S7" s="100">
        <v>0.96</v>
      </c>
      <c r="T7" s="32">
        <f t="shared" si="0"/>
        <v>5483.5199999999995</v>
      </c>
      <c r="U7" s="34">
        <v>178000</v>
      </c>
      <c r="V7" s="31">
        <f t="shared" si="2"/>
        <v>976066.55999999982</v>
      </c>
      <c r="W7" s="42"/>
    </row>
    <row r="8" spans="2:23" ht="39.6" customHeight="1" x14ac:dyDescent="0.35">
      <c r="B8" s="191"/>
      <c r="C8" s="191"/>
      <c r="D8" s="191"/>
      <c r="E8" s="3"/>
      <c r="F8" s="3">
        <v>43</v>
      </c>
      <c r="G8" s="3">
        <v>23</v>
      </c>
      <c r="H8" s="6">
        <f t="shared" si="3"/>
        <v>5</v>
      </c>
      <c r="I8" s="3" t="s">
        <v>16</v>
      </c>
      <c r="J8" s="6">
        <v>8306</v>
      </c>
      <c r="K8" s="116">
        <f>IF(G7="x",ROUNDDOWN(K7-30-4,0),ROUNDDOWN(K7-34-19,0))</f>
        <v>1904</v>
      </c>
      <c r="L8" s="3">
        <f>G4*3</f>
        <v>3</v>
      </c>
      <c r="N8" s="15">
        <f t="shared" si="1"/>
        <v>6</v>
      </c>
      <c r="O8" s="169" t="s">
        <v>72</v>
      </c>
      <c r="P8" s="170"/>
      <c r="Q8" s="171"/>
      <c r="R8" s="34"/>
      <c r="S8" s="29"/>
      <c r="T8" s="145">
        <f>SUM(T3:T7)*U8</f>
        <v>3145.9038999999998</v>
      </c>
      <c r="U8" s="55">
        <v>0.05</v>
      </c>
      <c r="V8" s="34">
        <f>SUM(V3:V7)*U8</f>
        <v>559970.8942000001</v>
      </c>
      <c r="W8" s="42"/>
    </row>
    <row r="9" spans="2:23" ht="39.6" customHeight="1" x14ac:dyDescent="0.35">
      <c r="B9" s="191"/>
      <c r="C9" s="191"/>
      <c r="D9" s="191"/>
      <c r="E9" s="3"/>
      <c r="F9" s="3" t="s">
        <v>37</v>
      </c>
      <c r="G9" s="3"/>
      <c r="H9" s="6">
        <f t="shared" si="3"/>
        <v>6</v>
      </c>
      <c r="I9" s="3" t="s">
        <v>31</v>
      </c>
      <c r="J9" s="6">
        <v>8309</v>
      </c>
      <c r="K9" s="116">
        <f>K6-61</f>
        <v>817.25</v>
      </c>
      <c r="L9" s="3">
        <f>G4*4</f>
        <v>4</v>
      </c>
      <c r="N9" s="15">
        <f t="shared" si="1"/>
        <v>7</v>
      </c>
      <c r="O9" s="169" t="s">
        <v>120</v>
      </c>
      <c r="P9" s="170"/>
      <c r="Q9" s="170"/>
      <c r="R9" s="29"/>
      <c r="S9" s="29"/>
      <c r="T9" s="33">
        <v>2</v>
      </c>
      <c r="U9" s="44">
        <v>25000</v>
      </c>
      <c r="V9" s="31">
        <f t="shared" ref="V9:V11" si="4">U9*T9</f>
        <v>50000</v>
      </c>
      <c r="W9" s="15"/>
    </row>
    <row r="10" spans="2:23" ht="39.6" customHeight="1" x14ac:dyDescent="0.35">
      <c r="B10" s="191"/>
      <c r="C10" s="191"/>
      <c r="D10" s="191"/>
      <c r="E10" s="3"/>
      <c r="F10" s="3"/>
      <c r="G10" s="3"/>
      <c r="H10" s="6">
        <f t="shared" si="3"/>
        <v>7</v>
      </c>
      <c r="I10" s="176" t="s">
        <v>15</v>
      </c>
      <c r="J10" s="3" t="s">
        <v>6</v>
      </c>
      <c r="K10" s="3" t="s">
        <v>7</v>
      </c>
      <c r="L10" s="5" t="s">
        <v>2</v>
      </c>
      <c r="N10" s="15">
        <f t="shared" si="1"/>
        <v>8</v>
      </c>
      <c r="O10" s="169" t="s">
        <v>163</v>
      </c>
      <c r="P10" s="170"/>
      <c r="Q10" s="170"/>
      <c r="R10" s="29"/>
      <c r="S10" s="29"/>
      <c r="T10" s="33">
        <v>16</v>
      </c>
      <c r="U10" s="44">
        <v>18000</v>
      </c>
      <c r="V10" s="31">
        <f t="shared" si="4"/>
        <v>288000</v>
      </c>
      <c r="W10" s="26" t="s">
        <v>67</v>
      </c>
    </row>
    <row r="11" spans="2:23" ht="39.6" customHeight="1" x14ac:dyDescent="0.35">
      <c r="B11" s="191"/>
      <c r="C11" s="191"/>
      <c r="D11" s="191"/>
      <c r="E11" s="3"/>
      <c r="F11" s="3"/>
      <c r="G11" s="3"/>
      <c r="H11" s="6">
        <f t="shared" si="3"/>
        <v>8</v>
      </c>
      <c r="I11" s="176"/>
      <c r="J11" s="17">
        <f>K6-172</f>
        <v>706.25</v>
      </c>
      <c r="K11" s="17">
        <f>K7-172</f>
        <v>1785</v>
      </c>
      <c r="L11" s="17">
        <f>G4*4</f>
        <v>4</v>
      </c>
      <c r="N11" s="15">
        <f t="shared" si="1"/>
        <v>9</v>
      </c>
      <c r="O11" s="169" t="s">
        <v>55</v>
      </c>
      <c r="P11" s="170"/>
      <c r="Q11" s="170"/>
      <c r="R11" s="29"/>
      <c r="S11" s="29"/>
      <c r="T11" s="33">
        <f>T10*2+T9</f>
        <v>34</v>
      </c>
      <c r="U11" s="34">
        <v>1600</v>
      </c>
      <c r="V11" s="31">
        <f t="shared" si="4"/>
        <v>54400</v>
      </c>
      <c r="W11" s="26" t="s">
        <v>68</v>
      </c>
    </row>
    <row r="12" spans="2:23" ht="39.6" customHeight="1" x14ac:dyDescent="0.35">
      <c r="N12" s="15">
        <f t="shared" si="1"/>
        <v>10</v>
      </c>
      <c r="O12" s="182" t="s">
        <v>59</v>
      </c>
      <c r="P12" s="183"/>
      <c r="Q12" s="183"/>
      <c r="R12" s="183"/>
      <c r="S12" s="184"/>
      <c r="T12" s="35"/>
      <c r="U12" s="36"/>
      <c r="V12" s="37">
        <f>SUM(V3:V11)</f>
        <v>12151788.778200002</v>
      </c>
      <c r="W12" s="15"/>
    </row>
    <row r="13" spans="2:23" s="23" customFormat="1" ht="39.6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40"/>
      <c r="N13" s="99" t="s">
        <v>14</v>
      </c>
      <c r="O13" s="174" t="s">
        <v>45</v>
      </c>
      <c r="P13" s="174"/>
      <c r="Q13" s="174"/>
      <c r="R13" s="24" t="s">
        <v>46</v>
      </c>
      <c r="S13" s="30" t="s">
        <v>52</v>
      </c>
      <c r="T13" s="30"/>
      <c r="U13" s="24" t="s">
        <v>38</v>
      </c>
      <c r="V13" s="24" t="s">
        <v>39</v>
      </c>
      <c r="W13" s="2"/>
    </row>
    <row r="14" spans="2:23" ht="39.6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81"/>
      <c r="K14" s="181"/>
      <c r="L14" s="71"/>
      <c r="M14" s="119"/>
      <c r="N14" s="61">
        <v>1</v>
      </c>
      <c r="O14" s="169" t="s">
        <v>60</v>
      </c>
      <c r="P14" s="170"/>
      <c r="Q14" s="170"/>
      <c r="R14" s="38">
        <f>R3+R4+R7</f>
        <v>35994</v>
      </c>
      <c r="S14" s="2">
        <v>1</v>
      </c>
      <c r="T14" s="39"/>
      <c r="U14" s="38">
        <v>1000</v>
      </c>
      <c r="V14" s="38">
        <f>U14*R14*S14/1000</f>
        <v>35994</v>
      </c>
      <c r="W14" s="2"/>
    </row>
    <row r="15" spans="2:23" ht="39.6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81"/>
      <c r="K15" s="181"/>
      <c r="L15" s="71"/>
      <c r="M15" s="101"/>
      <c r="N15" s="61">
        <f>N14+1</f>
        <v>2</v>
      </c>
      <c r="O15" s="169" t="s">
        <v>41</v>
      </c>
      <c r="P15" s="170"/>
      <c r="Q15" s="170"/>
      <c r="R15" s="38">
        <f>R4*2</f>
        <v>45364</v>
      </c>
      <c r="S15" s="2">
        <v>1</v>
      </c>
      <c r="T15" s="39"/>
      <c r="U15" s="38">
        <v>1000</v>
      </c>
      <c r="V15" s="38">
        <f>U15*R15*S15/1000</f>
        <v>45364</v>
      </c>
      <c r="W15" s="26" t="s">
        <v>69</v>
      </c>
    </row>
    <row r="16" spans="2:23" ht="39.6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81"/>
      <c r="K16" s="181"/>
      <c r="L16" s="71"/>
      <c r="M16" s="101"/>
      <c r="N16" s="61">
        <f t="shared" ref="N16:N20" si="5">N15+1</f>
        <v>3</v>
      </c>
      <c r="O16" s="169" t="s">
        <v>61</v>
      </c>
      <c r="P16" s="170"/>
      <c r="Q16" s="170"/>
      <c r="R16" s="38"/>
      <c r="S16" s="2">
        <v>4</v>
      </c>
      <c r="T16" s="39"/>
      <c r="U16" s="38">
        <v>9500</v>
      </c>
      <c r="V16" s="38">
        <f>U16*S16</f>
        <v>38000</v>
      </c>
      <c r="W16" s="26" t="s">
        <v>70</v>
      </c>
    </row>
    <row r="17" spans="2:23" ht="39.6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81"/>
      <c r="K17" s="181"/>
      <c r="L17" s="71"/>
      <c r="M17" s="101"/>
      <c r="N17" s="61">
        <f t="shared" si="5"/>
        <v>4</v>
      </c>
      <c r="O17" s="169" t="s">
        <v>66</v>
      </c>
      <c r="P17" s="170"/>
      <c r="Q17" s="170"/>
      <c r="R17" s="38"/>
      <c r="S17" s="2">
        <v>3</v>
      </c>
      <c r="T17" s="39"/>
      <c r="U17" s="38">
        <v>10000</v>
      </c>
      <c r="V17" s="38">
        <f>U17*S17</f>
        <v>30000</v>
      </c>
      <c r="W17" s="26"/>
    </row>
    <row r="18" spans="2:23" ht="39.6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81"/>
      <c r="K18" s="181"/>
      <c r="L18" s="71"/>
      <c r="M18" s="101"/>
      <c r="N18" s="61">
        <f t="shared" si="5"/>
        <v>5</v>
      </c>
      <c r="O18" s="169" t="s">
        <v>62</v>
      </c>
      <c r="P18" s="170"/>
      <c r="Q18" s="171"/>
      <c r="R18" s="38"/>
      <c r="S18" s="2">
        <v>1</v>
      </c>
      <c r="T18" s="39"/>
      <c r="U18" s="38">
        <v>1000</v>
      </c>
      <c r="V18" s="38">
        <f t="shared" ref="V18:V19" si="6">U18*S18</f>
        <v>1000</v>
      </c>
      <c r="W18" s="26" t="s">
        <v>71</v>
      </c>
    </row>
    <row r="19" spans="2:23" ht="39.6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81"/>
      <c r="K19" s="181"/>
      <c r="L19" s="71"/>
      <c r="M19" s="101"/>
      <c r="N19" s="61">
        <f t="shared" si="5"/>
        <v>6</v>
      </c>
      <c r="O19" s="169" t="s">
        <v>64</v>
      </c>
      <c r="P19" s="170"/>
      <c r="Q19" s="171"/>
      <c r="R19" s="38"/>
      <c r="S19" s="2">
        <v>1</v>
      </c>
      <c r="T19" s="39"/>
      <c r="U19" s="38">
        <v>2000</v>
      </c>
      <c r="V19" s="38">
        <f t="shared" si="6"/>
        <v>2000</v>
      </c>
      <c r="W19" s="26" t="s">
        <v>71</v>
      </c>
    </row>
    <row r="20" spans="2:23" ht="39.6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81"/>
      <c r="K20" s="181"/>
      <c r="L20" s="71"/>
      <c r="M20" s="101"/>
      <c r="N20" s="61">
        <f t="shared" si="5"/>
        <v>7</v>
      </c>
      <c r="O20" s="188" t="s">
        <v>63</v>
      </c>
      <c r="P20" s="188"/>
      <c r="Q20" s="188"/>
      <c r="R20" s="188"/>
      <c r="S20" s="188"/>
      <c r="T20" s="35"/>
      <c r="U20" s="36"/>
      <c r="V20" s="37">
        <f>SUM(V14:V19)</f>
        <v>152358</v>
      </c>
      <c r="W20" s="62"/>
    </row>
    <row r="21" spans="2:23" ht="39.6" customHeight="1" x14ac:dyDescent="0.4">
      <c r="B21" s="172"/>
      <c r="C21" s="172"/>
      <c r="D21" s="172"/>
      <c r="E21" s="172"/>
      <c r="F21" s="172"/>
      <c r="G21" s="172"/>
      <c r="H21" s="185">
        <f t="shared" ref="H21" si="7">F21</f>
        <v>0</v>
      </c>
      <c r="I21" s="185"/>
      <c r="J21" s="56"/>
      <c r="K21" s="54"/>
      <c r="L21" s="71"/>
      <c r="M21" s="72"/>
      <c r="N21" s="23"/>
      <c r="O21" s="194"/>
      <c r="P21" s="194"/>
      <c r="Q21" s="63"/>
      <c r="R21" s="23"/>
      <c r="S21" s="23"/>
      <c r="T21" s="64"/>
      <c r="U21" s="23"/>
      <c r="V21" s="139">
        <f>V12+V20</f>
        <v>12304146.778200002</v>
      </c>
    </row>
    <row r="22" spans="2:23" ht="39.6" customHeight="1" x14ac:dyDescent="0.35">
      <c r="B22" s="52"/>
      <c r="C22" s="187"/>
      <c r="D22" s="187"/>
      <c r="E22" s="187"/>
      <c r="F22" s="69"/>
      <c r="G22" s="54"/>
      <c r="H22" s="54"/>
      <c r="I22" s="70"/>
      <c r="J22" s="70"/>
      <c r="K22" s="54"/>
      <c r="L22" s="71"/>
      <c r="M22" s="72"/>
      <c r="N22" s="19"/>
      <c r="O22" s="195"/>
      <c r="P22" s="195"/>
      <c r="Q22" s="65"/>
      <c r="R22" s="66"/>
      <c r="S22" s="66"/>
      <c r="T22" s="67"/>
      <c r="U22" s="66"/>
      <c r="V22" s="68"/>
    </row>
    <row r="23" spans="2:23" ht="39.6" customHeight="1" x14ac:dyDescent="0.35">
      <c r="B23" s="52"/>
      <c r="C23" s="187"/>
      <c r="D23" s="187"/>
      <c r="E23" s="187"/>
      <c r="F23" s="73"/>
      <c r="G23" s="54"/>
      <c r="H23" s="54"/>
      <c r="I23" s="54"/>
      <c r="J23" s="74"/>
      <c r="K23" s="54"/>
      <c r="L23" s="52"/>
      <c r="M23" s="54"/>
      <c r="N23" s="19"/>
      <c r="O23" s="187"/>
      <c r="P23" s="187"/>
      <c r="Q23" s="48"/>
      <c r="R23" s="46"/>
      <c r="S23" s="46"/>
      <c r="T23" s="49"/>
      <c r="U23" s="46"/>
      <c r="V23" s="50"/>
      <c r="W23" s="54"/>
    </row>
    <row r="24" spans="2:23" ht="39.6" customHeight="1" x14ac:dyDescent="0.35">
      <c r="B24" s="52"/>
      <c r="C24" s="187"/>
      <c r="D24" s="187"/>
      <c r="E24" s="187"/>
      <c r="F24" s="73"/>
      <c r="G24" s="54"/>
      <c r="H24" s="54"/>
      <c r="I24" s="54"/>
      <c r="J24" s="75"/>
      <c r="K24" s="54"/>
      <c r="L24" s="52"/>
      <c r="M24" s="54"/>
      <c r="N24" s="19"/>
      <c r="O24" s="187"/>
      <c r="P24" s="187"/>
      <c r="Q24" s="48"/>
      <c r="R24" s="46"/>
      <c r="S24" s="46"/>
      <c r="T24" s="49"/>
      <c r="U24" s="46"/>
      <c r="V24" s="50"/>
      <c r="W24" s="54"/>
    </row>
    <row r="25" spans="2:23" ht="39.6" customHeight="1" x14ac:dyDescent="0.35">
      <c r="B25" s="52"/>
      <c r="C25" s="187"/>
      <c r="D25" s="187"/>
      <c r="E25" s="187"/>
      <c r="F25" s="73"/>
      <c r="G25" s="54"/>
      <c r="H25" s="54"/>
      <c r="I25" s="54"/>
      <c r="J25" s="75"/>
      <c r="K25" s="54"/>
      <c r="L25" s="52"/>
      <c r="M25" s="54"/>
      <c r="N25" s="19"/>
      <c r="O25" s="187"/>
      <c r="P25" s="187"/>
      <c r="Q25" s="48"/>
      <c r="R25" s="46"/>
      <c r="S25" s="46"/>
      <c r="T25" s="49"/>
      <c r="U25" s="46"/>
      <c r="V25" s="50"/>
      <c r="W25" s="54"/>
    </row>
    <row r="26" spans="2:23" ht="39.6" customHeight="1" x14ac:dyDescent="0.35">
      <c r="B26" s="52"/>
      <c r="C26" s="187"/>
      <c r="D26" s="187"/>
      <c r="E26" s="187"/>
      <c r="F26" s="73"/>
      <c r="G26" s="54"/>
      <c r="H26" s="54"/>
      <c r="I26" s="54"/>
      <c r="J26" s="75"/>
      <c r="K26" s="54"/>
      <c r="L26" s="52"/>
      <c r="M26" s="54"/>
      <c r="N26" s="19"/>
      <c r="O26" s="187"/>
      <c r="P26" s="187"/>
      <c r="Q26" s="48"/>
      <c r="R26" s="46"/>
      <c r="S26" s="46"/>
      <c r="T26" s="51"/>
      <c r="U26" s="46"/>
      <c r="V26" s="50"/>
      <c r="W26" s="54"/>
    </row>
    <row r="27" spans="2:23" ht="39.6" customHeight="1" x14ac:dyDescent="0.35">
      <c r="B27" s="52"/>
      <c r="C27" s="187"/>
      <c r="D27" s="187"/>
      <c r="E27" s="187"/>
      <c r="F27" s="73"/>
      <c r="G27" s="54"/>
      <c r="H27" s="54"/>
      <c r="I27" s="70"/>
      <c r="J27" s="76"/>
      <c r="K27" s="54"/>
      <c r="L27" s="52"/>
      <c r="M27" s="54"/>
      <c r="N27" s="19"/>
      <c r="O27" s="187"/>
      <c r="P27" s="187"/>
      <c r="Q27" s="48"/>
      <c r="R27" s="46"/>
      <c r="S27" s="46"/>
      <c r="T27" s="51"/>
      <c r="U27" s="46"/>
      <c r="V27" s="50"/>
      <c r="W27" s="54"/>
    </row>
    <row r="28" spans="2:23" ht="39.6" customHeight="1" x14ac:dyDescent="0.35">
      <c r="B28" s="52"/>
      <c r="C28" s="186"/>
      <c r="D28" s="186"/>
      <c r="E28" s="186"/>
      <c r="F28" s="73"/>
      <c r="G28" s="54"/>
      <c r="H28" s="54"/>
      <c r="I28" s="70"/>
      <c r="J28" s="76"/>
      <c r="K28" s="54"/>
      <c r="L28" s="52"/>
      <c r="M28" s="54"/>
      <c r="N28" s="19"/>
      <c r="O28" s="187"/>
      <c r="P28" s="187"/>
      <c r="Q28" s="48"/>
      <c r="R28" s="46"/>
      <c r="S28" s="46"/>
      <c r="T28" s="51"/>
      <c r="U28" s="46"/>
      <c r="V28" s="50"/>
      <c r="W28" s="54"/>
    </row>
    <row r="29" spans="2:23" ht="39.6" customHeight="1" x14ac:dyDescent="0.35">
      <c r="B29" s="52"/>
      <c r="C29" s="186"/>
      <c r="D29" s="186"/>
      <c r="E29" s="186"/>
      <c r="F29" s="73"/>
      <c r="G29" s="54"/>
      <c r="H29" s="54"/>
      <c r="I29" s="70"/>
      <c r="J29" s="76"/>
      <c r="K29" s="54"/>
      <c r="L29" s="52"/>
      <c r="M29" s="54"/>
      <c r="N29" s="19"/>
      <c r="O29" s="186"/>
      <c r="P29" s="186"/>
      <c r="Q29" s="186"/>
      <c r="R29" s="186"/>
      <c r="S29" s="186"/>
      <c r="T29" s="53"/>
      <c r="U29" s="46"/>
      <c r="V29" s="50"/>
      <c r="W29" s="54"/>
    </row>
    <row r="30" spans="2:23" ht="39.6" customHeight="1" x14ac:dyDescent="0.35">
      <c r="B30" s="52"/>
      <c r="C30" s="187"/>
      <c r="D30" s="187"/>
      <c r="E30" s="187"/>
      <c r="F30" s="73"/>
      <c r="G30" s="54"/>
      <c r="H30" s="54"/>
      <c r="I30" s="70"/>
      <c r="J30" s="70"/>
      <c r="K30" s="54"/>
      <c r="L30" s="54"/>
      <c r="M30" s="54"/>
      <c r="O30" s="54"/>
      <c r="P30" s="54"/>
      <c r="Q30" s="54"/>
      <c r="R30" s="54"/>
      <c r="S30" s="54"/>
      <c r="T30" s="54"/>
      <c r="U30" s="54"/>
      <c r="V30" s="54"/>
      <c r="W30" s="54"/>
    </row>
    <row r="31" spans="2:23" s="22" customFormat="1" ht="39.6" customHeight="1" x14ac:dyDescent="0.35">
      <c r="B31" s="193"/>
      <c r="C31" s="193"/>
      <c r="D31" s="193"/>
      <c r="E31" s="193"/>
      <c r="F31" s="193"/>
      <c r="G31" s="193"/>
      <c r="H31" s="193"/>
      <c r="I31" s="193"/>
      <c r="J31" s="77"/>
      <c r="K31" s="78"/>
      <c r="L31" s="78"/>
      <c r="M31" s="78"/>
      <c r="N31" s="1"/>
      <c r="O31" s="54"/>
      <c r="P31" s="54"/>
      <c r="Q31" s="54"/>
      <c r="R31" s="54"/>
      <c r="S31" s="54"/>
      <c r="T31" s="54"/>
      <c r="U31" s="54"/>
      <c r="V31" s="54"/>
      <c r="W31" s="54"/>
    </row>
    <row r="32" spans="2:23" ht="39.6" customHeight="1" x14ac:dyDescent="0.35">
      <c r="B32" s="54"/>
      <c r="C32" s="186"/>
      <c r="D32" s="186"/>
      <c r="E32" s="186"/>
      <c r="F32" s="186"/>
      <c r="G32" s="54"/>
      <c r="H32" s="54"/>
      <c r="I32" s="70"/>
      <c r="J32" s="54"/>
      <c r="K32" s="54"/>
      <c r="L32" s="54"/>
      <c r="M32" s="54"/>
      <c r="O32" s="54"/>
      <c r="P32" s="54"/>
      <c r="Q32" s="54"/>
      <c r="R32" s="54"/>
      <c r="S32" s="54"/>
      <c r="T32" s="54"/>
      <c r="U32" s="54"/>
      <c r="V32" s="54"/>
      <c r="W32" s="54"/>
    </row>
    <row r="33" spans="3:23" ht="39.6" customHeight="1" x14ac:dyDescent="0.35">
      <c r="C33" s="178"/>
      <c r="D33" s="178"/>
      <c r="E33" s="178"/>
      <c r="F33" s="178"/>
      <c r="I33" s="10"/>
      <c r="L33" s="20"/>
      <c r="O33" s="54"/>
      <c r="P33" s="54"/>
      <c r="Q33" s="54"/>
      <c r="R33" s="54"/>
      <c r="S33" s="54"/>
      <c r="T33" s="54"/>
      <c r="U33" s="54"/>
      <c r="V33" s="54"/>
      <c r="W33" s="54"/>
    </row>
    <row r="34" spans="3:23" ht="39.6" customHeight="1" x14ac:dyDescent="0.35">
      <c r="C34" s="178"/>
      <c r="D34" s="178"/>
      <c r="E34" s="178"/>
      <c r="F34" s="178"/>
      <c r="I34" s="27"/>
      <c r="O34" s="54"/>
      <c r="P34" s="54"/>
      <c r="Q34" s="54"/>
      <c r="R34" s="54"/>
      <c r="S34" s="54"/>
      <c r="T34" s="54"/>
      <c r="U34" s="54"/>
      <c r="V34" s="54"/>
      <c r="W34" s="54"/>
    </row>
    <row r="35" spans="3:23" ht="39.6" customHeight="1" x14ac:dyDescent="0.35">
      <c r="C35" s="189"/>
      <c r="D35" s="189"/>
      <c r="E35" s="189"/>
      <c r="F35" s="189"/>
      <c r="G35" s="21"/>
      <c r="H35" s="21"/>
      <c r="I35" s="28"/>
    </row>
    <row r="36" spans="3:23" ht="39.6" customHeight="1" x14ac:dyDescent="0.35">
      <c r="I36" s="10"/>
    </row>
    <row r="37" spans="3:23" ht="39.6" customHeight="1" x14ac:dyDescent="0.35">
      <c r="I37" s="20"/>
    </row>
  </sheetData>
  <mergeCells count="87">
    <mergeCell ref="O10:Q10"/>
    <mergeCell ref="F13:G13"/>
    <mergeCell ref="H13:I13"/>
    <mergeCell ref="J13:K13"/>
    <mergeCell ref="O13:Q13"/>
    <mergeCell ref="O12:S12"/>
    <mergeCell ref="B1:L1"/>
    <mergeCell ref="N1:W1"/>
    <mergeCell ref="B2:F2"/>
    <mergeCell ref="H2:H3"/>
    <mergeCell ref="I2:L2"/>
    <mergeCell ref="O2:Q2"/>
    <mergeCell ref="B3:D11"/>
    <mergeCell ref="O3:Q3"/>
    <mergeCell ref="O4:Q4"/>
    <mergeCell ref="O5:Q5"/>
    <mergeCell ref="O6:Q6"/>
    <mergeCell ref="O7:Q7"/>
    <mergeCell ref="O11:Q11"/>
    <mergeCell ref="O8:Q8"/>
    <mergeCell ref="O9:Q9"/>
    <mergeCell ref="I10:I11"/>
    <mergeCell ref="O14:Q14"/>
    <mergeCell ref="B15:C15"/>
    <mergeCell ref="D15:E15"/>
    <mergeCell ref="F15:G15"/>
    <mergeCell ref="H15:I15"/>
    <mergeCell ref="J15:K15"/>
    <mergeCell ref="O15:Q15"/>
    <mergeCell ref="B14:C14"/>
    <mergeCell ref="D14:E14"/>
    <mergeCell ref="F14:G14"/>
    <mergeCell ref="H14:I14"/>
    <mergeCell ref="J14:K14"/>
    <mergeCell ref="B13:C13"/>
    <mergeCell ref="D13:E13"/>
    <mergeCell ref="O18:Q18"/>
    <mergeCell ref="O16:Q16"/>
    <mergeCell ref="B17:G17"/>
    <mergeCell ref="H17:I17"/>
    <mergeCell ref="J17:K17"/>
    <mergeCell ref="O17:Q17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20:G20"/>
    <mergeCell ref="H20:I20"/>
    <mergeCell ref="J20:K20"/>
    <mergeCell ref="O20:S20"/>
    <mergeCell ref="B19:G19"/>
    <mergeCell ref="H19:I19"/>
    <mergeCell ref="J19:K19"/>
    <mergeCell ref="O19:Q19"/>
    <mergeCell ref="O21:P21"/>
    <mergeCell ref="C22:E22"/>
    <mergeCell ref="O22:P22"/>
    <mergeCell ref="C23:E23"/>
    <mergeCell ref="O23:P23"/>
    <mergeCell ref="B21:C21"/>
    <mergeCell ref="D21:E21"/>
    <mergeCell ref="F21:G21"/>
    <mergeCell ref="H21:I21"/>
    <mergeCell ref="C24:E24"/>
    <mergeCell ref="O24:P24"/>
    <mergeCell ref="C25:E25"/>
    <mergeCell ref="O25:P25"/>
    <mergeCell ref="C26:E26"/>
    <mergeCell ref="O26:P26"/>
    <mergeCell ref="C35:F35"/>
    <mergeCell ref="C27:E27"/>
    <mergeCell ref="O27:P27"/>
    <mergeCell ref="C28:E28"/>
    <mergeCell ref="O28:P28"/>
    <mergeCell ref="C29:E29"/>
    <mergeCell ref="O29:S29"/>
    <mergeCell ref="C30:E30"/>
    <mergeCell ref="B31:I31"/>
    <mergeCell ref="C32:F32"/>
    <mergeCell ref="C33:F33"/>
    <mergeCell ref="C34:F3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0"/>
  <sheetViews>
    <sheetView zoomScale="40" zoomScaleNormal="40" workbookViewId="0">
      <selection activeCell="T7" sqref="T7"/>
    </sheetView>
  </sheetViews>
  <sheetFormatPr defaultColWidth="19.21875" defaultRowHeight="44.4" customHeight="1" x14ac:dyDescent="0.35"/>
  <cols>
    <col min="1" max="12" width="19.21875" style="1"/>
    <col min="13" max="13" width="4.6640625" style="1" customWidth="1"/>
    <col min="14" max="22" width="19.21875" style="1"/>
    <col min="23" max="23" width="39.5546875" style="1" customWidth="1"/>
    <col min="24" max="16384" width="19.21875" style="1"/>
  </cols>
  <sheetData>
    <row r="1" spans="2:23" ht="43.2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60.6" customHeight="1" x14ac:dyDescent="0.35">
      <c r="B2" s="205"/>
      <c r="C2" s="206"/>
      <c r="D2" s="206"/>
      <c r="E2" s="206"/>
      <c r="F2" s="206"/>
      <c r="G2" s="18"/>
      <c r="H2" s="201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44.4" customHeight="1" x14ac:dyDescent="0.35">
      <c r="B3" s="196"/>
      <c r="C3" s="197"/>
      <c r="D3" s="198"/>
      <c r="E3" s="3" t="s">
        <v>0</v>
      </c>
      <c r="F3" s="3" t="s">
        <v>1</v>
      </c>
      <c r="G3" s="3" t="s">
        <v>2</v>
      </c>
      <c r="H3" s="202"/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74</v>
      </c>
      <c r="P3" s="170"/>
      <c r="Q3" s="170"/>
      <c r="R3" s="34">
        <f>K4*L4+K5*L5</f>
        <v>3600</v>
      </c>
      <c r="S3" s="29">
        <v>1.2589999999999999</v>
      </c>
      <c r="T3" s="32">
        <f>S3*R3</f>
        <v>4532.3999999999996</v>
      </c>
      <c r="U3" s="34">
        <v>178000</v>
      </c>
      <c r="V3" s="31">
        <f>U3*T3/1000</f>
        <v>806767.19999999984</v>
      </c>
      <c r="W3" s="86"/>
    </row>
    <row r="4" spans="2:23" ht="44.4" customHeight="1" x14ac:dyDescent="0.35">
      <c r="B4" s="177"/>
      <c r="C4" s="178"/>
      <c r="D4" s="199"/>
      <c r="E4" s="3">
        <v>800</v>
      </c>
      <c r="F4" s="3">
        <v>1000</v>
      </c>
      <c r="G4" s="3">
        <v>1</v>
      </c>
      <c r="H4" s="79" t="s">
        <v>19</v>
      </c>
      <c r="I4" s="3" t="s">
        <v>10</v>
      </c>
      <c r="J4" s="6" t="s">
        <v>122</v>
      </c>
      <c r="K4" s="3">
        <f>E4</f>
        <v>800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K6*L6+K7*L7</f>
        <v>3336</v>
      </c>
      <c r="S4" s="29">
        <v>1.0509999999999999</v>
      </c>
      <c r="T4" s="32">
        <f t="shared" ref="T4:T5" si="0">S4*R4</f>
        <v>3506.136</v>
      </c>
      <c r="U4" s="34">
        <v>178000</v>
      </c>
      <c r="V4" s="31">
        <f t="shared" ref="V4:V5" si="1">U4*T4/1000</f>
        <v>624092.20799999998</v>
      </c>
      <c r="W4" s="86"/>
    </row>
    <row r="5" spans="2:23" ht="44.4" customHeight="1" x14ac:dyDescent="0.35">
      <c r="B5" s="177"/>
      <c r="C5" s="178"/>
      <c r="D5" s="199"/>
      <c r="E5" s="41" t="s">
        <v>164</v>
      </c>
      <c r="F5" s="41" t="s">
        <v>40</v>
      </c>
      <c r="G5" s="41" t="s">
        <v>98</v>
      </c>
      <c r="H5" s="79" t="s">
        <v>20</v>
      </c>
      <c r="I5" s="3" t="s">
        <v>11</v>
      </c>
      <c r="J5" s="6" t="s">
        <v>122</v>
      </c>
      <c r="K5" s="3">
        <f>F4</f>
        <v>1000</v>
      </c>
      <c r="L5" s="3">
        <f>G4*2</f>
        <v>2</v>
      </c>
      <c r="N5" s="15">
        <f t="shared" ref="N5:N10" si="2">N4+1</f>
        <v>3</v>
      </c>
      <c r="O5" s="169" t="s">
        <v>49</v>
      </c>
      <c r="P5" s="170"/>
      <c r="Q5" s="170"/>
      <c r="R5" s="34">
        <f>R4</f>
        <v>3336</v>
      </c>
      <c r="S5" s="29">
        <v>0.27900000000000003</v>
      </c>
      <c r="T5" s="32">
        <f t="shared" si="0"/>
        <v>930.74400000000014</v>
      </c>
      <c r="U5" s="34">
        <v>178000</v>
      </c>
      <c r="V5" s="31">
        <f t="shared" si="1"/>
        <v>165672.43200000003</v>
      </c>
      <c r="W5" s="86"/>
    </row>
    <row r="6" spans="2:23" ht="44.4" customHeight="1" x14ac:dyDescent="0.35">
      <c r="B6" s="177"/>
      <c r="C6" s="178"/>
      <c r="D6" s="199"/>
      <c r="E6" s="146">
        <f>G6+T6</f>
        <v>9417.7440000000006</v>
      </c>
      <c r="F6" s="17">
        <f>F4*E4/1000</f>
        <v>800</v>
      </c>
      <c r="G6" s="93">
        <f>SUM(T3:T5)</f>
        <v>8969.2800000000007</v>
      </c>
      <c r="H6" s="79" t="s">
        <v>21</v>
      </c>
      <c r="I6" s="3" t="s">
        <v>12</v>
      </c>
      <c r="J6" s="6">
        <v>8305</v>
      </c>
      <c r="K6" s="17">
        <f>E4-66</f>
        <v>734</v>
      </c>
      <c r="L6" s="3">
        <f>G4*2</f>
        <v>2</v>
      </c>
      <c r="N6" s="15">
        <f t="shared" si="2"/>
        <v>4</v>
      </c>
      <c r="O6" s="169" t="s">
        <v>72</v>
      </c>
      <c r="P6" s="170"/>
      <c r="Q6" s="171"/>
      <c r="R6" s="34"/>
      <c r="S6" s="29"/>
      <c r="T6" s="145">
        <f>SUM(T3:T5)*U6</f>
        <v>448.46400000000006</v>
      </c>
      <c r="U6" s="55">
        <v>0.05</v>
      </c>
      <c r="V6" s="34">
        <f>SUM(V3:V5)*U6</f>
        <v>79826.592000000004</v>
      </c>
      <c r="W6" s="42"/>
    </row>
    <row r="7" spans="2:23" ht="44.4" customHeight="1" x14ac:dyDescent="0.35">
      <c r="B7" s="177"/>
      <c r="C7" s="178"/>
      <c r="D7" s="199"/>
      <c r="E7" s="2"/>
      <c r="F7" s="2"/>
      <c r="G7" s="2"/>
      <c r="H7" s="79" t="s">
        <v>22</v>
      </c>
      <c r="I7" s="3" t="s">
        <v>13</v>
      </c>
      <c r="J7" s="6">
        <v>8305</v>
      </c>
      <c r="K7" s="17">
        <f>F4-66</f>
        <v>934</v>
      </c>
      <c r="L7" s="3">
        <f>G4*2</f>
        <v>2</v>
      </c>
      <c r="N7" s="15">
        <f t="shared" si="2"/>
        <v>5</v>
      </c>
      <c r="O7" s="169" t="s">
        <v>132</v>
      </c>
      <c r="P7" s="170"/>
      <c r="Q7" s="170"/>
      <c r="R7" s="29"/>
      <c r="S7" s="29"/>
      <c r="T7" s="33">
        <v>4</v>
      </c>
      <c r="U7" s="44">
        <v>18000</v>
      </c>
      <c r="V7" s="31">
        <f t="shared" ref="V7:V9" si="3">U7*T7</f>
        <v>72000</v>
      </c>
      <c r="W7" s="110"/>
    </row>
    <row r="8" spans="2:23" ht="44.4" customHeight="1" x14ac:dyDescent="0.35">
      <c r="B8" s="177"/>
      <c r="C8" s="178"/>
      <c r="D8" s="199"/>
      <c r="E8" s="3"/>
      <c r="F8" s="3"/>
      <c r="G8" s="3"/>
      <c r="H8" s="79" t="s">
        <v>24</v>
      </c>
      <c r="I8" s="203" t="s">
        <v>73</v>
      </c>
      <c r="J8" s="3" t="s">
        <v>6</v>
      </c>
      <c r="K8" s="3" t="s">
        <v>7</v>
      </c>
      <c r="L8" s="5" t="s">
        <v>2</v>
      </c>
      <c r="N8" s="15">
        <f t="shared" si="2"/>
        <v>6</v>
      </c>
      <c r="O8" s="169" t="s">
        <v>133</v>
      </c>
      <c r="P8" s="170"/>
      <c r="Q8" s="170"/>
      <c r="R8" s="29"/>
      <c r="S8" s="29"/>
      <c r="T8" s="33">
        <v>4</v>
      </c>
      <c r="U8" s="44">
        <v>18000</v>
      </c>
      <c r="V8" s="31">
        <f t="shared" si="3"/>
        <v>72000</v>
      </c>
      <c r="W8" s="110"/>
    </row>
    <row r="9" spans="2:23" ht="44.4" customHeight="1" x14ac:dyDescent="0.35">
      <c r="B9" s="179"/>
      <c r="C9" s="180"/>
      <c r="D9" s="200"/>
      <c r="E9" s="3"/>
      <c r="F9" s="3"/>
      <c r="G9" s="3"/>
      <c r="H9" s="79" t="s">
        <v>25</v>
      </c>
      <c r="I9" s="204"/>
      <c r="J9" s="17">
        <f>K6-124</f>
        <v>610</v>
      </c>
      <c r="K9" s="17">
        <f>K7-124</f>
        <v>810</v>
      </c>
      <c r="L9" s="17">
        <f>G4</f>
        <v>1</v>
      </c>
      <c r="N9" s="15">
        <f t="shared" si="2"/>
        <v>7</v>
      </c>
      <c r="O9" s="169" t="s">
        <v>55</v>
      </c>
      <c r="P9" s="170"/>
      <c r="Q9" s="170"/>
      <c r="R9" s="29"/>
      <c r="S9" s="29"/>
      <c r="T9" s="33">
        <f>T8*2+T7</f>
        <v>12</v>
      </c>
      <c r="U9" s="34">
        <v>1600</v>
      </c>
      <c r="V9" s="31">
        <f t="shared" si="3"/>
        <v>19200</v>
      </c>
      <c r="W9" s="110"/>
    </row>
    <row r="10" spans="2:23" ht="44.4" customHeight="1" x14ac:dyDescent="0.35">
      <c r="N10" s="15">
        <f t="shared" si="2"/>
        <v>8</v>
      </c>
      <c r="O10" s="182" t="s">
        <v>59</v>
      </c>
      <c r="P10" s="183"/>
      <c r="Q10" s="183"/>
      <c r="R10" s="183"/>
      <c r="S10" s="184"/>
      <c r="T10" s="35"/>
      <c r="U10" s="36"/>
      <c r="V10" s="37">
        <f>SUM(V3:V9)</f>
        <v>1839558.4319999998</v>
      </c>
      <c r="W10" s="15"/>
    </row>
    <row r="11" spans="2:23" ht="44.4" customHeight="1" x14ac:dyDescent="0.35">
      <c r="N11" s="24" t="s">
        <v>14</v>
      </c>
      <c r="O11" s="174" t="s">
        <v>45</v>
      </c>
      <c r="P11" s="174"/>
      <c r="Q11" s="174"/>
      <c r="R11" s="24" t="s">
        <v>46</v>
      </c>
      <c r="S11" s="30" t="s">
        <v>52</v>
      </c>
      <c r="T11" s="30"/>
      <c r="U11" s="24" t="s">
        <v>38</v>
      </c>
      <c r="V11" s="24" t="s">
        <v>39</v>
      </c>
      <c r="W11" s="2"/>
    </row>
    <row r="12" spans="2:23" ht="44.4" customHeight="1" x14ac:dyDescent="0.35"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40"/>
      <c r="N12" s="15">
        <v>1</v>
      </c>
      <c r="O12" s="169" t="s">
        <v>60</v>
      </c>
      <c r="P12" s="170"/>
      <c r="Q12" s="170"/>
      <c r="R12" s="38">
        <f>R3+R4</f>
        <v>6936</v>
      </c>
      <c r="S12" s="2">
        <v>1</v>
      </c>
      <c r="T12" s="25"/>
      <c r="U12" s="38">
        <v>1000</v>
      </c>
      <c r="V12" s="38">
        <f>U12*R12*S12/1000</f>
        <v>6936</v>
      </c>
      <c r="W12" s="2"/>
    </row>
    <row r="13" spans="2:23" ht="44.4" customHeight="1" x14ac:dyDescent="0.35">
      <c r="B13" s="172"/>
      <c r="C13" s="172"/>
      <c r="D13" s="185"/>
      <c r="E13" s="185"/>
      <c r="F13" s="185"/>
      <c r="G13" s="185"/>
      <c r="H13" s="185"/>
      <c r="I13" s="185"/>
      <c r="J13" s="56"/>
      <c r="K13" s="56"/>
      <c r="L13" s="56"/>
      <c r="N13" s="15">
        <f>N12+1</f>
        <v>2</v>
      </c>
      <c r="O13" s="169" t="s">
        <v>41</v>
      </c>
      <c r="P13" s="170"/>
      <c r="Q13" s="170"/>
      <c r="R13" s="38">
        <f>R4*2</f>
        <v>6672</v>
      </c>
      <c r="S13" s="2">
        <v>1</v>
      </c>
      <c r="T13" s="25"/>
      <c r="U13" s="38">
        <v>1000</v>
      </c>
      <c r="V13" s="38">
        <f>U13*R13*S13/1000</f>
        <v>6672</v>
      </c>
      <c r="W13" s="2"/>
    </row>
    <row r="14" spans="2:23" ht="44.4" customHeight="1" x14ac:dyDescent="0.35">
      <c r="B14" s="172"/>
      <c r="C14" s="172"/>
      <c r="D14" s="185"/>
      <c r="E14" s="185"/>
      <c r="F14" s="185"/>
      <c r="G14" s="185"/>
      <c r="H14" s="185"/>
      <c r="I14" s="185"/>
      <c r="J14" s="56"/>
      <c r="K14" s="56"/>
      <c r="L14" s="56"/>
      <c r="N14" s="15">
        <f t="shared" ref="N14:N16" si="4">N13+1</f>
        <v>3</v>
      </c>
      <c r="O14" s="169" t="s">
        <v>62</v>
      </c>
      <c r="P14" s="170"/>
      <c r="Q14" s="171"/>
      <c r="R14" s="38"/>
      <c r="S14" s="60">
        <v>1</v>
      </c>
      <c r="T14" s="25"/>
      <c r="U14" s="38">
        <v>1000</v>
      </c>
      <c r="V14" s="38">
        <f t="shared" ref="V14:V15" si="5">U14*S14</f>
        <v>1000</v>
      </c>
      <c r="W14" s="26" t="s">
        <v>80</v>
      </c>
    </row>
    <row r="15" spans="2:23" ht="44.4" customHeight="1" x14ac:dyDescent="0.35">
      <c r="B15" s="172"/>
      <c r="C15" s="172"/>
      <c r="D15" s="185"/>
      <c r="E15" s="185"/>
      <c r="F15" s="185"/>
      <c r="G15" s="185"/>
      <c r="H15" s="185"/>
      <c r="I15" s="185"/>
      <c r="J15" s="56"/>
      <c r="K15" s="56"/>
      <c r="L15" s="56"/>
      <c r="N15" s="15">
        <f t="shared" si="4"/>
        <v>4</v>
      </c>
      <c r="O15" s="169" t="s">
        <v>64</v>
      </c>
      <c r="P15" s="170"/>
      <c r="Q15" s="171"/>
      <c r="R15" s="38"/>
      <c r="S15" s="2">
        <v>1</v>
      </c>
      <c r="T15" s="25"/>
      <c r="U15" s="38">
        <v>2000</v>
      </c>
      <c r="V15" s="38">
        <f t="shared" si="5"/>
        <v>2000</v>
      </c>
      <c r="W15" s="26" t="s">
        <v>80</v>
      </c>
    </row>
    <row r="16" spans="2:23" ht="44.4" customHeight="1" x14ac:dyDescent="0.35">
      <c r="B16" s="172"/>
      <c r="C16" s="172"/>
      <c r="D16" s="172"/>
      <c r="E16" s="172"/>
      <c r="F16" s="172"/>
      <c r="G16" s="172"/>
      <c r="H16" s="185"/>
      <c r="I16" s="185"/>
      <c r="J16" s="56"/>
      <c r="K16" s="56"/>
      <c r="L16" s="56"/>
      <c r="N16" s="15">
        <f t="shared" si="4"/>
        <v>5</v>
      </c>
      <c r="O16" s="188" t="s">
        <v>63</v>
      </c>
      <c r="P16" s="188"/>
      <c r="Q16" s="188"/>
      <c r="R16" s="188"/>
      <c r="S16" s="188"/>
      <c r="T16" s="35"/>
      <c r="U16" s="36"/>
      <c r="V16" s="37">
        <f>SUM(V12:V15)</f>
        <v>16608</v>
      </c>
      <c r="W16" s="2"/>
    </row>
    <row r="17" spans="2:23" ht="44.4" customHeight="1" x14ac:dyDescent="0.4">
      <c r="B17" s="172"/>
      <c r="C17" s="172"/>
      <c r="D17" s="185"/>
      <c r="E17" s="185"/>
      <c r="F17" s="185"/>
      <c r="G17" s="185"/>
      <c r="H17" s="185"/>
      <c r="I17" s="185"/>
      <c r="J17" s="56"/>
      <c r="K17" s="56"/>
      <c r="L17" s="56"/>
      <c r="O17" s="45"/>
      <c r="P17" s="189"/>
      <c r="Q17" s="189"/>
      <c r="R17" s="21"/>
      <c r="S17" s="45"/>
      <c r="T17" s="45"/>
      <c r="U17" s="57"/>
      <c r="V17" s="139">
        <f>V10+V16</f>
        <v>1856166.4319999998</v>
      </c>
      <c r="W17" s="45"/>
    </row>
    <row r="18" spans="2:23" ht="44.4" customHeight="1" x14ac:dyDescent="0.35">
      <c r="B18" s="172"/>
      <c r="C18" s="172"/>
      <c r="D18" s="172"/>
      <c r="E18" s="172"/>
      <c r="F18" s="172"/>
      <c r="G18" s="172"/>
      <c r="H18" s="185"/>
      <c r="I18" s="185"/>
      <c r="J18" s="56"/>
      <c r="K18" s="56"/>
      <c r="L18" s="56"/>
      <c r="O18" s="19"/>
      <c r="P18" s="187"/>
      <c r="Q18" s="187"/>
      <c r="R18" s="48"/>
      <c r="S18" s="46"/>
      <c r="T18" s="46"/>
      <c r="U18" s="50"/>
      <c r="V18" s="46"/>
      <c r="W18" s="50"/>
    </row>
    <row r="19" spans="2:23" ht="44.4" customHeight="1" x14ac:dyDescent="0.35">
      <c r="B19" s="172"/>
      <c r="C19" s="172"/>
      <c r="D19" s="172"/>
      <c r="E19" s="172"/>
      <c r="F19" s="172"/>
      <c r="G19" s="172"/>
      <c r="H19" s="190"/>
      <c r="I19" s="190"/>
      <c r="J19" s="56"/>
      <c r="K19" s="56"/>
      <c r="L19" s="56"/>
      <c r="O19" s="19"/>
      <c r="P19" s="187"/>
      <c r="Q19" s="187"/>
      <c r="R19" s="48"/>
      <c r="S19" s="46"/>
      <c r="T19" s="46"/>
      <c r="U19" s="49"/>
      <c r="V19" s="46"/>
      <c r="W19" s="50"/>
    </row>
    <row r="20" spans="2:23" ht="44.4" customHeight="1" x14ac:dyDescent="0.35">
      <c r="B20" s="172"/>
      <c r="C20" s="172"/>
      <c r="D20" s="172"/>
      <c r="E20" s="172"/>
      <c r="F20" s="172"/>
      <c r="G20" s="172"/>
      <c r="H20" s="185"/>
      <c r="I20" s="185"/>
      <c r="J20" s="56"/>
      <c r="K20" s="56"/>
    </row>
  </sheetData>
  <mergeCells count="56">
    <mergeCell ref="B19:G19"/>
    <mergeCell ref="H19:I19"/>
    <mergeCell ref="P19:Q19"/>
    <mergeCell ref="B20:C20"/>
    <mergeCell ref="D20:E20"/>
    <mergeCell ref="F20:G20"/>
    <mergeCell ref="H20:I20"/>
    <mergeCell ref="B18:G18"/>
    <mergeCell ref="H18:I18"/>
    <mergeCell ref="P18:Q18"/>
    <mergeCell ref="B15:C15"/>
    <mergeCell ref="D15:E15"/>
    <mergeCell ref="F15:G15"/>
    <mergeCell ref="H15:I15"/>
    <mergeCell ref="O15:Q15"/>
    <mergeCell ref="B16:G16"/>
    <mergeCell ref="H16:I16"/>
    <mergeCell ref="O16:S16"/>
    <mergeCell ref="B17:C17"/>
    <mergeCell ref="D17:E17"/>
    <mergeCell ref="F17:G17"/>
    <mergeCell ref="H17:I17"/>
    <mergeCell ref="P17:Q17"/>
    <mergeCell ref="B13:C13"/>
    <mergeCell ref="D13:E13"/>
    <mergeCell ref="F13:G13"/>
    <mergeCell ref="H13:I13"/>
    <mergeCell ref="O13:Q13"/>
    <mergeCell ref="B14:C14"/>
    <mergeCell ref="D14:E14"/>
    <mergeCell ref="F14:G14"/>
    <mergeCell ref="H14:I14"/>
    <mergeCell ref="O14:Q14"/>
    <mergeCell ref="O10:S10"/>
    <mergeCell ref="O11:Q11"/>
    <mergeCell ref="B12:C12"/>
    <mergeCell ref="D12:E12"/>
    <mergeCell ref="F12:G12"/>
    <mergeCell ref="H12:I12"/>
    <mergeCell ref="J12:K12"/>
    <mergeCell ref="O12:Q12"/>
    <mergeCell ref="B1:L1"/>
    <mergeCell ref="N1:W1"/>
    <mergeCell ref="B2:F2"/>
    <mergeCell ref="H2:H3"/>
    <mergeCell ref="I2:L2"/>
    <mergeCell ref="O2:Q2"/>
    <mergeCell ref="B3:D9"/>
    <mergeCell ref="O3:Q3"/>
    <mergeCell ref="O4:Q4"/>
    <mergeCell ref="O5:Q5"/>
    <mergeCell ref="O6:Q6"/>
    <mergeCell ref="O7:Q7"/>
    <mergeCell ref="I8:I9"/>
    <mergeCell ref="O8:Q8"/>
    <mergeCell ref="O9:Q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W20"/>
  <sheetViews>
    <sheetView zoomScale="40" zoomScaleNormal="40" workbookViewId="0">
      <selection activeCell="C26" sqref="C26"/>
    </sheetView>
  </sheetViews>
  <sheetFormatPr defaultColWidth="20.44140625" defaultRowHeight="42" customHeight="1" x14ac:dyDescent="0.35"/>
  <cols>
    <col min="1" max="12" width="20.44140625" style="1"/>
    <col min="13" max="13" width="4.88671875" style="1" customWidth="1"/>
    <col min="14" max="22" width="20.44140625" style="1"/>
    <col min="23" max="23" width="42.44140625" style="1" customWidth="1"/>
    <col min="24" max="16384" width="20.44140625" style="1"/>
  </cols>
  <sheetData>
    <row r="1" spans="2:23" ht="42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55.2" customHeight="1" x14ac:dyDescent="0.35">
      <c r="B2" s="205" t="s">
        <v>8</v>
      </c>
      <c r="C2" s="206"/>
      <c r="D2" s="206"/>
      <c r="E2" s="206"/>
      <c r="F2" s="206"/>
      <c r="G2" s="8"/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42" customHeight="1" x14ac:dyDescent="0.35">
      <c r="B3" s="196"/>
      <c r="C3" s="197"/>
      <c r="D3" s="198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74</v>
      </c>
      <c r="P3" s="170"/>
      <c r="Q3" s="170"/>
      <c r="R3" s="34">
        <f>K4*L4+K5*L5</f>
        <v>5600</v>
      </c>
      <c r="S3" s="29">
        <v>1.2589999999999999</v>
      </c>
      <c r="T3" s="31">
        <f>S3*R3</f>
        <v>7050.4</v>
      </c>
      <c r="U3" s="34">
        <v>178000</v>
      </c>
      <c r="V3" s="31">
        <f>U3*T3/1000</f>
        <v>1254971.2</v>
      </c>
      <c r="W3" s="83"/>
    </row>
    <row r="4" spans="2:23" ht="42" customHeight="1" x14ac:dyDescent="0.35">
      <c r="B4" s="177"/>
      <c r="C4" s="178"/>
      <c r="D4" s="199"/>
      <c r="E4" s="3">
        <v>1800</v>
      </c>
      <c r="F4" s="3">
        <v>1000</v>
      </c>
      <c r="G4" s="3">
        <v>1</v>
      </c>
      <c r="H4" s="6">
        <v>1</v>
      </c>
      <c r="I4" s="3" t="s">
        <v>10</v>
      </c>
      <c r="J4" s="6" t="s">
        <v>122</v>
      </c>
      <c r="K4" s="3">
        <f>E4</f>
        <v>1800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K6*L6+K7*L7</f>
        <v>7190</v>
      </c>
      <c r="S4" s="29">
        <v>1.0509999999999999</v>
      </c>
      <c r="T4" s="31">
        <f t="shared" ref="T4:T5" si="0">S4*R4</f>
        <v>7556.69</v>
      </c>
      <c r="U4" s="34">
        <v>178000</v>
      </c>
      <c r="V4" s="31">
        <f t="shared" ref="V4:V6" si="1">U4*T4/1000</f>
        <v>1345090.82</v>
      </c>
      <c r="W4" s="84"/>
    </row>
    <row r="5" spans="2:23" ht="42" customHeight="1" x14ac:dyDescent="0.35">
      <c r="B5" s="177"/>
      <c r="C5" s="178"/>
      <c r="D5" s="199"/>
      <c r="E5" s="41" t="s">
        <v>164</v>
      </c>
      <c r="F5" s="41" t="s">
        <v>40</v>
      </c>
      <c r="G5" s="41" t="s">
        <v>98</v>
      </c>
      <c r="H5" s="6">
        <f>H4+1</f>
        <v>2</v>
      </c>
      <c r="I5" s="3" t="s">
        <v>11</v>
      </c>
      <c r="J5" s="6" t="s">
        <v>122</v>
      </c>
      <c r="K5" s="3">
        <f>F4</f>
        <v>1000</v>
      </c>
      <c r="L5" s="3">
        <f>G4*2</f>
        <v>2</v>
      </c>
      <c r="N5" s="15">
        <f t="shared" ref="N5:N11" si="2">N4+1</f>
        <v>3</v>
      </c>
      <c r="O5" s="169" t="s">
        <v>49</v>
      </c>
      <c r="P5" s="170"/>
      <c r="Q5" s="170"/>
      <c r="R5" s="34">
        <f>R4</f>
        <v>7190</v>
      </c>
      <c r="S5" s="29">
        <v>0.27900000000000003</v>
      </c>
      <c r="T5" s="31">
        <f t="shared" si="0"/>
        <v>2006.0100000000002</v>
      </c>
      <c r="U5" s="34">
        <v>178000</v>
      </c>
      <c r="V5" s="31">
        <f t="shared" si="1"/>
        <v>357069.78000000009</v>
      </c>
      <c r="W5" s="84"/>
    </row>
    <row r="6" spans="2:23" ht="42" customHeight="1" x14ac:dyDescent="0.35">
      <c r="B6" s="177"/>
      <c r="C6" s="178"/>
      <c r="D6" s="199"/>
      <c r="E6" s="146">
        <f>G6+T7</f>
        <v>18321.722999999998</v>
      </c>
      <c r="F6" s="17">
        <f>F4*E4/1000</f>
        <v>1800</v>
      </c>
      <c r="G6" s="93">
        <f>SUM(T3:T6)</f>
        <v>17449.259999999998</v>
      </c>
      <c r="H6" s="6">
        <f t="shared" ref="H6:H10" si="3">H5+1</f>
        <v>3</v>
      </c>
      <c r="I6" s="3" t="s">
        <v>17</v>
      </c>
      <c r="J6" s="6">
        <v>8305</v>
      </c>
      <c r="K6" s="17">
        <f>(E4-73)/2</f>
        <v>863.5</v>
      </c>
      <c r="L6" s="3">
        <f>G4*4</f>
        <v>4</v>
      </c>
      <c r="N6" s="15">
        <f t="shared" si="2"/>
        <v>4</v>
      </c>
      <c r="O6" s="169" t="s">
        <v>65</v>
      </c>
      <c r="P6" s="170"/>
      <c r="Q6" s="170"/>
      <c r="R6" s="34">
        <f>K8*L8</f>
        <v>871</v>
      </c>
      <c r="S6" s="29">
        <v>0.96</v>
      </c>
      <c r="T6" s="31">
        <f>S6*R6</f>
        <v>836.16</v>
      </c>
      <c r="U6" s="34">
        <v>178000</v>
      </c>
      <c r="V6" s="31">
        <f t="shared" si="1"/>
        <v>148836.48000000001</v>
      </c>
      <c r="W6" s="85"/>
    </row>
    <row r="7" spans="2:23" ht="42" customHeight="1" x14ac:dyDescent="0.35">
      <c r="B7" s="177"/>
      <c r="C7" s="178"/>
      <c r="D7" s="199"/>
      <c r="E7" s="2"/>
      <c r="F7" s="2"/>
      <c r="G7" s="2"/>
      <c r="H7" s="6">
        <f t="shared" si="3"/>
        <v>4</v>
      </c>
      <c r="I7" s="3" t="s">
        <v>18</v>
      </c>
      <c r="J7" s="6">
        <v>8305</v>
      </c>
      <c r="K7" s="17">
        <f>F4-66</f>
        <v>934</v>
      </c>
      <c r="L7" s="3">
        <f>G4*4</f>
        <v>4</v>
      </c>
      <c r="N7" s="15">
        <f t="shared" si="2"/>
        <v>5</v>
      </c>
      <c r="O7" s="169" t="s">
        <v>72</v>
      </c>
      <c r="P7" s="170"/>
      <c r="Q7" s="171"/>
      <c r="R7" s="34"/>
      <c r="S7" s="29"/>
      <c r="T7" s="145">
        <f>SUM(T3:T6)*U7</f>
        <v>872.46299999999997</v>
      </c>
      <c r="U7" s="55">
        <v>0.05</v>
      </c>
      <c r="V7" s="34">
        <f>SUM(V3:V6)*U7</f>
        <v>155298.41400000002</v>
      </c>
      <c r="W7" s="42"/>
    </row>
    <row r="8" spans="2:23" ht="42" customHeight="1" x14ac:dyDescent="0.35">
      <c r="B8" s="177"/>
      <c r="C8" s="178"/>
      <c r="D8" s="199"/>
      <c r="E8" s="2"/>
      <c r="F8" s="2"/>
      <c r="G8" s="2"/>
      <c r="H8" s="6">
        <f t="shared" si="3"/>
        <v>5</v>
      </c>
      <c r="I8" s="3" t="s">
        <v>16</v>
      </c>
      <c r="J8" s="6">
        <v>8306</v>
      </c>
      <c r="K8" s="116">
        <f>K7-63</f>
        <v>871</v>
      </c>
      <c r="L8" s="3">
        <f>G4*1</f>
        <v>1</v>
      </c>
      <c r="N8" s="15">
        <f t="shared" si="2"/>
        <v>6</v>
      </c>
      <c r="O8" s="169" t="s">
        <v>132</v>
      </c>
      <c r="P8" s="170"/>
      <c r="Q8" s="170"/>
      <c r="R8" s="29"/>
      <c r="S8" s="29"/>
      <c r="T8" s="33">
        <v>4</v>
      </c>
      <c r="U8" s="44">
        <v>18000</v>
      </c>
      <c r="V8" s="31">
        <f t="shared" ref="V8:V10" si="4">U8*T8</f>
        <v>72000</v>
      </c>
      <c r="W8" s="15"/>
    </row>
    <row r="9" spans="2:23" ht="42" customHeight="1" x14ac:dyDescent="0.35">
      <c r="B9" s="177"/>
      <c r="C9" s="178"/>
      <c r="D9" s="199"/>
      <c r="E9" s="3"/>
      <c r="F9" s="3"/>
      <c r="G9" s="3"/>
      <c r="H9" s="6">
        <f t="shared" si="3"/>
        <v>6</v>
      </c>
      <c r="I9" s="203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69" t="s">
        <v>133</v>
      </c>
      <c r="P9" s="170"/>
      <c r="Q9" s="170"/>
      <c r="R9" s="29"/>
      <c r="S9" s="29"/>
      <c r="T9" s="33">
        <v>8</v>
      </c>
      <c r="U9" s="44">
        <v>18000</v>
      </c>
      <c r="V9" s="31">
        <f t="shared" si="4"/>
        <v>144000</v>
      </c>
      <c r="W9" s="26"/>
    </row>
    <row r="10" spans="2:23" ht="42" customHeight="1" x14ac:dyDescent="0.35">
      <c r="B10" s="179"/>
      <c r="C10" s="180"/>
      <c r="D10" s="200"/>
      <c r="E10" s="3"/>
      <c r="F10" s="3"/>
      <c r="G10" s="3"/>
      <c r="H10" s="6">
        <f t="shared" si="3"/>
        <v>7</v>
      </c>
      <c r="I10" s="204"/>
      <c r="J10" s="17">
        <f>K6-124</f>
        <v>739.5</v>
      </c>
      <c r="K10" s="17">
        <f>K7-124</f>
        <v>810</v>
      </c>
      <c r="L10" s="3">
        <f>G4*2</f>
        <v>2</v>
      </c>
      <c r="N10" s="15">
        <f t="shared" si="2"/>
        <v>8</v>
      </c>
      <c r="O10" s="169" t="s">
        <v>55</v>
      </c>
      <c r="P10" s="170"/>
      <c r="Q10" s="170"/>
      <c r="R10" s="29"/>
      <c r="S10" s="29"/>
      <c r="T10" s="33">
        <f>T9*2+T8</f>
        <v>20</v>
      </c>
      <c r="U10" s="34">
        <v>1600</v>
      </c>
      <c r="V10" s="31">
        <f t="shared" si="4"/>
        <v>32000</v>
      </c>
      <c r="W10" s="26"/>
    </row>
    <row r="11" spans="2:23" ht="42" customHeight="1" x14ac:dyDescent="0.35">
      <c r="N11" s="15">
        <f t="shared" si="2"/>
        <v>9</v>
      </c>
      <c r="O11" s="182" t="s">
        <v>59</v>
      </c>
      <c r="P11" s="183"/>
      <c r="Q11" s="183"/>
      <c r="R11" s="183"/>
      <c r="S11" s="184"/>
      <c r="T11" s="35"/>
      <c r="U11" s="36"/>
      <c r="V11" s="37">
        <f>SUM(V3:V10)</f>
        <v>3509266.6940000001</v>
      </c>
      <c r="W11" s="15"/>
    </row>
    <row r="12" spans="2:23" ht="42" customHeight="1" x14ac:dyDescent="0.35"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N12" s="24" t="s">
        <v>14</v>
      </c>
      <c r="O12" s="174" t="s">
        <v>45</v>
      </c>
      <c r="P12" s="174"/>
      <c r="Q12" s="174"/>
      <c r="R12" s="24" t="s">
        <v>46</v>
      </c>
      <c r="S12" s="30" t="s">
        <v>52</v>
      </c>
      <c r="T12" s="30"/>
      <c r="U12" s="24" t="s">
        <v>38</v>
      </c>
      <c r="V12" s="24" t="s">
        <v>39</v>
      </c>
      <c r="W12" s="2"/>
    </row>
    <row r="13" spans="2:23" ht="42" customHeight="1" x14ac:dyDescent="0.35">
      <c r="B13" s="172"/>
      <c r="C13" s="172"/>
      <c r="D13" s="185"/>
      <c r="E13" s="185"/>
      <c r="F13" s="185"/>
      <c r="G13" s="185"/>
      <c r="H13" s="185"/>
      <c r="I13" s="185"/>
      <c r="J13" s="172"/>
      <c r="K13" s="172"/>
      <c r="N13" s="15">
        <v>1</v>
      </c>
      <c r="O13" s="169" t="s">
        <v>60</v>
      </c>
      <c r="P13" s="170"/>
      <c r="Q13" s="170"/>
      <c r="R13" s="38">
        <f>R3+R4+R6</f>
        <v>13661</v>
      </c>
      <c r="S13" s="2">
        <v>1</v>
      </c>
      <c r="T13" s="25"/>
      <c r="U13" s="38">
        <v>1000</v>
      </c>
      <c r="V13" s="38">
        <f>U13*R13*S13/1000</f>
        <v>13661</v>
      </c>
      <c r="W13" s="2"/>
    </row>
    <row r="14" spans="2:23" ht="42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>N13+1</f>
        <v>2</v>
      </c>
      <c r="O14" s="169" t="s">
        <v>41</v>
      </c>
      <c r="P14" s="170"/>
      <c r="Q14" s="170"/>
      <c r="R14" s="38">
        <f>R4*2</f>
        <v>14380</v>
      </c>
      <c r="S14" s="2">
        <v>1</v>
      </c>
      <c r="T14" s="25"/>
      <c r="U14" s="38">
        <v>1000</v>
      </c>
      <c r="V14" s="38">
        <f>U14*R14*S14/1000</f>
        <v>14380</v>
      </c>
      <c r="W14" s="2"/>
    </row>
    <row r="15" spans="2:23" ht="42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 t="shared" ref="N15:N18" si="5">N14+1</f>
        <v>3</v>
      </c>
      <c r="O15" s="169" t="s">
        <v>66</v>
      </c>
      <c r="P15" s="170"/>
      <c r="Q15" s="170"/>
      <c r="R15" s="38"/>
      <c r="S15" s="2">
        <v>1</v>
      </c>
      <c r="T15" s="25"/>
      <c r="U15" s="38">
        <v>10000</v>
      </c>
      <c r="V15" s="38">
        <f>U15*S15</f>
        <v>10000</v>
      </c>
      <c r="W15" s="26" t="s">
        <v>79</v>
      </c>
    </row>
    <row r="16" spans="2:23" ht="42" customHeight="1" x14ac:dyDescent="0.35">
      <c r="B16" s="172"/>
      <c r="C16" s="172"/>
      <c r="D16" s="172"/>
      <c r="E16" s="172"/>
      <c r="F16" s="172"/>
      <c r="G16" s="172"/>
      <c r="H16" s="185"/>
      <c r="I16" s="185"/>
      <c r="J16" s="172"/>
      <c r="K16" s="172"/>
      <c r="N16" s="15">
        <f t="shared" si="5"/>
        <v>4</v>
      </c>
      <c r="O16" s="169" t="s">
        <v>62</v>
      </c>
      <c r="P16" s="170"/>
      <c r="Q16" s="171"/>
      <c r="R16" s="38"/>
      <c r="S16" s="60">
        <v>1</v>
      </c>
      <c r="T16" s="25"/>
      <c r="U16" s="38">
        <v>1000</v>
      </c>
      <c r="V16" s="38">
        <f t="shared" ref="V16:V17" si="6">U16*S16</f>
        <v>1000</v>
      </c>
      <c r="W16" s="26" t="s">
        <v>80</v>
      </c>
    </row>
    <row r="17" spans="2:23" ht="42" customHeight="1" x14ac:dyDescent="0.35">
      <c r="B17" s="172"/>
      <c r="C17" s="172"/>
      <c r="D17" s="185"/>
      <c r="E17" s="185"/>
      <c r="F17" s="185"/>
      <c r="G17" s="185"/>
      <c r="H17" s="185"/>
      <c r="I17" s="185"/>
      <c r="J17" s="172"/>
      <c r="K17" s="172"/>
      <c r="N17" s="15">
        <f t="shared" si="5"/>
        <v>5</v>
      </c>
      <c r="O17" s="169" t="s">
        <v>64</v>
      </c>
      <c r="P17" s="170"/>
      <c r="Q17" s="171"/>
      <c r="R17" s="38"/>
      <c r="S17" s="2">
        <v>1</v>
      </c>
      <c r="T17" s="25"/>
      <c r="U17" s="38">
        <v>2000</v>
      </c>
      <c r="V17" s="38">
        <f t="shared" si="6"/>
        <v>2000</v>
      </c>
      <c r="W17" s="2" t="s">
        <v>80</v>
      </c>
    </row>
    <row r="18" spans="2:23" ht="42" customHeight="1" x14ac:dyDescent="0.35">
      <c r="B18" s="172" t="s">
        <v>82</v>
      </c>
      <c r="C18" s="172"/>
      <c r="D18" s="172"/>
      <c r="E18" s="172"/>
      <c r="F18" s="172"/>
      <c r="G18" s="172"/>
      <c r="H18" s="185"/>
      <c r="I18" s="185"/>
      <c r="J18" s="172"/>
      <c r="K18" s="172"/>
      <c r="N18" s="15">
        <f t="shared" si="5"/>
        <v>6</v>
      </c>
      <c r="O18" s="188" t="s">
        <v>63</v>
      </c>
      <c r="P18" s="188"/>
      <c r="Q18" s="188"/>
      <c r="R18" s="188"/>
      <c r="S18" s="188"/>
      <c r="T18" s="35"/>
      <c r="U18" s="36"/>
      <c r="V18" s="37">
        <f>SUM(V13:V17)</f>
        <v>41041</v>
      </c>
      <c r="W18" s="2"/>
    </row>
    <row r="19" spans="2:23" ht="42" customHeight="1" x14ac:dyDescent="0.45">
      <c r="B19" s="172"/>
      <c r="C19" s="172"/>
      <c r="D19" s="172"/>
      <c r="E19" s="172"/>
      <c r="F19" s="172"/>
      <c r="G19" s="172"/>
      <c r="H19" s="190"/>
      <c r="I19" s="190"/>
      <c r="J19" s="172"/>
      <c r="K19" s="172"/>
      <c r="V19" s="140">
        <f>V11+V18</f>
        <v>3550307.6940000001</v>
      </c>
    </row>
    <row r="20" spans="2:23" ht="42" customHeight="1" x14ac:dyDescent="0.35">
      <c r="B20" s="172"/>
      <c r="C20" s="172"/>
      <c r="D20" s="172"/>
      <c r="E20" s="172"/>
      <c r="F20" s="172"/>
      <c r="G20" s="172"/>
      <c r="H20" s="185"/>
      <c r="I20" s="185"/>
      <c r="J20" s="172"/>
      <c r="K20" s="172"/>
    </row>
  </sheetData>
  <mergeCells count="62">
    <mergeCell ref="B20:C20"/>
    <mergeCell ref="D20:E20"/>
    <mergeCell ref="F20:G20"/>
    <mergeCell ref="H20:I20"/>
    <mergeCell ref="J20:K20"/>
    <mergeCell ref="B18:G18"/>
    <mergeCell ref="H18:I18"/>
    <mergeCell ref="J18:K18"/>
    <mergeCell ref="O18:S18"/>
    <mergeCell ref="B19:G19"/>
    <mergeCell ref="H19:I19"/>
    <mergeCell ref="J19:K19"/>
    <mergeCell ref="B16:G16"/>
    <mergeCell ref="H16:I16"/>
    <mergeCell ref="J16:K16"/>
    <mergeCell ref="O16:Q16"/>
    <mergeCell ref="B17:C17"/>
    <mergeCell ref="D17:E17"/>
    <mergeCell ref="F17:G17"/>
    <mergeCell ref="H17:I17"/>
    <mergeCell ref="J17:K17"/>
    <mergeCell ref="O17:Q17"/>
    <mergeCell ref="O15:Q15"/>
    <mergeCell ref="B14:C14"/>
    <mergeCell ref="D14:E14"/>
    <mergeCell ref="F14:G14"/>
    <mergeCell ref="H14:I14"/>
    <mergeCell ref="J14:K14"/>
    <mergeCell ref="O14:Q14"/>
    <mergeCell ref="B15:C15"/>
    <mergeCell ref="D15:E15"/>
    <mergeCell ref="F15:G15"/>
    <mergeCell ref="H15:I15"/>
    <mergeCell ref="J15:K15"/>
    <mergeCell ref="O13:Q13"/>
    <mergeCell ref="O11:S11"/>
    <mergeCell ref="B12:C12"/>
    <mergeCell ref="D12:E12"/>
    <mergeCell ref="F12:G12"/>
    <mergeCell ref="H12:I12"/>
    <mergeCell ref="J12:K12"/>
    <mergeCell ref="O12:Q12"/>
    <mergeCell ref="B13:C13"/>
    <mergeCell ref="D13:E13"/>
    <mergeCell ref="F13:G13"/>
    <mergeCell ref="H13:I13"/>
    <mergeCell ref="J13:K13"/>
    <mergeCell ref="B1:L1"/>
    <mergeCell ref="N1:W1"/>
    <mergeCell ref="B2:F2"/>
    <mergeCell ref="I2:L2"/>
    <mergeCell ref="O2:Q2"/>
    <mergeCell ref="B3:D10"/>
    <mergeCell ref="O3:Q3"/>
    <mergeCell ref="O4:Q4"/>
    <mergeCell ref="O5:Q5"/>
    <mergeCell ref="O6:Q6"/>
    <mergeCell ref="O7:Q7"/>
    <mergeCell ref="O8:Q8"/>
    <mergeCell ref="I9:I10"/>
    <mergeCell ref="O9:Q9"/>
    <mergeCell ref="O10:Q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21"/>
  <sheetViews>
    <sheetView topLeftCell="D1" zoomScale="50" zoomScaleNormal="50" workbookViewId="0">
      <selection activeCell="T8" sqref="T8"/>
    </sheetView>
  </sheetViews>
  <sheetFormatPr defaultColWidth="18.109375" defaultRowHeight="19.2" x14ac:dyDescent="0.35"/>
  <cols>
    <col min="1" max="12" width="18.109375" style="1"/>
    <col min="13" max="13" width="6.109375" style="1" customWidth="1"/>
    <col min="14" max="22" width="18.109375" style="1"/>
    <col min="23" max="23" width="36.5546875" style="1" customWidth="1"/>
    <col min="24" max="16384" width="18.109375" style="1"/>
  </cols>
  <sheetData>
    <row r="1" spans="2:23" ht="34.950000000000003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53.4" customHeight="1" x14ac:dyDescent="0.35">
      <c r="B2" s="205" t="s">
        <v>8</v>
      </c>
      <c r="C2" s="206"/>
      <c r="D2" s="206"/>
      <c r="E2" s="206"/>
      <c r="F2" s="206"/>
      <c r="G2" s="8"/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4.950000000000003" customHeight="1" x14ac:dyDescent="0.35">
      <c r="B3" s="207"/>
      <c r="C3" s="208"/>
      <c r="D3" s="208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97</v>
      </c>
      <c r="P3" s="170"/>
      <c r="Q3" s="170"/>
      <c r="R3" s="34">
        <f>K4*L4+K5*L5</f>
        <v>6800</v>
      </c>
      <c r="S3" s="29">
        <v>1.2589999999999999</v>
      </c>
      <c r="T3" s="32">
        <f>S3*R3</f>
        <v>8561.1999999999989</v>
      </c>
      <c r="U3" s="34">
        <v>178000</v>
      </c>
      <c r="V3" s="31">
        <f>U3*T3/1000</f>
        <v>1523893.5999999999</v>
      </c>
      <c r="W3" s="83"/>
    </row>
    <row r="4" spans="2:23" ht="34.950000000000003" customHeight="1" x14ac:dyDescent="0.35">
      <c r="B4" s="209"/>
      <c r="C4" s="210"/>
      <c r="D4" s="210"/>
      <c r="E4" s="3">
        <v>2400</v>
      </c>
      <c r="F4" s="3">
        <v>1000</v>
      </c>
      <c r="G4" s="3">
        <v>1</v>
      </c>
      <c r="H4" s="6" t="s">
        <v>19</v>
      </c>
      <c r="I4" s="3" t="s">
        <v>10</v>
      </c>
      <c r="J4" s="6" t="s">
        <v>122</v>
      </c>
      <c r="K4" s="3">
        <f>E4</f>
        <v>2400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K6*L6+K7*L7</f>
        <v>10192</v>
      </c>
      <c r="S4" s="29">
        <v>1.0509999999999999</v>
      </c>
      <c r="T4" s="32">
        <f t="shared" ref="T4:T6" si="0">S4*R4</f>
        <v>10711.791999999999</v>
      </c>
      <c r="U4" s="34">
        <v>178000</v>
      </c>
      <c r="V4" s="31">
        <f t="shared" ref="V4:V6" si="1">U4*T4/1000</f>
        <v>1906698.976</v>
      </c>
      <c r="W4" s="84"/>
    </row>
    <row r="5" spans="2:23" ht="34.950000000000003" customHeight="1" x14ac:dyDescent="0.35">
      <c r="B5" s="209"/>
      <c r="C5" s="210"/>
      <c r="D5" s="210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11</v>
      </c>
      <c r="J5" s="6" t="s">
        <v>122</v>
      </c>
      <c r="K5" s="3">
        <f>F4</f>
        <v>1000</v>
      </c>
      <c r="L5" s="3">
        <f>G4*2</f>
        <v>2</v>
      </c>
      <c r="N5" s="15">
        <f t="shared" ref="N5:N11" si="2">N4+1</f>
        <v>3</v>
      </c>
      <c r="O5" s="169" t="s">
        <v>49</v>
      </c>
      <c r="P5" s="170"/>
      <c r="Q5" s="170"/>
      <c r="R5" s="34">
        <f>R4</f>
        <v>10192</v>
      </c>
      <c r="S5" s="29">
        <v>0.27900000000000003</v>
      </c>
      <c r="T5" s="32">
        <f t="shared" si="0"/>
        <v>2843.5680000000002</v>
      </c>
      <c r="U5" s="34">
        <v>178000</v>
      </c>
      <c r="V5" s="31">
        <f t="shared" si="1"/>
        <v>506155.10400000005</v>
      </c>
      <c r="W5" s="84"/>
    </row>
    <row r="6" spans="2:23" ht="34.950000000000003" customHeight="1" x14ac:dyDescent="0.35">
      <c r="B6" s="209"/>
      <c r="C6" s="210"/>
      <c r="D6" s="210"/>
      <c r="E6" s="146">
        <f>G6+T7</f>
        <v>26028.848999999998</v>
      </c>
      <c r="F6" s="17">
        <f>F4*E4/1000</f>
        <v>2400</v>
      </c>
      <c r="G6" s="93">
        <f>SUM(T3:T6)</f>
        <v>24789.379999999997</v>
      </c>
      <c r="H6" s="6" t="s">
        <v>21</v>
      </c>
      <c r="I6" s="3" t="s">
        <v>17</v>
      </c>
      <c r="J6" s="6">
        <v>8305</v>
      </c>
      <c r="K6" s="115">
        <f>(E4-106)/3</f>
        <v>764.66666666666663</v>
      </c>
      <c r="L6" s="3">
        <f>G4*6</f>
        <v>6</v>
      </c>
      <c r="N6" s="15">
        <f t="shared" si="2"/>
        <v>4</v>
      </c>
      <c r="O6" s="169" t="s">
        <v>81</v>
      </c>
      <c r="P6" s="170"/>
      <c r="Q6" s="170"/>
      <c r="R6" s="34">
        <f>K8*L8</f>
        <v>1860</v>
      </c>
      <c r="S6" s="29">
        <v>1.4370000000000001</v>
      </c>
      <c r="T6" s="32">
        <f t="shared" si="0"/>
        <v>2672.82</v>
      </c>
      <c r="U6" s="34">
        <v>178000</v>
      </c>
      <c r="V6" s="31">
        <f t="shared" si="1"/>
        <v>475761.96</v>
      </c>
      <c r="W6" s="85"/>
    </row>
    <row r="7" spans="2:23" ht="34.950000000000003" customHeight="1" x14ac:dyDescent="0.35">
      <c r="B7" s="209"/>
      <c r="C7" s="210"/>
      <c r="D7" s="210"/>
      <c r="E7" s="2"/>
      <c r="F7" s="2"/>
      <c r="G7" s="2"/>
      <c r="H7" s="6" t="s">
        <v>22</v>
      </c>
      <c r="I7" s="3" t="s">
        <v>18</v>
      </c>
      <c r="J7" s="6">
        <v>8305</v>
      </c>
      <c r="K7" s="17">
        <f>F4-66</f>
        <v>934</v>
      </c>
      <c r="L7" s="3">
        <f>G4*6</f>
        <v>6</v>
      </c>
      <c r="N7" s="15">
        <f t="shared" si="2"/>
        <v>5</v>
      </c>
      <c r="O7" s="169" t="s">
        <v>72</v>
      </c>
      <c r="P7" s="170"/>
      <c r="Q7" s="171"/>
      <c r="R7" s="34"/>
      <c r="S7" s="29"/>
      <c r="T7" s="145">
        <f>SUM(T3:T6)*U7</f>
        <v>1239.4690000000001</v>
      </c>
      <c r="U7" s="55">
        <v>0.05</v>
      </c>
      <c r="V7" s="34">
        <f>SUM(V3:V6)*U7</f>
        <v>220625.48199999999</v>
      </c>
      <c r="W7" s="42"/>
    </row>
    <row r="8" spans="2:23" ht="34.950000000000003" customHeight="1" x14ac:dyDescent="0.35">
      <c r="B8" s="209"/>
      <c r="C8" s="210"/>
      <c r="D8" s="210"/>
      <c r="E8" s="2"/>
      <c r="F8" s="2"/>
      <c r="G8" s="2"/>
      <c r="H8" s="6" t="s">
        <v>24</v>
      </c>
      <c r="I8" s="3" t="s">
        <v>27</v>
      </c>
      <c r="J8" s="6">
        <v>8307</v>
      </c>
      <c r="K8" s="17">
        <f>F4-70</f>
        <v>930</v>
      </c>
      <c r="L8" s="3">
        <f>G4*2</f>
        <v>2</v>
      </c>
      <c r="N8" s="15">
        <f t="shared" si="2"/>
        <v>6</v>
      </c>
      <c r="O8" s="169" t="s">
        <v>132</v>
      </c>
      <c r="P8" s="170"/>
      <c r="Q8" s="170"/>
      <c r="R8" s="29"/>
      <c r="S8" s="29"/>
      <c r="T8" s="33">
        <v>4</v>
      </c>
      <c r="U8" s="44">
        <v>18000</v>
      </c>
      <c r="V8" s="31">
        <f t="shared" ref="V8:V10" si="3">U8*T8</f>
        <v>72000</v>
      </c>
      <c r="W8" s="15"/>
    </row>
    <row r="9" spans="2:23" ht="34.950000000000003" customHeight="1" x14ac:dyDescent="0.35">
      <c r="B9" s="209"/>
      <c r="C9" s="210"/>
      <c r="D9" s="210"/>
      <c r="E9" s="3"/>
      <c r="F9" s="3"/>
      <c r="G9" s="3"/>
      <c r="H9" s="3"/>
      <c r="I9" s="203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69" t="s">
        <v>133</v>
      </c>
      <c r="P9" s="170"/>
      <c r="Q9" s="170"/>
      <c r="R9" s="29"/>
      <c r="S9" s="29"/>
      <c r="T9" s="33">
        <v>12</v>
      </c>
      <c r="U9" s="44">
        <v>18000</v>
      </c>
      <c r="V9" s="31">
        <f t="shared" si="3"/>
        <v>216000</v>
      </c>
      <c r="W9" s="26" t="s">
        <v>67</v>
      </c>
    </row>
    <row r="10" spans="2:23" ht="34.950000000000003" customHeight="1" x14ac:dyDescent="0.35">
      <c r="B10" s="211"/>
      <c r="C10" s="212"/>
      <c r="D10" s="212"/>
      <c r="E10" s="3"/>
      <c r="F10" s="3"/>
      <c r="G10" s="3"/>
      <c r="H10" s="3"/>
      <c r="I10" s="204"/>
      <c r="J10" s="114">
        <f>K6-124</f>
        <v>640.66666666666663</v>
      </c>
      <c r="K10" s="17">
        <f>K7-124</f>
        <v>810</v>
      </c>
      <c r="L10" s="17">
        <f>G4*3</f>
        <v>3</v>
      </c>
      <c r="N10" s="15">
        <f>N9+1</f>
        <v>8</v>
      </c>
      <c r="O10" s="169" t="s">
        <v>55</v>
      </c>
      <c r="P10" s="170"/>
      <c r="Q10" s="170"/>
      <c r="R10" s="29"/>
      <c r="S10" s="29"/>
      <c r="T10" s="33">
        <f>T9*2+T8</f>
        <v>28</v>
      </c>
      <c r="U10" s="34">
        <v>1600</v>
      </c>
      <c r="V10" s="31">
        <f t="shared" si="3"/>
        <v>44800</v>
      </c>
      <c r="W10" s="26" t="s">
        <v>68</v>
      </c>
    </row>
    <row r="11" spans="2:23" ht="34.950000000000003" customHeight="1" x14ac:dyDescent="0.35">
      <c r="N11" s="15">
        <f t="shared" si="2"/>
        <v>9</v>
      </c>
      <c r="O11" s="182" t="s">
        <v>59</v>
      </c>
      <c r="P11" s="183"/>
      <c r="Q11" s="183"/>
      <c r="R11" s="183"/>
      <c r="S11" s="184"/>
      <c r="T11" s="35"/>
      <c r="U11" s="36"/>
      <c r="V11" s="37">
        <f>SUM(V3:V10)</f>
        <v>4965935.1219999995</v>
      </c>
      <c r="W11" s="15"/>
    </row>
    <row r="12" spans="2:23" ht="34.950000000000003" customHeight="1" x14ac:dyDescent="0.35">
      <c r="N12" s="24" t="s">
        <v>14</v>
      </c>
      <c r="O12" s="174" t="s">
        <v>45</v>
      </c>
      <c r="P12" s="174"/>
      <c r="Q12" s="174"/>
      <c r="R12" s="24" t="s">
        <v>46</v>
      </c>
      <c r="S12" s="30" t="s">
        <v>52</v>
      </c>
      <c r="T12" s="30"/>
      <c r="U12" s="24" t="s">
        <v>38</v>
      </c>
      <c r="V12" s="24" t="s">
        <v>39</v>
      </c>
      <c r="W12" s="2"/>
    </row>
    <row r="13" spans="2:23" ht="34.950000000000003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15">
        <v>1</v>
      </c>
      <c r="O13" s="169" t="s">
        <v>60</v>
      </c>
      <c r="P13" s="170"/>
      <c r="Q13" s="170"/>
      <c r="R13" s="38">
        <f>R3+R6+R4</f>
        <v>18852</v>
      </c>
      <c r="S13" s="2">
        <v>1</v>
      </c>
      <c r="T13" s="25"/>
      <c r="U13" s="38">
        <v>1000</v>
      </c>
      <c r="V13" s="38">
        <f>U13*R13/1000</f>
        <v>18852</v>
      </c>
      <c r="W13" s="2"/>
    </row>
    <row r="14" spans="2:23" ht="34.950000000000003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>N13+1</f>
        <v>2</v>
      </c>
      <c r="O14" s="169" t="s">
        <v>41</v>
      </c>
      <c r="P14" s="170"/>
      <c r="Q14" s="170"/>
      <c r="R14" s="38">
        <f>R4*2</f>
        <v>20384</v>
      </c>
      <c r="S14" s="2">
        <v>1</v>
      </c>
      <c r="T14" s="25"/>
      <c r="U14" s="38">
        <v>1000</v>
      </c>
      <c r="V14" s="38">
        <f>U14*R14/1000</f>
        <v>20384</v>
      </c>
      <c r="W14" s="2"/>
    </row>
    <row r="15" spans="2:23" ht="34.950000000000003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v>3</v>
      </c>
      <c r="O15" s="169" t="s">
        <v>62</v>
      </c>
      <c r="P15" s="170"/>
      <c r="Q15" s="171"/>
      <c r="R15" s="38"/>
      <c r="S15" s="60">
        <v>1</v>
      </c>
      <c r="T15" s="25"/>
      <c r="U15" s="38">
        <v>1000</v>
      </c>
      <c r="V15" s="38">
        <f t="shared" ref="V15:V16" si="4">U15*S15</f>
        <v>1000</v>
      </c>
      <c r="W15" s="26" t="s">
        <v>80</v>
      </c>
    </row>
    <row r="16" spans="2:23" ht="34.950000000000003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ref="N16:N17" si="5">N15+1</f>
        <v>4</v>
      </c>
      <c r="O16" s="169" t="s">
        <v>64</v>
      </c>
      <c r="P16" s="170"/>
      <c r="Q16" s="171"/>
      <c r="R16" s="38"/>
      <c r="S16" s="2">
        <v>1</v>
      </c>
      <c r="T16" s="25"/>
      <c r="U16" s="38">
        <v>2000</v>
      </c>
      <c r="V16" s="38">
        <f t="shared" si="4"/>
        <v>2000</v>
      </c>
      <c r="W16" s="26" t="s">
        <v>80</v>
      </c>
    </row>
    <row r="17" spans="2:23" ht="34.950000000000003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N17" s="15">
        <f t="shared" si="5"/>
        <v>5</v>
      </c>
      <c r="O17" s="188" t="s">
        <v>63</v>
      </c>
      <c r="P17" s="188"/>
      <c r="Q17" s="188"/>
      <c r="R17" s="188"/>
      <c r="S17" s="188"/>
      <c r="T17" s="35"/>
      <c r="U17" s="36"/>
      <c r="V17" s="37">
        <f>SUM(V13:V16)</f>
        <v>42236</v>
      </c>
      <c r="W17" s="2"/>
    </row>
    <row r="18" spans="2:23" ht="34.950000000000003" customHeight="1" x14ac:dyDescent="0.4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V18" s="139">
        <f>V11+V17</f>
        <v>5008171.1219999995</v>
      </c>
    </row>
    <row r="19" spans="2:23" ht="34.950000000000003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W19" s="1" t="s">
        <v>82</v>
      </c>
    </row>
    <row r="20" spans="2:23" ht="34.950000000000003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</row>
    <row r="21" spans="2:23" ht="34.950000000000003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</row>
  </sheetData>
  <mergeCells count="61">
    <mergeCell ref="B21:C21"/>
    <mergeCell ref="D21:E21"/>
    <mergeCell ref="F21:G21"/>
    <mergeCell ref="H21:I21"/>
    <mergeCell ref="J21:K21"/>
    <mergeCell ref="B19:G19"/>
    <mergeCell ref="H19:I19"/>
    <mergeCell ref="J19:K19"/>
    <mergeCell ref="B20:G20"/>
    <mergeCell ref="H20:I20"/>
    <mergeCell ref="J20:K20"/>
    <mergeCell ref="B17:G17"/>
    <mergeCell ref="H17:I17"/>
    <mergeCell ref="J17:K17"/>
    <mergeCell ref="O17:S17"/>
    <mergeCell ref="B18:C18"/>
    <mergeCell ref="D18:E18"/>
    <mergeCell ref="F18:G18"/>
    <mergeCell ref="H18:I18"/>
    <mergeCell ref="J18:K18"/>
    <mergeCell ref="O16:Q16"/>
    <mergeCell ref="B15:C15"/>
    <mergeCell ref="D15:E15"/>
    <mergeCell ref="F15:G15"/>
    <mergeCell ref="H15:I15"/>
    <mergeCell ref="J15:K15"/>
    <mergeCell ref="O15:Q15"/>
    <mergeCell ref="B16:C16"/>
    <mergeCell ref="D16:E16"/>
    <mergeCell ref="F16:G16"/>
    <mergeCell ref="H16:I16"/>
    <mergeCell ref="J16:K16"/>
    <mergeCell ref="O14:Q14"/>
    <mergeCell ref="O11:S11"/>
    <mergeCell ref="O12:Q12"/>
    <mergeCell ref="B13:C13"/>
    <mergeCell ref="D13:E13"/>
    <mergeCell ref="F13:G13"/>
    <mergeCell ref="H13:I13"/>
    <mergeCell ref="J13:K13"/>
    <mergeCell ref="O13:Q13"/>
    <mergeCell ref="B14:C14"/>
    <mergeCell ref="D14:E14"/>
    <mergeCell ref="F14:G14"/>
    <mergeCell ref="H14:I14"/>
    <mergeCell ref="J14:K14"/>
    <mergeCell ref="B1:L1"/>
    <mergeCell ref="N1:W1"/>
    <mergeCell ref="B2:F2"/>
    <mergeCell ref="I2:L2"/>
    <mergeCell ref="O2:Q2"/>
    <mergeCell ref="B3:D10"/>
    <mergeCell ref="O3:Q3"/>
    <mergeCell ref="O4:Q4"/>
    <mergeCell ref="O5:Q5"/>
    <mergeCell ref="O6:Q6"/>
    <mergeCell ref="O7:Q7"/>
    <mergeCell ref="O8:Q8"/>
    <mergeCell ref="I9:I10"/>
    <mergeCell ref="O9:Q9"/>
    <mergeCell ref="O10:Q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W21"/>
  <sheetViews>
    <sheetView zoomScale="40" zoomScaleNormal="40" workbookViewId="0">
      <selection activeCell="F18" sqref="F18:G18"/>
    </sheetView>
  </sheetViews>
  <sheetFormatPr defaultColWidth="17.6640625" defaultRowHeight="44.4" customHeight="1" x14ac:dyDescent="0.35"/>
  <cols>
    <col min="1" max="12" width="17.6640625" style="1"/>
    <col min="13" max="14" width="6.21875" style="1" customWidth="1"/>
    <col min="15" max="21" width="17.6640625" style="1"/>
    <col min="22" max="22" width="20.21875" style="1" customWidth="1"/>
    <col min="23" max="23" width="35" style="1" customWidth="1"/>
    <col min="24" max="16384" width="17.6640625" style="1"/>
  </cols>
  <sheetData>
    <row r="1" spans="2:23" ht="44.4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44.4" customHeight="1" x14ac:dyDescent="0.35">
      <c r="B2" s="205"/>
      <c r="C2" s="206"/>
      <c r="D2" s="206"/>
      <c r="E2" s="206"/>
      <c r="F2" s="206"/>
      <c r="G2" s="8"/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44.4" customHeight="1" x14ac:dyDescent="0.35">
      <c r="B3" s="207"/>
      <c r="C3" s="208"/>
      <c r="D3" s="216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97</v>
      </c>
      <c r="P3" s="170"/>
      <c r="Q3" s="170"/>
      <c r="R3" s="34">
        <f>K4*L4+K5*L5</f>
        <v>9200</v>
      </c>
      <c r="S3" s="29">
        <v>1.2589999999999999</v>
      </c>
      <c r="T3" s="32">
        <f>S3*R3</f>
        <v>11582.8</v>
      </c>
      <c r="U3" s="34">
        <v>178000</v>
      </c>
      <c r="V3" s="31">
        <f>U3*T3/1000</f>
        <v>2061738.3999999997</v>
      </c>
      <c r="W3" s="83"/>
    </row>
    <row r="4" spans="2:23" ht="44.4" customHeight="1" x14ac:dyDescent="0.35">
      <c r="B4" s="209"/>
      <c r="C4" s="210"/>
      <c r="D4" s="217"/>
      <c r="E4" s="3">
        <v>3600</v>
      </c>
      <c r="F4" s="3">
        <v>1000</v>
      </c>
      <c r="G4" s="3">
        <v>1</v>
      </c>
      <c r="H4" s="6" t="s">
        <v>19</v>
      </c>
      <c r="I4" s="3" t="s">
        <v>10</v>
      </c>
      <c r="J4" s="6" t="s">
        <v>122</v>
      </c>
      <c r="K4" s="3">
        <f>E4</f>
        <v>3600</v>
      </c>
      <c r="L4" s="3">
        <f>G4*2</f>
        <v>2</v>
      </c>
      <c r="N4" s="15">
        <f>N3+1</f>
        <v>2</v>
      </c>
      <c r="O4" s="169" t="s">
        <v>75</v>
      </c>
      <c r="P4" s="170"/>
      <c r="Q4" s="170"/>
      <c r="R4" s="34">
        <f>K7*L7+K8*L8</f>
        <v>14446</v>
      </c>
      <c r="S4" s="29">
        <v>1.0509999999999999</v>
      </c>
      <c r="T4" s="32">
        <f t="shared" ref="T4:T7" si="0">S4*R4</f>
        <v>15182.745999999999</v>
      </c>
      <c r="U4" s="34">
        <v>178000</v>
      </c>
      <c r="V4" s="31">
        <f t="shared" ref="V4:V7" si="1">U4*T4/1000</f>
        <v>2702528.7880000002</v>
      </c>
      <c r="W4" s="84"/>
    </row>
    <row r="5" spans="2:23" ht="44.4" customHeight="1" x14ac:dyDescent="0.35">
      <c r="B5" s="209"/>
      <c r="C5" s="210"/>
      <c r="D5" s="217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11</v>
      </c>
      <c r="J5" s="6" t="s">
        <v>122</v>
      </c>
      <c r="K5" s="3">
        <f>F4</f>
        <v>1000</v>
      </c>
      <c r="L5" s="3">
        <f>G4*2</f>
        <v>2</v>
      </c>
      <c r="N5" s="15">
        <f t="shared" ref="N5:N12" si="2">N4+1</f>
        <v>3</v>
      </c>
      <c r="O5" s="169" t="s">
        <v>49</v>
      </c>
      <c r="P5" s="170"/>
      <c r="Q5" s="170"/>
      <c r="R5" s="34">
        <f>R4</f>
        <v>14446</v>
      </c>
      <c r="S5" s="29">
        <v>0.27900000000000003</v>
      </c>
      <c r="T5" s="32">
        <f t="shared" si="0"/>
        <v>4030.4340000000002</v>
      </c>
      <c r="U5" s="34">
        <v>178000</v>
      </c>
      <c r="V5" s="31">
        <f t="shared" si="1"/>
        <v>717417.25199999998</v>
      </c>
      <c r="W5" s="84"/>
    </row>
    <row r="6" spans="2:23" ht="44.4" customHeight="1" x14ac:dyDescent="0.35">
      <c r="B6" s="209"/>
      <c r="C6" s="210"/>
      <c r="D6" s="217"/>
      <c r="E6" s="146">
        <f>G6+T8</f>
        <v>36018.192000000003</v>
      </c>
      <c r="F6" s="17">
        <f>F4*E4/1000</f>
        <v>3600</v>
      </c>
      <c r="G6" s="93">
        <f>SUM(T3:T7)</f>
        <v>34303.040000000001</v>
      </c>
      <c r="H6" s="6" t="s">
        <v>21</v>
      </c>
      <c r="I6" s="3" t="s">
        <v>27</v>
      </c>
      <c r="J6" s="6">
        <v>8307</v>
      </c>
      <c r="K6" s="17">
        <f>F4-70</f>
        <v>930</v>
      </c>
      <c r="L6" s="3">
        <f>G4*2</f>
        <v>2</v>
      </c>
      <c r="N6" s="15">
        <f t="shared" si="2"/>
        <v>4</v>
      </c>
      <c r="O6" s="169" t="s">
        <v>83</v>
      </c>
      <c r="P6" s="170"/>
      <c r="Q6" s="170"/>
      <c r="R6" s="34">
        <f>K9*L9</f>
        <v>869</v>
      </c>
      <c r="S6" s="102">
        <v>0.96</v>
      </c>
      <c r="T6" s="32">
        <f t="shared" si="0"/>
        <v>834.24</v>
      </c>
      <c r="U6" s="34">
        <v>178000</v>
      </c>
      <c r="V6" s="31">
        <f t="shared" si="1"/>
        <v>148494.72</v>
      </c>
      <c r="W6" s="85"/>
    </row>
    <row r="7" spans="2:23" ht="44.4" customHeight="1" x14ac:dyDescent="0.35">
      <c r="B7" s="209"/>
      <c r="C7" s="210"/>
      <c r="D7" s="217"/>
      <c r="E7" s="2"/>
      <c r="F7" s="2"/>
      <c r="G7" s="2"/>
      <c r="H7" s="6" t="s">
        <v>22</v>
      </c>
      <c r="I7" s="3" t="s">
        <v>17</v>
      </c>
      <c r="J7" s="6">
        <v>8305</v>
      </c>
      <c r="K7" s="17">
        <f>(E4-113)/4</f>
        <v>871.75</v>
      </c>
      <c r="L7" s="3">
        <f>G4*8</f>
        <v>8</v>
      </c>
      <c r="N7" s="15">
        <f t="shared" si="2"/>
        <v>5</v>
      </c>
      <c r="O7" s="169" t="s">
        <v>81</v>
      </c>
      <c r="P7" s="170"/>
      <c r="Q7" s="170"/>
      <c r="R7" s="34">
        <f>K6*L6</f>
        <v>1860</v>
      </c>
      <c r="S7" s="29">
        <v>1.4370000000000001</v>
      </c>
      <c r="T7" s="32">
        <f t="shared" si="0"/>
        <v>2672.82</v>
      </c>
      <c r="U7" s="34">
        <v>178000</v>
      </c>
      <c r="V7" s="31">
        <f t="shared" si="1"/>
        <v>475761.96</v>
      </c>
      <c r="W7" s="42"/>
    </row>
    <row r="8" spans="2:23" ht="44.4" customHeight="1" x14ac:dyDescent="0.35">
      <c r="B8" s="209"/>
      <c r="C8" s="210"/>
      <c r="D8" s="217"/>
      <c r="E8" s="2"/>
      <c r="F8" s="2"/>
      <c r="G8" s="2"/>
      <c r="H8" s="6" t="s">
        <v>24</v>
      </c>
      <c r="I8" s="3" t="s">
        <v>18</v>
      </c>
      <c r="J8" s="6">
        <v>8305</v>
      </c>
      <c r="K8" s="17">
        <f>F4-66</f>
        <v>934</v>
      </c>
      <c r="L8" s="3">
        <f>G4*8</f>
        <v>8</v>
      </c>
      <c r="N8" s="15">
        <f t="shared" si="2"/>
        <v>6</v>
      </c>
      <c r="O8" s="169" t="s">
        <v>72</v>
      </c>
      <c r="P8" s="170"/>
      <c r="Q8" s="171"/>
      <c r="R8" s="34"/>
      <c r="S8" s="29"/>
      <c r="T8" s="145">
        <f>SUM(T3:T7)*U8</f>
        <v>1715.152</v>
      </c>
      <c r="U8" s="55">
        <v>0.05</v>
      </c>
      <c r="V8" s="34">
        <f>SUM(V3:V7)*U8</f>
        <v>305297.05600000004</v>
      </c>
      <c r="W8" s="42"/>
    </row>
    <row r="9" spans="2:23" ht="44.4" customHeight="1" x14ac:dyDescent="0.35">
      <c r="B9" s="209"/>
      <c r="C9" s="210"/>
      <c r="D9" s="217"/>
      <c r="E9" s="2"/>
      <c r="F9" s="2"/>
      <c r="G9" s="2"/>
      <c r="H9" s="6" t="s">
        <v>25</v>
      </c>
      <c r="I9" s="3" t="s">
        <v>16</v>
      </c>
      <c r="J9" s="6">
        <v>8306</v>
      </c>
      <c r="K9" s="116">
        <f>ROUNDDOWN(K8-28.2*2-8,0)</f>
        <v>869</v>
      </c>
      <c r="L9" s="3">
        <f>G4*1</f>
        <v>1</v>
      </c>
      <c r="N9" s="15">
        <f t="shared" si="2"/>
        <v>7</v>
      </c>
      <c r="O9" s="169" t="s">
        <v>132</v>
      </c>
      <c r="P9" s="170"/>
      <c r="Q9" s="170"/>
      <c r="R9" s="29"/>
      <c r="S9" s="29"/>
      <c r="T9" s="33">
        <v>4</v>
      </c>
      <c r="U9" s="44">
        <v>18000</v>
      </c>
      <c r="V9" s="31">
        <f t="shared" ref="V9:V11" si="3">U9*T9</f>
        <v>72000</v>
      </c>
      <c r="W9" s="15"/>
    </row>
    <row r="10" spans="2:23" ht="44.4" customHeight="1" x14ac:dyDescent="0.35">
      <c r="B10" s="209"/>
      <c r="C10" s="210"/>
      <c r="D10" s="217"/>
      <c r="E10" s="3"/>
      <c r="F10" s="3"/>
      <c r="G10" s="3"/>
      <c r="H10" s="3"/>
      <c r="I10" s="203" t="s">
        <v>73</v>
      </c>
      <c r="J10" s="3" t="s">
        <v>6</v>
      </c>
      <c r="K10" s="3" t="s">
        <v>7</v>
      </c>
      <c r="L10" s="5" t="s">
        <v>2</v>
      </c>
      <c r="N10" s="15">
        <f t="shared" si="2"/>
        <v>8</v>
      </c>
      <c r="O10" s="169" t="s">
        <v>133</v>
      </c>
      <c r="P10" s="170"/>
      <c r="Q10" s="170"/>
      <c r="R10" s="29"/>
      <c r="S10" s="29"/>
      <c r="T10" s="33">
        <v>16</v>
      </c>
      <c r="U10" s="44">
        <v>18000</v>
      </c>
      <c r="V10" s="31">
        <f t="shared" si="3"/>
        <v>288000</v>
      </c>
      <c r="W10" s="26" t="s">
        <v>67</v>
      </c>
    </row>
    <row r="11" spans="2:23" ht="44.4" customHeight="1" x14ac:dyDescent="0.35">
      <c r="B11" s="211"/>
      <c r="C11" s="212"/>
      <c r="D11" s="218"/>
      <c r="E11" s="3"/>
      <c r="F11" s="3"/>
      <c r="G11" s="3"/>
      <c r="H11" s="3"/>
      <c r="I11" s="204"/>
      <c r="J11" s="114">
        <f>K7-124</f>
        <v>747.75</v>
      </c>
      <c r="K11" s="17">
        <f>K8-124</f>
        <v>810</v>
      </c>
      <c r="L11" s="3">
        <f>G4*4</f>
        <v>4</v>
      </c>
      <c r="N11" s="15">
        <f t="shared" si="2"/>
        <v>9</v>
      </c>
      <c r="O11" s="169" t="s">
        <v>55</v>
      </c>
      <c r="P11" s="170"/>
      <c r="Q11" s="170"/>
      <c r="R11" s="29"/>
      <c r="S11" s="29"/>
      <c r="T11" s="33">
        <f>T10*2+T9</f>
        <v>36</v>
      </c>
      <c r="U11" s="34">
        <v>1600</v>
      </c>
      <c r="V11" s="31">
        <f t="shared" si="3"/>
        <v>57600</v>
      </c>
      <c r="W11" s="26" t="s">
        <v>68</v>
      </c>
    </row>
    <row r="12" spans="2:23" ht="44.4" customHeight="1" x14ac:dyDescent="0.35">
      <c r="N12" s="15">
        <f t="shared" si="2"/>
        <v>10</v>
      </c>
      <c r="O12" s="182" t="s">
        <v>59</v>
      </c>
      <c r="P12" s="183"/>
      <c r="Q12" s="183"/>
      <c r="R12" s="183"/>
      <c r="S12" s="184"/>
      <c r="T12" s="35"/>
      <c r="U12" s="36"/>
      <c r="V12" s="37">
        <f>SUM(V3:V11)</f>
        <v>6828838.176</v>
      </c>
      <c r="W12" s="15"/>
    </row>
    <row r="13" spans="2:23" ht="44.4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24" t="s">
        <v>14</v>
      </c>
      <c r="O13" s="174" t="s">
        <v>45</v>
      </c>
      <c r="P13" s="174"/>
      <c r="Q13" s="174"/>
      <c r="R13" s="24" t="s">
        <v>46</v>
      </c>
      <c r="S13" s="30" t="s">
        <v>52</v>
      </c>
      <c r="T13" s="30"/>
      <c r="U13" s="24" t="s">
        <v>38</v>
      </c>
      <c r="V13" s="24" t="s">
        <v>39</v>
      </c>
      <c r="W13" s="2"/>
    </row>
    <row r="14" spans="2:23" ht="44.4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v>1</v>
      </c>
      <c r="O14" s="169" t="s">
        <v>60</v>
      </c>
      <c r="P14" s="170"/>
      <c r="Q14" s="170"/>
      <c r="R14" s="38">
        <f>R3+R4+R6+R7*2</f>
        <v>28235</v>
      </c>
      <c r="S14" s="2">
        <v>1</v>
      </c>
      <c r="T14" s="25"/>
      <c r="U14" s="38">
        <v>1000</v>
      </c>
      <c r="V14" s="38">
        <f>U14*R14*S14/1000</f>
        <v>28235</v>
      </c>
      <c r="W14" s="2"/>
    </row>
    <row r="15" spans="2:23" ht="44.4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>N14+1</f>
        <v>2</v>
      </c>
      <c r="O15" s="169" t="s">
        <v>41</v>
      </c>
      <c r="P15" s="170"/>
      <c r="Q15" s="170"/>
      <c r="R15" s="38">
        <f>R4*2</f>
        <v>28892</v>
      </c>
      <c r="S15" s="2">
        <v>1</v>
      </c>
      <c r="T15" s="25"/>
      <c r="U15" s="38">
        <v>1000</v>
      </c>
      <c r="V15" s="38">
        <f>U15*R15*S15/1000</f>
        <v>28892</v>
      </c>
      <c r="W15" s="2"/>
    </row>
    <row r="16" spans="2:23" ht="44.4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ref="N16:N19" si="4">N15+1</f>
        <v>3</v>
      </c>
      <c r="O16" s="169" t="s">
        <v>66</v>
      </c>
      <c r="P16" s="170"/>
      <c r="Q16" s="170"/>
      <c r="R16" s="38"/>
      <c r="S16" s="2">
        <v>1</v>
      </c>
      <c r="T16" s="25"/>
      <c r="U16" s="38">
        <v>10000</v>
      </c>
      <c r="V16" s="38">
        <f>U16*S16</f>
        <v>10000</v>
      </c>
      <c r="W16" s="26" t="s">
        <v>69</v>
      </c>
    </row>
    <row r="17" spans="2:23" ht="44.4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N17" s="15">
        <f t="shared" si="4"/>
        <v>4</v>
      </c>
      <c r="O17" s="169" t="s">
        <v>62</v>
      </c>
      <c r="P17" s="170"/>
      <c r="Q17" s="171"/>
      <c r="R17" s="38"/>
      <c r="S17" s="60">
        <v>1</v>
      </c>
      <c r="T17" s="25"/>
      <c r="U17" s="38">
        <v>1000</v>
      </c>
      <c r="V17" s="38">
        <f t="shared" ref="V17:V18" si="5">U17*S17</f>
        <v>1000</v>
      </c>
      <c r="W17" s="26"/>
    </row>
    <row r="18" spans="2:23" ht="44.4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N18" s="15">
        <f t="shared" si="4"/>
        <v>5</v>
      </c>
      <c r="O18" s="169" t="s">
        <v>64</v>
      </c>
      <c r="P18" s="170"/>
      <c r="Q18" s="171"/>
      <c r="R18" s="38"/>
      <c r="S18" s="2">
        <v>1</v>
      </c>
      <c r="T18" s="25"/>
      <c r="U18" s="38">
        <v>2000</v>
      </c>
      <c r="V18" s="38">
        <f t="shared" si="5"/>
        <v>2000</v>
      </c>
      <c r="W18" s="2"/>
    </row>
    <row r="19" spans="2:23" ht="44.4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N19" s="15">
        <f t="shared" si="4"/>
        <v>6</v>
      </c>
      <c r="O19" s="188" t="s">
        <v>63</v>
      </c>
      <c r="P19" s="188"/>
      <c r="Q19" s="188"/>
      <c r="R19" s="188"/>
      <c r="S19" s="188"/>
      <c r="T19" s="35"/>
      <c r="U19" s="36"/>
      <c r="V19" s="37">
        <f>SUM(V14:V18)</f>
        <v>70127</v>
      </c>
      <c r="W19" s="2"/>
    </row>
    <row r="20" spans="2:23" ht="44.4" customHeight="1" x14ac:dyDescent="0.4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V20" s="139">
        <f>V12+V19</f>
        <v>6898965.176</v>
      </c>
    </row>
    <row r="21" spans="2:23" ht="44.4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</row>
  </sheetData>
  <mergeCells count="63">
    <mergeCell ref="B20:G20"/>
    <mergeCell ref="H20:I20"/>
    <mergeCell ref="J20:K20"/>
    <mergeCell ref="B21:C21"/>
    <mergeCell ref="D21:E21"/>
    <mergeCell ref="F21:G21"/>
    <mergeCell ref="H21:I21"/>
    <mergeCell ref="J21:K21"/>
    <mergeCell ref="O18:Q18"/>
    <mergeCell ref="B19:G19"/>
    <mergeCell ref="H19:I19"/>
    <mergeCell ref="J19:K19"/>
    <mergeCell ref="O19:S19"/>
    <mergeCell ref="B18:C18"/>
    <mergeCell ref="D18:E18"/>
    <mergeCell ref="F18:G18"/>
    <mergeCell ref="H18:I18"/>
    <mergeCell ref="J18:K18"/>
    <mergeCell ref="O14:Q14"/>
    <mergeCell ref="O12:S12"/>
    <mergeCell ref="O13:Q13"/>
    <mergeCell ref="B17:G17"/>
    <mergeCell ref="H17:I17"/>
    <mergeCell ref="J17:K17"/>
    <mergeCell ref="O17:Q17"/>
    <mergeCell ref="O16:Q16"/>
    <mergeCell ref="B15:C15"/>
    <mergeCell ref="D15:E15"/>
    <mergeCell ref="F15:G15"/>
    <mergeCell ref="H15:I15"/>
    <mergeCell ref="J15:K15"/>
    <mergeCell ref="O15:Q15"/>
    <mergeCell ref="B16:C16"/>
    <mergeCell ref="D16:E16"/>
    <mergeCell ref="F16:G16"/>
    <mergeCell ref="H16:I16"/>
    <mergeCell ref="J16:K16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O11:Q11"/>
    <mergeCell ref="B1:L1"/>
    <mergeCell ref="N1:W1"/>
    <mergeCell ref="B2:F2"/>
    <mergeCell ref="I2:L2"/>
    <mergeCell ref="O2:Q2"/>
    <mergeCell ref="B3:D11"/>
    <mergeCell ref="O3:Q3"/>
    <mergeCell ref="O4:Q4"/>
    <mergeCell ref="O5:Q5"/>
    <mergeCell ref="O6:Q6"/>
    <mergeCell ref="O7:Q7"/>
    <mergeCell ref="O8:Q8"/>
    <mergeCell ref="O9:Q9"/>
    <mergeCell ref="I10:I11"/>
    <mergeCell ref="O10:Q1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W28"/>
  <sheetViews>
    <sheetView zoomScale="40" zoomScaleNormal="40" workbookViewId="0">
      <selection activeCell="B17" sqref="B17:G17"/>
    </sheetView>
  </sheetViews>
  <sheetFormatPr defaultColWidth="17.6640625" defaultRowHeight="34.200000000000003" customHeight="1" x14ac:dyDescent="0.35"/>
  <cols>
    <col min="1" max="12" width="17.6640625" style="1"/>
    <col min="13" max="14" width="4.44140625" style="1" customWidth="1"/>
    <col min="15" max="21" width="17.6640625" style="1"/>
    <col min="22" max="22" width="21.109375" style="1" customWidth="1"/>
    <col min="23" max="23" width="35.6640625" style="1" customWidth="1"/>
    <col min="24" max="16384" width="17.6640625" style="1"/>
  </cols>
  <sheetData>
    <row r="1" spans="2:23" ht="34.200000000000003" customHeight="1" x14ac:dyDescent="0.45"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34.200000000000003" customHeight="1" x14ac:dyDescent="0.35">
      <c r="B2" s="205" t="s">
        <v>8</v>
      </c>
      <c r="C2" s="206"/>
      <c r="D2" s="206"/>
      <c r="E2" s="206"/>
      <c r="F2" s="220"/>
      <c r="G2" s="12"/>
      <c r="H2" s="7"/>
      <c r="I2" s="205" t="s">
        <v>9</v>
      </c>
      <c r="J2" s="206"/>
      <c r="K2" s="206"/>
      <c r="L2" s="206"/>
      <c r="M2" s="2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4.200000000000003" customHeight="1" x14ac:dyDescent="0.35">
      <c r="B3" s="196"/>
      <c r="C3" s="197"/>
      <c r="D3" s="197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92</v>
      </c>
      <c r="P3" s="170"/>
      <c r="Q3" s="170"/>
      <c r="R3" s="34">
        <f>K4*L4</f>
        <v>2000</v>
      </c>
      <c r="S3" s="29">
        <v>1.2589999999999999</v>
      </c>
      <c r="T3" s="32">
        <f>S3*R3</f>
        <v>2518</v>
      </c>
      <c r="U3" s="34">
        <v>178000</v>
      </c>
      <c r="V3" s="31">
        <f>U3*T3/1000</f>
        <v>448204</v>
      </c>
      <c r="W3" s="83"/>
    </row>
    <row r="4" spans="2:23" ht="34.200000000000003" customHeight="1" x14ac:dyDescent="0.35">
      <c r="B4" s="177"/>
      <c r="C4" s="178"/>
      <c r="D4" s="178"/>
      <c r="E4" s="3">
        <v>1000</v>
      </c>
      <c r="F4" s="3">
        <v>1000</v>
      </c>
      <c r="G4" s="3">
        <v>1</v>
      </c>
      <c r="H4" s="6" t="s">
        <v>19</v>
      </c>
      <c r="I4" s="3" t="s">
        <v>11</v>
      </c>
      <c r="J4" s="6">
        <v>8301</v>
      </c>
      <c r="K4" s="3">
        <f>F4</f>
        <v>1000</v>
      </c>
      <c r="L4" s="3">
        <v>2</v>
      </c>
      <c r="N4" s="15">
        <f>N3+1</f>
        <v>2</v>
      </c>
      <c r="O4" s="169" t="s">
        <v>99</v>
      </c>
      <c r="P4" s="170"/>
      <c r="Q4" s="170"/>
      <c r="R4" s="34">
        <f>K5*L5</f>
        <v>2000</v>
      </c>
      <c r="S4" s="90">
        <v>1.1060000000000001</v>
      </c>
      <c r="T4" s="32">
        <f t="shared" ref="T4:T5" si="0">S4*R4</f>
        <v>2212</v>
      </c>
      <c r="U4" s="34">
        <v>178000</v>
      </c>
      <c r="V4" s="31">
        <f t="shared" ref="V4:V6" si="1">U4*T4/1000</f>
        <v>393736</v>
      </c>
      <c r="W4" s="84"/>
    </row>
    <row r="5" spans="2:23" ht="34.200000000000003" customHeight="1" x14ac:dyDescent="0.35">
      <c r="B5" s="177"/>
      <c r="C5" s="178"/>
      <c r="D5" s="178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10</v>
      </c>
      <c r="J5" s="6">
        <v>8301</v>
      </c>
      <c r="K5" s="3">
        <f>E4</f>
        <v>1000</v>
      </c>
      <c r="L5" s="3">
        <v>2</v>
      </c>
      <c r="N5" s="15">
        <f t="shared" ref="N5:N15" si="2">N4+1</f>
        <v>3</v>
      </c>
      <c r="O5" s="169" t="s">
        <v>103</v>
      </c>
      <c r="P5" s="170"/>
      <c r="Q5" s="170"/>
      <c r="R5" s="34">
        <f>R3+R4</f>
        <v>4000</v>
      </c>
      <c r="S5" s="90">
        <v>0.27900000000000003</v>
      </c>
      <c r="T5" s="32">
        <f t="shared" si="0"/>
        <v>1116</v>
      </c>
      <c r="U5" s="34">
        <v>178000</v>
      </c>
      <c r="V5" s="31">
        <f t="shared" si="1"/>
        <v>198648</v>
      </c>
      <c r="W5" s="84"/>
    </row>
    <row r="6" spans="2:23" ht="34.200000000000003" customHeight="1" x14ac:dyDescent="0.35">
      <c r="B6" s="177"/>
      <c r="C6" s="178"/>
      <c r="D6" s="178"/>
      <c r="E6" s="146">
        <f>G6+T7</f>
        <v>6157.45</v>
      </c>
      <c r="F6" s="17">
        <f>F4*E4/1000</f>
        <v>1000</v>
      </c>
      <c r="G6" s="93">
        <f>SUM(T3:T5)</f>
        <v>5846</v>
      </c>
      <c r="H6" s="6" t="s">
        <v>21</v>
      </c>
      <c r="I6" s="3" t="s">
        <v>102</v>
      </c>
      <c r="J6" s="6">
        <v>0.38300000000000001</v>
      </c>
      <c r="K6" s="3">
        <f>E4</f>
        <v>1000</v>
      </c>
      <c r="L6" s="3">
        <v>1</v>
      </c>
      <c r="N6" s="15"/>
      <c r="O6" s="169" t="s">
        <v>102</v>
      </c>
      <c r="P6" s="170"/>
      <c r="Q6" s="170"/>
      <c r="R6" s="34">
        <f>K5</f>
        <v>1000</v>
      </c>
      <c r="S6" s="90">
        <v>0.38300000000000001</v>
      </c>
      <c r="T6" s="32">
        <f t="shared" ref="T6" si="3">S6*R6</f>
        <v>383</v>
      </c>
      <c r="U6" s="34">
        <v>178000</v>
      </c>
      <c r="V6" s="31">
        <f t="shared" si="1"/>
        <v>68174</v>
      </c>
      <c r="W6" s="84"/>
    </row>
    <row r="7" spans="2:23" ht="34.200000000000003" customHeight="1" x14ac:dyDescent="0.35">
      <c r="B7" s="177"/>
      <c r="C7" s="178"/>
      <c r="D7" s="178"/>
      <c r="E7" s="60"/>
      <c r="F7" s="17"/>
      <c r="G7" s="93"/>
      <c r="H7" s="6" t="s">
        <v>21</v>
      </c>
      <c r="I7" s="203" t="s">
        <v>73</v>
      </c>
      <c r="J7" s="3" t="s">
        <v>6</v>
      </c>
      <c r="K7" s="3" t="s">
        <v>7</v>
      </c>
      <c r="L7" s="5" t="s">
        <v>2</v>
      </c>
      <c r="N7" s="15">
        <f>N5+1</f>
        <v>4</v>
      </c>
      <c r="O7" s="169" t="s">
        <v>72</v>
      </c>
      <c r="P7" s="170"/>
      <c r="Q7" s="171"/>
      <c r="R7" s="34"/>
      <c r="S7" s="29"/>
      <c r="T7" s="145">
        <f>SUM(T3:T6)*U7</f>
        <v>311.45000000000005</v>
      </c>
      <c r="U7" s="55">
        <v>0.05</v>
      </c>
      <c r="V7" s="34">
        <f>SUM(V3:V6)*U7</f>
        <v>55438.100000000006</v>
      </c>
      <c r="W7" s="42"/>
    </row>
    <row r="8" spans="2:23" ht="34.200000000000003" customHeight="1" x14ac:dyDescent="0.35">
      <c r="B8" s="179"/>
      <c r="C8" s="180"/>
      <c r="D8" s="180"/>
      <c r="E8" s="3"/>
      <c r="F8" s="3"/>
      <c r="G8" s="3"/>
      <c r="H8" s="6" t="s">
        <v>22</v>
      </c>
      <c r="I8" s="204"/>
      <c r="J8" s="17">
        <f>K4-90</f>
        <v>910</v>
      </c>
      <c r="K8" s="17">
        <f>K5-90</f>
        <v>910</v>
      </c>
      <c r="L8" s="3">
        <f>L5</f>
        <v>2</v>
      </c>
      <c r="N8" s="15">
        <f t="shared" si="2"/>
        <v>5</v>
      </c>
      <c r="O8" s="169" t="s">
        <v>132</v>
      </c>
      <c r="P8" s="170"/>
      <c r="Q8" s="170"/>
      <c r="R8" s="29"/>
      <c r="S8" s="29"/>
      <c r="T8" s="33">
        <v>4</v>
      </c>
      <c r="U8" s="44">
        <v>18000</v>
      </c>
      <c r="V8" s="31">
        <f>U8*T8</f>
        <v>72000</v>
      </c>
      <c r="W8" s="26" t="s">
        <v>100</v>
      </c>
    </row>
    <row r="9" spans="2:23" ht="34.200000000000003" customHeight="1" x14ac:dyDescent="0.35">
      <c r="N9" s="15">
        <f t="shared" si="2"/>
        <v>6</v>
      </c>
      <c r="O9" s="169" t="s">
        <v>55</v>
      </c>
      <c r="P9" s="170"/>
      <c r="Q9" s="170"/>
      <c r="R9" s="29"/>
      <c r="S9" s="29"/>
      <c r="T9" s="33">
        <v>4</v>
      </c>
      <c r="U9" s="34">
        <v>1600</v>
      </c>
      <c r="V9" s="31">
        <f t="shared" ref="V9" si="4">U9*T9</f>
        <v>6400</v>
      </c>
      <c r="W9" s="26" t="s">
        <v>94</v>
      </c>
    </row>
    <row r="10" spans="2:23" ht="34.200000000000003" customHeight="1" x14ac:dyDescent="0.35">
      <c r="N10" s="15">
        <f t="shared" si="2"/>
        <v>7</v>
      </c>
      <c r="O10" s="182" t="s">
        <v>59</v>
      </c>
      <c r="P10" s="183"/>
      <c r="Q10" s="183"/>
      <c r="R10" s="183"/>
      <c r="S10" s="184"/>
      <c r="T10" s="35"/>
      <c r="U10" s="36"/>
      <c r="V10" s="37">
        <f>SUM(V3:V9)</f>
        <v>1242600.1000000001</v>
      </c>
      <c r="W10" s="15"/>
    </row>
    <row r="11" spans="2:23" ht="34.200000000000003" customHeight="1" x14ac:dyDescent="0.35">
      <c r="E11" s="4"/>
      <c r="G11" s="11"/>
      <c r="N11" s="15">
        <f t="shared" si="2"/>
        <v>8</v>
      </c>
      <c r="O11" s="174" t="s">
        <v>45</v>
      </c>
      <c r="P11" s="174"/>
      <c r="Q11" s="174"/>
      <c r="R11" s="24" t="s">
        <v>46</v>
      </c>
      <c r="S11" s="30" t="s">
        <v>52</v>
      </c>
      <c r="T11" s="30"/>
      <c r="U11" s="24" t="s">
        <v>38</v>
      </c>
      <c r="V11" s="24" t="s">
        <v>39</v>
      </c>
      <c r="W11" s="2"/>
    </row>
    <row r="12" spans="2:23" ht="34.200000000000003" customHeight="1" x14ac:dyDescent="0.35">
      <c r="E12" s="4"/>
      <c r="G12" s="11"/>
      <c r="N12" s="15">
        <f t="shared" si="2"/>
        <v>9</v>
      </c>
      <c r="O12" s="169" t="s">
        <v>41</v>
      </c>
      <c r="P12" s="170"/>
      <c r="Q12" s="170"/>
      <c r="R12" s="38">
        <f>R3+R4*2</f>
        <v>6000</v>
      </c>
      <c r="S12" s="2">
        <v>1</v>
      </c>
      <c r="T12" s="25"/>
      <c r="U12" s="38">
        <v>1000</v>
      </c>
      <c r="V12" s="38">
        <f>U12*R12*S12/1000</f>
        <v>6000</v>
      </c>
      <c r="W12" s="2"/>
    </row>
    <row r="13" spans="2:23" ht="34.200000000000003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15">
        <f t="shared" si="2"/>
        <v>10</v>
      </c>
      <c r="O13" s="169" t="s">
        <v>62</v>
      </c>
      <c r="P13" s="170"/>
      <c r="Q13" s="171"/>
      <c r="R13" s="38"/>
      <c r="S13" s="60">
        <v>1</v>
      </c>
      <c r="T13" s="25"/>
      <c r="U13" s="38">
        <v>1000</v>
      </c>
      <c r="V13" s="38">
        <f t="shared" ref="V13:V14" si="5">U13*S13</f>
        <v>1000</v>
      </c>
      <c r="W13" s="26"/>
    </row>
    <row r="14" spans="2:23" ht="34.200000000000003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 t="shared" si="2"/>
        <v>11</v>
      </c>
      <c r="O14" s="169" t="s">
        <v>64</v>
      </c>
      <c r="P14" s="170"/>
      <c r="Q14" s="171"/>
      <c r="R14" s="38"/>
      <c r="S14" s="2">
        <v>1</v>
      </c>
      <c r="T14" s="25"/>
      <c r="U14" s="38">
        <v>2000</v>
      </c>
      <c r="V14" s="38">
        <f t="shared" si="5"/>
        <v>2000</v>
      </c>
      <c r="W14" s="2"/>
    </row>
    <row r="15" spans="2:23" ht="34.200000000000003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 t="shared" si="2"/>
        <v>12</v>
      </c>
      <c r="O15" s="188" t="s">
        <v>63</v>
      </c>
      <c r="P15" s="188"/>
      <c r="Q15" s="188"/>
      <c r="R15" s="188"/>
      <c r="S15" s="188"/>
      <c r="T15" s="35"/>
      <c r="U15" s="36"/>
      <c r="V15" s="37">
        <f>SUM(V12:V14)</f>
        <v>9000</v>
      </c>
      <c r="W15" s="2"/>
    </row>
    <row r="16" spans="2:23" ht="34.200000000000003" customHeight="1" x14ac:dyDescent="0.4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M16" s="11"/>
      <c r="V16" s="139">
        <f>V10+V15</f>
        <v>1251600.1000000001</v>
      </c>
    </row>
    <row r="17" spans="2:23" ht="34.200000000000003" customHeight="1" x14ac:dyDescent="0.4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M17" s="11"/>
      <c r="N17" s="173" t="s">
        <v>58</v>
      </c>
      <c r="O17" s="173"/>
      <c r="P17" s="173"/>
      <c r="Q17" s="173"/>
      <c r="R17" s="173"/>
      <c r="S17" s="173"/>
      <c r="T17" s="173"/>
      <c r="U17" s="173"/>
      <c r="V17" s="173"/>
      <c r="W17" s="173"/>
    </row>
    <row r="18" spans="2:23" ht="42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M18" s="11"/>
      <c r="N18" s="24" t="s">
        <v>14</v>
      </c>
      <c r="O18" s="174" t="s">
        <v>45</v>
      </c>
      <c r="P18" s="174"/>
      <c r="Q18" s="174"/>
      <c r="R18" s="24" t="s">
        <v>46</v>
      </c>
      <c r="S18" s="30" t="s">
        <v>56</v>
      </c>
      <c r="T18" s="30" t="s">
        <v>57</v>
      </c>
      <c r="U18" s="24" t="s">
        <v>38</v>
      </c>
      <c r="V18" s="24" t="s">
        <v>39</v>
      </c>
      <c r="W18" s="24" t="s">
        <v>33</v>
      </c>
    </row>
    <row r="19" spans="2:23" ht="34.200000000000003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M19" s="11"/>
      <c r="N19" s="15">
        <v>1</v>
      </c>
      <c r="O19" s="169" t="s">
        <v>106</v>
      </c>
      <c r="P19" s="170"/>
      <c r="Q19" s="170"/>
      <c r="R19" s="34">
        <v>1000</v>
      </c>
      <c r="S19" s="90">
        <v>0.88</v>
      </c>
      <c r="T19" s="32">
        <f>S19*R19</f>
        <v>880</v>
      </c>
      <c r="U19" s="34">
        <v>178000</v>
      </c>
      <c r="V19" s="31">
        <f>U19*T19/1000</f>
        <v>156640</v>
      </c>
      <c r="W19" s="83"/>
    </row>
    <row r="20" spans="2:23" ht="34.200000000000003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M20" s="11"/>
      <c r="N20" s="15">
        <v>2</v>
      </c>
      <c r="O20" s="169" t="s">
        <v>103</v>
      </c>
      <c r="P20" s="170"/>
      <c r="Q20" s="170"/>
      <c r="R20" s="34">
        <f>R19*2</f>
        <v>2000</v>
      </c>
      <c r="S20" s="90">
        <v>0.27900000000000003</v>
      </c>
      <c r="T20" s="32">
        <f t="shared" ref="T20" si="6">S20*R20</f>
        <v>558</v>
      </c>
      <c r="U20" s="34">
        <v>178000</v>
      </c>
      <c r="V20" s="31">
        <f t="shared" ref="V20" si="7">U20*T20/1000</f>
        <v>99324</v>
      </c>
      <c r="W20" s="84"/>
    </row>
    <row r="21" spans="2:23" ht="34.200000000000003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  <c r="M21" s="11"/>
      <c r="N21" s="15">
        <f t="shared" ref="N21:N27" si="8">N20+1</f>
        <v>3</v>
      </c>
      <c r="O21" s="169" t="s">
        <v>72</v>
      </c>
      <c r="P21" s="170"/>
      <c r="Q21" s="171"/>
      <c r="R21" s="34"/>
      <c r="S21" s="147">
        <f>SUM(T19:T21)</f>
        <v>1509.9</v>
      </c>
      <c r="T21" s="145">
        <f>SUM(T19:T20)*U21</f>
        <v>71.900000000000006</v>
      </c>
      <c r="U21" s="55">
        <v>0.05</v>
      </c>
      <c r="V21" s="34">
        <f>SUM(V19:V20)*U21</f>
        <v>12798.2</v>
      </c>
      <c r="W21" s="42"/>
    </row>
    <row r="22" spans="2:23" ht="34.200000000000003" customHeight="1" x14ac:dyDescent="0.35">
      <c r="E22" s="4"/>
      <c r="G22" s="11"/>
      <c r="M22" s="11"/>
      <c r="N22" s="15">
        <f t="shared" si="8"/>
        <v>4</v>
      </c>
      <c r="O22" s="182" t="s">
        <v>59</v>
      </c>
      <c r="P22" s="183"/>
      <c r="Q22" s="183"/>
      <c r="R22" s="183"/>
      <c r="S22" s="184"/>
      <c r="T22" s="35"/>
      <c r="U22" s="36"/>
      <c r="V22" s="37">
        <f>SUM(V19:V21)</f>
        <v>268762.2</v>
      </c>
      <c r="W22" s="15"/>
    </row>
    <row r="23" spans="2:23" ht="34.200000000000003" customHeight="1" x14ac:dyDescent="0.35">
      <c r="E23" s="4"/>
      <c r="G23" s="11"/>
      <c r="M23" s="11"/>
      <c r="N23" s="15">
        <f t="shared" si="8"/>
        <v>5</v>
      </c>
      <c r="O23" s="174" t="s">
        <v>45</v>
      </c>
      <c r="P23" s="174"/>
      <c r="Q23" s="174"/>
      <c r="R23" s="24" t="s">
        <v>46</v>
      </c>
      <c r="S23" s="30" t="s">
        <v>52</v>
      </c>
      <c r="T23" s="30"/>
      <c r="U23" s="24" t="s">
        <v>38</v>
      </c>
      <c r="V23" s="24" t="s">
        <v>39</v>
      </c>
      <c r="W23" s="2"/>
    </row>
    <row r="24" spans="2:23" ht="34.200000000000003" customHeight="1" x14ac:dyDescent="0.35">
      <c r="E24" s="4"/>
      <c r="G24" s="11"/>
      <c r="N24" s="15">
        <f t="shared" si="8"/>
        <v>6</v>
      </c>
      <c r="O24" s="169" t="s">
        <v>41</v>
      </c>
      <c r="P24" s="170"/>
      <c r="Q24" s="170"/>
      <c r="R24" s="38">
        <f>R19*2+R20*2</f>
        <v>6000</v>
      </c>
      <c r="S24" s="2">
        <v>1</v>
      </c>
      <c r="T24" s="25"/>
      <c r="U24" s="38">
        <v>1000</v>
      </c>
      <c r="V24" s="38">
        <f>U24*R24*S24/1000</f>
        <v>6000</v>
      </c>
      <c r="W24" s="2"/>
    </row>
    <row r="25" spans="2:23" ht="34.200000000000003" customHeight="1" x14ac:dyDescent="0.35">
      <c r="N25" s="15">
        <f t="shared" si="8"/>
        <v>7</v>
      </c>
      <c r="O25" s="169" t="s">
        <v>62</v>
      </c>
      <c r="P25" s="170"/>
      <c r="Q25" s="171"/>
      <c r="R25" s="38"/>
      <c r="S25" s="60">
        <v>1</v>
      </c>
      <c r="T25" s="25"/>
      <c r="U25" s="38">
        <v>1000</v>
      </c>
      <c r="V25" s="38">
        <f t="shared" ref="V25:V26" si="9">U25*S25</f>
        <v>1000</v>
      </c>
      <c r="W25" s="26"/>
    </row>
    <row r="26" spans="2:23" ht="34.200000000000003" customHeight="1" x14ac:dyDescent="0.35">
      <c r="N26" s="15">
        <f t="shared" si="8"/>
        <v>8</v>
      </c>
      <c r="O26" s="169" t="s">
        <v>64</v>
      </c>
      <c r="P26" s="170"/>
      <c r="Q26" s="171"/>
      <c r="R26" s="38"/>
      <c r="S26" s="2">
        <v>1</v>
      </c>
      <c r="T26" s="25"/>
      <c r="U26" s="38">
        <v>2000</v>
      </c>
      <c r="V26" s="38">
        <f t="shared" si="9"/>
        <v>2000</v>
      </c>
      <c r="W26" s="2"/>
    </row>
    <row r="27" spans="2:23" ht="34.200000000000003" customHeight="1" x14ac:dyDescent="0.35">
      <c r="N27" s="15">
        <f t="shared" si="8"/>
        <v>9</v>
      </c>
      <c r="O27" s="188" t="s">
        <v>63</v>
      </c>
      <c r="P27" s="188"/>
      <c r="Q27" s="188"/>
      <c r="R27" s="188"/>
      <c r="S27" s="188"/>
      <c r="T27" s="35"/>
      <c r="U27" s="36"/>
      <c r="V27" s="37">
        <f>SUM(V24:V26)</f>
        <v>9000</v>
      </c>
      <c r="W27" s="2"/>
    </row>
    <row r="28" spans="2:23" ht="34.200000000000003" customHeight="1" x14ac:dyDescent="0.4">
      <c r="V28" s="139">
        <f>V22+V27</f>
        <v>277762.2</v>
      </c>
    </row>
  </sheetData>
  <mergeCells count="70">
    <mergeCell ref="O5:Q5"/>
    <mergeCell ref="O7:Q7"/>
    <mergeCell ref="B1:L1"/>
    <mergeCell ref="N1:W1"/>
    <mergeCell ref="B2:F2"/>
    <mergeCell ref="I2:L2"/>
    <mergeCell ref="O2:Q2"/>
    <mergeCell ref="O6:Q6"/>
    <mergeCell ref="O14:Q14"/>
    <mergeCell ref="I7:I8"/>
    <mergeCell ref="B3:D8"/>
    <mergeCell ref="O3:Q3"/>
    <mergeCell ref="O4:Q4"/>
    <mergeCell ref="O12:Q12"/>
    <mergeCell ref="O8:Q8"/>
    <mergeCell ref="O9:Q9"/>
    <mergeCell ref="O10:S10"/>
    <mergeCell ref="B13:C13"/>
    <mergeCell ref="D13:E13"/>
    <mergeCell ref="F13:G13"/>
    <mergeCell ref="H13:I13"/>
    <mergeCell ref="J13:K13"/>
    <mergeCell ref="O11:Q11"/>
    <mergeCell ref="O13:Q13"/>
    <mergeCell ref="H15:I15"/>
    <mergeCell ref="J15:K15"/>
    <mergeCell ref="B14:C14"/>
    <mergeCell ref="D14:E14"/>
    <mergeCell ref="F14:G14"/>
    <mergeCell ref="H14:I14"/>
    <mergeCell ref="J14:K14"/>
    <mergeCell ref="H19:I19"/>
    <mergeCell ref="J19:K19"/>
    <mergeCell ref="O15:S15"/>
    <mergeCell ref="B18:C18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5:C15"/>
    <mergeCell ref="D15:E15"/>
    <mergeCell ref="F15:G15"/>
    <mergeCell ref="N17:W17"/>
    <mergeCell ref="O18:Q18"/>
    <mergeCell ref="O19:Q19"/>
    <mergeCell ref="O20:Q20"/>
    <mergeCell ref="B21:C21"/>
    <mergeCell ref="D21:E21"/>
    <mergeCell ref="F21:G21"/>
    <mergeCell ref="H21:I21"/>
    <mergeCell ref="J21:K21"/>
    <mergeCell ref="B20:G20"/>
    <mergeCell ref="H20:I20"/>
    <mergeCell ref="J20:K20"/>
    <mergeCell ref="B17:G17"/>
    <mergeCell ref="H17:I17"/>
    <mergeCell ref="J17:K17"/>
    <mergeCell ref="B19:G19"/>
    <mergeCell ref="O24:Q24"/>
    <mergeCell ref="O25:Q25"/>
    <mergeCell ref="O26:Q26"/>
    <mergeCell ref="O27:S27"/>
    <mergeCell ref="O21:Q21"/>
    <mergeCell ref="O22:S22"/>
    <mergeCell ref="O23:Q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Y28"/>
  <sheetViews>
    <sheetView topLeftCell="A10" zoomScale="60" zoomScaleNormal="60" workbookViewId="0">
      <selection activeCell="O9" sqref="O9:Q9"/>
    </sheetView>
  </sheetViews>
  <sheetFormatPr defaultColWidth="17.44140625" defaultRowHeight="36" customHeight="1" x14ac:dyDescent="0.35"/>
  <cols>
    <col min="1" max="2" width="17.44140625" style="1"/>
    <col min="3" max="3" width="17.44140625" style="19"/>
    <col min="4" max="12" width="17.44140625" style="1"/>
    <col min="13" max="13" width="5.109375" style="1" customWidth="1"/>
    <col min="14" max="14" width="11.21875" style="1" customWidth="1"/>
    <col min="15" max="21" width="17.44140625" style="1"/>
    <col min="22" max="22" width="17.88671875" style="1" bestFit="1" customWidth="1"/>
    <col min="23" max="23" width="35" style="1" customWidth="1"/>
    <col min="24" max="16384" width="17.44140625" style="1"/>
  </cols>
  <sheetData>
    <row r="1" spans="2:25" ht="36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5" ht="36" customHeight="1" x14ac:dyDescent="0.35">
      <c r="B2" s="175" t="s">
        <v>8</v>
      </c>
      <c r="C2" s="175"/>
      <c r="D2" s="175"/>
      <c r="E2" s="175"/>
      <c r="F2" s="175"/>
      <c r="G2" s="8"/>
      <c r="H2" s="176" t="s">
        <v>14</v>
      </c>
      <c r="I2" s="175" t="s">
        <v>9</v>
      </c>
      <c r="J2" s="175"/>
      <c r="K2" s="175"/>
      <c r="L2" s="175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5" ht="36" customHeight="1" x14ac:dyDescent="0.35">
      <c r="B3" s="191"/>
      <c r="C3" s="191"/>
      <c r="D3" s="191"/>
      <c r="E3" s="3" t="s">
        <v>0</v>
      </c>
      <c r="F3" s="3" t="s">
        <v>1</v>
      </c>
      <c r="G3" s="3" t="s">
        <v>2</v>
      </c>
      <c r="H3" s="176"/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86</v>
      </c>
      <c r="P3" s="170"/>
      <c r="Q3" s="170"/>
      <c r="R3" s="34">
        <f>K4*L4+K5*L5</f>
        <v>5600</v>
      </c>
      <c r="S3" s="90">
        <v>1.58</v>
      </c>
      <c r="T3" s="32">
        <f>S3*R3</f>
        <v>8848</v>
      </c>
      <c r="U3" s="34">
        <v>178000</v>
      </c>
      <c r="V3" s="31">
        <f>U3*T3/1000</f>
        <v>1574944</v>
      </c>
      <c r="W3" s="83"/>
    </row>
    <row r="4" spans="2:25" ht="36" customHeight="1" x14ac:dyDescent="0.35">
      <c r="B4" s="191"/>
      <c r="C4" s="191"/>
      <c r="D4" s="191"/>
      <c r="E4" s="3">
        <v>1800</v>
      </c>
      <c r="F4" s="3">
        <v>1000</v>
      </c>
      <c r="G4" s="3">
        <v>1</v>
      </c>
      <c r="H4" s="6" t="s">
        <v>19</v>
      </c>
      <c r="I4" s="3" t="s">
        <v>10</v>
      </c>
      <c r="J4" s="6">
        <v>6582</v>
      </c>
      <c r="K4" s="3">
        <f>E4</f>
        <v>1800</v>
      </c>
      <c r="L4" s="3">
        <f>G4*2</f>
        <v>2</v>
      </c>
      <c r="N4" s="15">
        <f>N3+1</f>
        <v>2</v>
      </c>
      <c r="O4" s="169" t="s">
        <v>87</v>
      </c>
      <c r="P4" s="170"/>
      <c r="Q4" s="170"/>
      <c r="R4" s="34">
        <f>K6*L6+K7*L7</f>
        <v>7352</v>
      </c>
      <c r="S4" s="90">
        <v>1.1259999999999999</v>
      </c>
      <c r="T4" s="32">
        <f t="shared" ref="T4:T5" si="0">S4*R4</f>
        <v>8278.351999999999</v>
      </c>
      <c r="U4" s="34">
        <v>178000</v>
      </c>
      <c r="V4" s="31">
        <f t="shared" ref="V4:V5" si="1">U4*T4/1000</f>
        <v>1473546.6559999997</v>
      </c>
      <c r="W4" s="84"/>
    </row>
    <row r="5" spans="2:25" ht="36" customHeight="1" x14ac:dyDescent="0.35">
      <c r="B5" s="191"/>
      <c r="C5" s="191"/>
      <c r="D5" s="191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11</v>
      </c>
      <c r="J5" s="6">
        <v>6582</v>
      </c>
      <c r="K5" s="3">
        <f>F4</f>
        <v>1000</v>
      </c>
      <c r="L5" s="3">
        <f>G4*2</f>
        <v>2</v>
      </c>
      <c r="N5" s="15">
        <f>N4+1</f>
        <v>3</v>
      </c>
      <c r="O5" s="169" t="s">
        <v>88</v>
      </c>
      <c r="P5" s="170"/>
      <c r="Q5" s="170"/>
      <c r="R5" s="34">
        <f>K7*2</f>
        <v>1862</v>
      </c>
      <c r="S5" s="90">
        <v>0.35199999999999998</v>
      </c>
      <c r="T5" s="32">
        <f t="shared" si="0"/>
        <v>655.42399999999998</v>
      </c>
      <c r="U5" s="34">
        <v>178000</v>
      </c>
      <c r="V5" s="31">
        <f t="shared" si="1"/>
        <v>116665.47199999999</v>
      </c>
      <c r="W5" s="84"/>
    </row>
    <row r="6" spans="2:25" ht="36" customHeight="1" x14ac:dyDescent="0.35">
      <c r="B6" s="191"/>
      <c r="C6" s="191"/>
      <c r="D6" s="191"/>
      <c r="E6" s="146">
        <f>G6+T6</f>
        <v>18670.864799999999</v>
      </c>
      <c r="F6" s="17">
        <f>F4*E4/1000</f>
        <v>1800</v>
      </c>
      <c r="G6" s="93">
        <f>SUM(T3:T5)</f>
        <v>17781.775999999998</v>
      </c>
      <c r="H6" s="6" t="s">
        <v>21</v>
      </c>
      <c r="I6" s="3" t="s">
        <v>12</v>
      </c>
      <c r="J6" s="6">
        <v>6583</v>
      </c>
      <c r="K6" s="17">
        <f>E4/2+7</f>
        <v>907</v>
      </c>
      <c r="L6" s="3">
        <f>G4*4</f>
        <v>4</v>
      </c>
      <c r="N6" s="15">
        <f t="shared" ref="N6:N10" si="2">N5+1</f>
        <v>4</v>
      </c>
      <c r="O6" s="169" t="s">
        <v>72</v>
      </c>
      <c r="P6" s="170"/>
      <c r="Q6" s="171"/>
      <c r="R6" s="34"/>
      <c r="S6" s="29"/>
      <c r="T6" s="145">
        <f>SUM(T3:T5)*U6</f>
        <v>889.08879999999999</v>
      </c>
      <c r="U6" s="55">
        <v>0.05</v>
      </c>
      <c r="V6" s="34">
        <f>SUM(V3:V5)*U6</f>
        <v>158257.8064</v>
      </c>
      <c r="W6" s="42"/>
    </row>
    <row r="7" spans="2:25" ht="36" customHeight="1" x14ac:dyDescent="0.35">
      <c r="B7" s="191"/>
      <c r="C7" s="191"/>
      <c r="D7" s="191"/>
      <c r="E7" s="2"/>
      <c r="F7" s="2"/>
      <c r="G7" s="2"/>
      <c r="H7" s="6" t="s">
        <v>22</v>
      </c>
      <c r="I7" s="3" t="s">
        <v>13</v>
      </c>
      <c r="J7" s="6">
        <v>6583</v>
      </c>
      <c r="K7" s="17">
        <f>F4-69</f>
        <v>931</v>
      </c>
      <c r="L7" s="3">
        <f>G4*4</f>
        <v>4</v>
      </c>
      <c r="N7" s="15">
        <f t="shared" si="2"/>
        <v>5</v>
      </c>
      <c r="O7" s="222" t="s">
        <v>134</v>
      </c>
      <c r="P7" s="223"/>
      <c r="Q7" s="223"/>
      <c r="R7" s="29"/>
      <c r="S7" s="29"/>
      <c r="T7" s="33">
        <v>4</v>
      </c>
      <c r="U7" s="44">
        <v>20000</v>
      </c>
      <c r="V7" s="31">
        <f t="shared" ref="V7:V9" si="3">U7*T7</f>
        <v>80000</v>
      </c>
      <c r="W7" s="15"/>
    </row>
    <row r="8" spans="2:25" ht="36" customHeight="1" x14ac:dyDescent="0.35">
      <c r="B8" s="191"/>
      <c r="C8" s="191"/>
      <c r="D8" s="191"/>
      <c r="E8" s="3"/>
      <c r="F8" s="3"/>
      <c r="G8" s="3"/>
      <c r="H8" s="6" t="s">
        <v>24</v>
      </c>
      <c r="I8" s="176" t="s">
        <v>73</v>
      </c>
      <c r="J8" s="3" t="s">
        <v>6</v>
      </c>
      <c r="K8" s="3" t="s">
        <v>7</v>
      </c>
      <c r="L8" s="5" t="s">
        <v>2</v>
      </c>
      <c r="N8" s="15">
        <f t="shared" si="2"/>
        <v>6</v>
      </c>
      <c r="O8" s="222" t="s">
        <v>135</v>
      </c>
      <c r="P8" s="223"/>
      <c r="Q8" s="223"/>
      <c r="R8" s="29"/>
      <c r="S8" s="29"/>
      <c r="T8" s="33">
        <v>8</v>
      </c>
      <c r="U8" s="44">
        <v>10200</v>
      </c>
      <c r="V8" s="31">
        <f t="shared" si="3"/>
        <v>81600</v>
      </c>
      <c r="W8" s="26" t="s">
        <v>67</v>
      </c>
    </row>
    <row r="9" spans="2:25" ht="36" customHeight="1" x14ac:dyDescent="0.35">
      <c r="B9" s="191"/>
      <c r="C9" s="191"/>
      <c r="D9" s="191"/>
      <c r="E9" s="3"/>
      <c r="F9" s="3"/>
      <c r="G9" s="3"/>
      <c r="H9" s="6" t="s">
        <v>25</v>
      </c>
      <c r="I9" s="176"/>
      <c r="J9" s="17">
        <f>E4/2-126</f>
        <v>774</v>
      </c>
      <c r="K9" s="17">
        <f>F4-202</f>
        <v>798</v>
      </c>
      <c r="L9" s="3">
        <f>G4*2</f>
        <v>2</v>
      </c>
      <c r="M9" s="23"/>
      <c r="N9" s="15">
        <f t="shared" si="2"/>
        <v>7</v>
      </c>
      <c r="O9" s="222" t="s">
        <v>55</v>
      </c>
      <c r="P9" s="223"/>
      <c r="Q9" s="223"/>
      <c r="R9" s="29"/>
      <c r="S9" s="29"/>
      <c r="T9" s="33">
        <f>T8*2+T7*2</f>
        <v>24</v>
      </c>
      <c r="U9" s="44">
        <v>100</v>
      </c>
      <c r="V9" s="31">
        <f t="shared" si="3"/>
        <v>2400</v>
      </c>
      <c r="W9" s="26"/>
      <c r="X9" s="23"/>
    </row>
    <row r="10" spans="2:25" ht="36" customHeight="1" x14ac:dyDescent="0.35">
      <c r="B10" s="191"/>
      <c r="C10" s="191"/>
      <c r="D10" s="191"/>
      <c r="E10" s="3"/>
      <c r="F10" s="3"/>
      <c r="G10" s="3"/>
      <c r="H10" s="3"/>
      <c r="I10" s="3"/>
      <c r="J10" s="3"/>
      <c r="K10" s="3"/>
      <c r="L10" s="3"/>
      <c r="N10" s="15">
        <f t="shared" si="2"/>
        <v>8</v>
      </c>
      <c r="O10" s="182" t="s">
        <v>59</v>
      </c>
      <c r="P10" s="183"/>
      <c r="Q10" s="183"/>
      <c r="R10" s="183"/>
      <c r="S10" s="184"/>
      <c r="T10" s="35"/>
      <c r="U10" s="36"/>
      <c r="V10" s="37">
        <f>SUM(V3:V9)</f>
        <v>3487413.9343999997</v>
      </c>
      <c r="W10" s="15"/>
      <c r="Y10" s="23"/>
    </row>
    <row r="11" spans="2:25" s="23" customFormat="1" ht="36" customHeight="1" x14ac:dyDescent="0.35"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"/>
      <c r="M11" s="1"/>
      <c r="N11" s="24" t="s">
        <v>14</v>
      </c>
      <c r="O11" s="174" t="s">
        <v>45</v>
      </c>
      <c r="P11" s="174"/>
      <c r="Q11" s="174"/>
      <c r="R11" s="24" t="s">
        <v>46</v>
      </c>
      <c r="S11" s="30" t="s">
        <v>52</v>
      </c>
      <c r="T11" s="30"/>
      <c r="U11" s="24" t="s">
        <v>38</v>
      </c>
      <c r="V11" s="24" t="s">
        <v>39</v>
      </c>
      <c r="W11" s="2"/>
      <c r="X11" s="1"/>
      <c r="Y11" s="1"/>
    </row>
    <row r="12" spans="2:25" ht="36" customHeight="1" x14ac:dyDescent="0.35">
      <c r="B12" s="172"/>
      <c r="C12" s="172"/>
      <c r="D12" s="185"/>
      <c r="E12" s="185"/>
      <c r="F12" s="185"/>
      <c r="G12" s="185"/>
      <c r="H12" s="185"/>
      <c r="I12" s="185"/>
      <c r="J12" s="172"/>
      <c r="K12" s="172"/>
      <c r="L12" s="23"/>
      <c r="N12" s="15">
        <v>1</v>
      </c>
      <c r="O12" s="169" t="s">
        <v>89</v>
      </c>
      <c r="P12" s="170"/>
      <c r="Q12" s="170"/>
      <c r="R12" s="38">
        <f>R4*2+R5</f>
        <v>16566</v>
      </c>
      <c r="S12" s="2">
        <v>1</v>
      </c>
      <c r="T12" s="25"/>
      <c r="U12" s="38">
        <v>1000</v>
      </c>
      <c r="V12" s="38">
        <f>U12*R12*S12/1000</f>
        <v>16566</v>
      </c>
      <c r="W12" s="2"/>
    </row>
    <row r="13" spans="2:25" ht="36" customHeight="1" x14ac:dyDescent="0.35">
      <c r="B13" s="172"/>
      <c r="C13" s="172"/>
      <c r="D13" s="185"/>
      <c r="E13" s="185"/>
      <c r="F13" s="185"/>
      <c r="G13" s="185"/>
      <c r="H13" s="185"/>
      <c r="I13" s="185"/>
      <c r="J13" s="172"/>
      <c r="K13" s="172"/>
      <c r="N13" s="15">
        <f t="shared" ref="N13:N16" si="4">N12+1</f>
        <v>2</v>
      </c>
      <c r="O13" s="169" t="s">
        <v>90</v>
      </c>
      <c r="P13" s="170"/>
      <c r="Q13" s="170"/>
      <c r="R13" s="38"/>
      <c r="S13" s="2">
        <v>4</v>
      </c>
      <c r="T13" s="25"/>
      <c r="U13" s="111">
        <v>500</v>
      </c>
      <c r="V13" s="38">
        <f>U13*S13</f>
        <v>2000</v>
      </c>
      <c r="W13" s="26" t="s">
        <v>69</v>
      </c>
    </row>
    <row r="14" spans="2:25" ht="36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 t="shared" si="4"/>
        <v>3</v>
      </c>
      <c r="O14" s="169" t="s">
        <v>62</v>
      </c>
      <c r="P14" s="170"/>
      <c r="Q14" s="171"/>
      <c r="R14" s="38"/>
      <c r="S14" s="60">
        <v>1</v>
      </c>
      <c r="T14" s="25"/>
      <c r="U14" s="38">
        <v>1000</v>
      </c>
      <c r="V14" s="38">
        <f t="shared" ref="V14:V15" si="5">U14*S14</f>
        <v>1000</v>
      </c>
      <c r="W14" s="26"/>
    </row>
    <row r="15" spans="2:25" ht="36" customHeight="1" x14ac:dyDescent="0.35">
      <c r="B15" s="172"/>
      <c r="C15" s="172"/>
      <c r="D15" s="172"/>
      <c r="E15" s="172"/>
      <c r="F15" s="172"/>
      <c r="G15" s="172"/>
      <c r="H15" s="185"/>
      <c r="I15" s="185"/>
      <c r="J15" s="172"/>
      <c r="K15" s="172"/>
      <c r="N15" s="15">
        <f t="shared" si="4"/>
        <v>4</v>
      </c>
      <c r="O15" s="169" t="s">
        <v>64</v>
      </c>
      <c r="P15" s="170"/>
      <c r="Q15" s="171"/>
      <c r="R15" s="38"/>
      <c r="S15" s="2">
        <v>1</v>
      </c>
      <c r="T15" s="25"/>
      <c r="U15" s="38">
        <v>2000</v>
      </c>
      <c r="V15" s="38">
        <f t="shared" si="5"/>
        <v>2000</v>
      </c>
      <c r="W15" s="2"/>
    </row>
    <row r="16" spans="2:25" ht="36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si="4"/>
        <v>5</v>
      </c>
      <c r="O16" s="188" t="s">
        <v>63</v>
      </c>
      <c r="P16" s="188"/>
      <c r="Q16" s="188"/>
      <c r="R16" s="188"/>
      <c r="S16" s="188"/>
      <c r="T16" s="35"/>
      <c r="U16" s="36"/>
      <c r="V16" s="37">
        <f>SUM(V12:V15)</f>
        <v>21566</v>
      </c>
      <c r="W16" s="2"/>
    </row>
    <row r="17" spans="2:25" ht="36" customHeight="1" x14ac:dyDescent="0.4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V17" s="139">
        <f>V10+V16</f>
        <v>3508979.9343999997</v>
      </c>
    </row>
    <row r="18" spans="2:25" ht="45.75" customHeight="1" x14ac:dyDescent="0.35">
      <c r="B18" s="172"/>
      <c r="C18" s="172"/>
      <c r="D18" s="172"/>
      <c r="E18" s="172"/>
      <c r="F18" s="172"/>
      <c r="G18" s="172"/>
      <c r="H18" s="190"/>
      <c r="I18" s="190"/>
      <c r="J18" s="172"/>
      <c r="K18" s="172"/>
    </row>
    <row r="19" spans="2:25" ht="36" customHeight="1" x14ac:dyDescent="0.35">
      <c r="C19" s="1"/>
    </row>
    <row r="20" spans="2:25" ht="36" customHeight="1" x14ac:dyDescent="0.35">
      <c r="C20" s="1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2:25" ht="36" customHeight="1" x14ac:dyDescent="0.35">
      <c r="C21" s="1"/>
      <c r="M21" s="22"/>
      <c r="X21" s="22"/>
    </row>
    <row r="22" spans="2:25" ht="36" customHeight="1" x14ac:dyDescent="0.35">
      <c r="C22" s="1"/>
    </row>
    <row r="23" spans="2:25" ht="36" customHeight="1" x14ac:dyDescent="0.35">
      <c r="C23" s="1"/>
      <c r="Y23" s="22"/>
    </row>
    <row r="24" spans="2:25" s="22" customFormat="1" ht="36" customHeight="1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ht="36" customHeight="1" x14ac:dyDescent="0.3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2:25" ht="36" customHeight="1" x14ac:dyDescent="0.35">
      <c r="C26" s="1"/>
    </row>
    <row r="27" spans="2:25" ht="36" customHeight="1" x14ac:dyDescent="0.35">
      <c r="C27" s="1"/>
    </row>
    <row r="28" spans="2:25" ht="36" customHeight="1" x14ac:dyDescent="0.35">
      <c r="C28" s="1"/>
    </row>
  </sheetData>
  <mergeCells count="56">
    <mergeCell ref="N1:W1"/>
    <mergeCell ref="O2:Q2"/>
    <mergeCell ref="O3:Q3"/>
    <mergeCell ref="O4:Q4"/>
    <mergeCell ref="O5:Q5"/>
    <mergeCell ref="O6:Q6"/>
    <mergeCell ref="O7:Q7"/>
    <mergeCell ref="O8:Q8"/>
    <mergeCell ref="O10:S10"/>
    <mergeCell ref="O11:Q11"/>
    <mergeCell ref="O9:Q9"/>
    <mergeCell ref="O16:S16"/>
    <mergeCell ref="O12:Q12"/>
    <mergeCell ref="O13:Q13"/>
    <mergeCell ref="O14:Q14"/>
    <mergeCell ref="O15:Q15"/>
    <mergeCell ref="J13:K13"/>
    <mergeCell ref="B14:C14"/>
    <mergeCell ref="D14:E14"/>
    <mergeCell ref="F14:G14"/>
    <mergeCell ref="H14:I14"/>
    <mergeCell ref="J14:K14"/>
    <mergeCell ref="J11:K11"/>
    <mergeCell ref="B12:C12"/>
    <mergeCell ref="D12:E12"/>
    <mergeCell ref="F12:G12"/>
    <mergeCell ref="H12:I12"/>
    <mergeCell ref="J12:K12"/>
    <mergeCell ref="J17:K17"/>
    <mergeCell ref="B18:G18"/>
    <mergeCell ref="H18:I18"/>
    <mergeCell ref="J18:K18"/>
    <mergeCell ref="B15:G15"/>
    <mergeCell ref="H15:I15"/>
    <mergeCell ref="J15:K15"/>
    <mergeCell ref="B16:C16"/>
    <mergeCell ref="D16:E16"/>
    <mergeCell ref="F16:G16"/>
    <mergeCell ref="H16:I16"/>
    <mergeCell ref="J16:K16"/>
    <mergeCell ref="B1:L1"/>
    <mergeCell ref="H2:H3"/>
    <mergeCell ref="B2:F2"/>
    <mergeCell ref="B17:G17"/>
    <mergeCell ref="H17:I17"/>
    <mergeCell ref="B11:C11"/>
    <mergeCell ref="D11:E11"/>
    <mergeCell ref="F11:G11"/>
    <mergeCell ref="H11:I11"/>
    <mergeCell ref="B13:C13"/>
    <mergeCell ref="D13:E13"/>
    <mergeCell ref="F13:G13"/>
    <mergeCell ref="H13:I13"/>
    <mergeCell ref="I8:I9"/>
    <mergeCell ref="B3:D10"/>
    <mergeCell ref="I2:L2"/>
  </mergeCells>
  <pageMargins left="0.25" right="0.25" top="0.75" bottom="0.75" header="0.3" footer="0.3"/>
  <pageSetup scale="6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W25"/>
  <sheetViews>
    <sheetView tabSelected="1" zoomScale="57" zoomScaleNormal="57" workbookViewId="0">
      <selection activeCell="O9" sqref="O9:Q9"/>
    </sheetView>
  </sheetViews>
  <sheetFormatPr defaultColWidth="17.5546875" defaultRowHeight="31.95" customHeight="1" x14ac:dyDescent="0.35"/>
  <cols>
    <col min="1" max="12" width="17.5546875" style="1"/>
    <col min="13" max="13" width="5.109375" style="1" customWidth="1"/>
    <col min="14" max="14" width="11.21875" style="1" customWidth="1"/>
    <col min="15" max="21" width="17.44140625" style="1"/>
    <col min="22" max="22" width="25.6640625" style="1" customWidth="1"/>
    <col min="23" max="23" width="35" style="1" customWidth="1"/>
    <col min="24" max="16384" width="17.5546875" style="1"/>
  </cols>
  <sheetData>
    <row r="1" spans="2:23" ht="31.95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3" ht="31.95" customHeight="1" x14ac:dyDescent="0.35">
      <c r="B2" s="205"/>
      <c r="C2" s="206"/>
      <c r="D2" s="206"/>
      <c r="E2" s="206"/>
      <c r="F2" s="220"/>
      <c r="G2" s="8"/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3" ht="31.95" customHeight="1" x14ac:dyDescent="0.35">
      <c r="B3" s="196"/>
      <c r="C3" s="197"/>
      <c r="D3" s="198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86</v>
      </c>
      <c r="P3" s="170"/>
      <c r="Q3" s="170"/>
      <c r="R3" s="34">
        <f>K4*L4+K5*L5</f>
        <v>8800</v>
      </c>
      <c r="S3" s="90">
        <v>1.58</v>
      </c>
      <c r="T3" s="32">
        <f>S3*R3</f>
        <v>13904</v>
      </c>
      <c r="U3" s="34">
        <v>198000</v>
      </c>
      <c r="V3" s="31">
        <f>U3*T3/1000</f>
        <v>2752992</v>
      </c>
      <c r="W3" s="213"/>
    </row>
    <row r="4" spans="2:23" ht="31.95" customHeight="1" x14ac:dyDescent="0.35">
      <c r="B4" s="177"/>
      <c r="C4" s="178"/>
      <c r="D4" s="199"/>
      <c r="E4" s="3">
        <v>2800</v>
      </c>
      <c r="F4" s="3">
        <v>1600</v>
      </c>
      <c r="G4" s="3">
        <v>1</v>
      </c>
      <c r="H4" s="6" t="s">
        <v>19</v>
      </c>
      <c r="I4" s="3" t="s">
        <v>10</v>
      </c>
      <c r="J4" s="6">
        <v>6582</v>
      </c>
      <c r="K4" s="3">
        <f>E4</f>
        <v>2800</v>
      </c>
      <c r="L4" s="3">
        <f>G4*2</f>
        <v>2</v>
      </c>
      <c r="N4" s="15">
        <f>N3+1</f>
        <v>2</v>
      </c>
      <c r="O4" s="169" t="s">
        <v>87</v>
      </c>
      <c r="P4" s="170"/>
      <c r="Q4" s="170"/>
      <c r="R4" s="34">
        <f>K6*L6+K7*L7</f>
        <v>18032</v>
      </c>
      <c r="S4" s="90">
        <v>1.1259999999999999</v>
      </c>
      <c r="T4" s="32">
        <f t="shared" ref="T4:T5" si="0">S4*R4</f>
        <v>20304.031999999999</v>
      </c>
      <c r="U4" s="34">
        <v>198000</v>
      </c>
      <c r="V4" s="31">
        <f t="shared" ref="V4:V5" si="1">U4*T4/1000</f>
        <v>4020198.3360000001</v>
      </c>
      <c r="W4" s="214"/>
    </row>
    <row r="5" spans="2:23" ht="31.95" customHeight="1" x14ac:dyDescent="0.35">
      <c r="B5" s="177"/>
      <c r="C5" s="178"/>
      <c r="D5" s="199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11</v>
      </c>
      <c r="J5" s="6">
        <v>6582</v>
      </c>
      <c r="K5" s="3">
        <f>F4</f>
        <v>1600</v>
      </c>
      <c r="L5" s="3">
        <f>G4*2</f>
        <v>2</v>
      </c>
      <c r="N5" s="15">
        <f t="shared" ref="N5:N11" si="2">N4+1</f>
        <v>3</v>
      </c>
      <c r="O5" s="169" t="s">
        <v>88</v>
      </c>
      <c r="P5" s="170"/>
      <c r="Q5" s="170"/>
      <c r="R5" s="34">
        <f>K7*4</f>
        <v>6124</v>
      </c>
      <c r="S5" s="90">
        <v>0.35199999999999998</v>
      </c>
      <c r="T5" s="32">
        <f t="shared" si="0"/>
        <v>2155.6479999999997</v>
      </c>
      <c r="U5" s="34">
        <v>198000</v>
      </c>
      <c r="V5" s="31">
        <f t="shared" si="1"/>
        <v>426818.30399999995</v>
      </c>
      <c r="W5" s="214"/>
    </row>
    <row r="6" spans="2:23" ht="31.95" customHeight="1" x14ac:dyDescent="0.35">
      <c r="B6" s="177"/>
      <c r="C6" s="178"/>
      <c r="D6" s="199"/>
      <c r="E6" s="146">
        <f>G6+T7</f>
        <v>42239.027349999997</v>
      </c>
      <c r="F6" s="17">
        <f>F4*E4/1000</f>
        <v>4480</v>
      </c>
      <c r="G6" s="93">
        <f>SUM(T3:T6)</f>
        <v>36729.589</v>
      </c>
      <c r="H6" s="6" t="s">
        <v>21</v>
      </c>
      <c r="I6" s="3" t="s">
        <v>12</v>
      </c>
      <c r="J6" s="6">
        <v>6583</v>
      </c>
      <c r="K6" s="3">
        <f>E4/4+23</f>
        <v>723</v>
      </c>
      <c r="L6" s="17">
        <f>G4*8</f>
        <v>8</v>
      </c>
      <c r="N6" s="15">
        <f t="shared" si="2"/>
        <v>4</v>
      </c>
      <c r="O6" s="169" t="s">
        <v>91</v>
      </c>
      <c r="P6" s="170"/>
      <c r="Q6" s="170"/>
      <c r="R6" s="34">
        <f>K8*L8</f>
        <v>1531</v>
      </c>
      <c r="S6" s="90">
        <v>0.23899999999999999</v>
      </c>
      <c r="T6" s="32">
        <f t="shared" ref="T6" si="3">S6*R6</f>
        <v>365.90899999999999</v>
      </c>
      <c r="U6" s="34">
        <v>198000</v>
      </c>
      <c r="V6" s="31">
        <f t="shared" ref="V6" si="4">U6*T6/1000</f>
        <v>72449.982000000004</v>
      </c>
      <c r="W6" s="214"/>
    </row>
    <row r="7" spans="2:23" ht="31.95" customHeight="1" x14ac:dyDescent="0.35">
      <c r="B7" s="177"/>
      <c r="C7" s="178"/>
      <c r="D7" s="199"/>
      <c r="E7" s="2"/>
      <c r="F7" s="2"/>
      <c r="G7" s="2"/>
      <c r="H7" s="6" t="s">
        <v>22</v>
      </c>
      <c r="I7" s="3" t="s">
        <v>13</v>
      </c>
      <c r="J7" s="6">
        <v>6583</v>
      </c>
      <c r="K7" s="3">
        <f>F4-69</f>
        <v>1531</v>
      </c>
      <c r="L7" s="17">
        <f>G4*8</f>
        <v>8</v>
      </c>
      <c r="N7" s="15">
        <f t="shared" si="2"/>
        <v>5</v>
      </c>
      <c r="O7" s="169" t="s">
        <v>72</v>
      </c>
      <c r="P7" s="170"/>
      <c r="Q7" s="171"/>
      <c r="R7" s="34"/>
      <c r="S7" s="29"/>
      <c r="T7" s="145">
        <f>SUM(T3:T6)*U7</f>
        <v>5509.4383499999994</v>
      </c>
      <c r="U7" s="55">
        <v>0.15</v>
      </c>
      <c r="V7" s="34">
        <f>SUM(V3:V6)*U7</f>
        <v>1090868.7932999998</v>
      </c>
      <c r="W7" s="42"/>
    </row>
    <row r="8" spans="2:23" ht="31.95" customHeight="1" x14ac:dyDescent="0.35">
      <c r="B8" s="177"/>
      <c r="C8" s="178"/>
      <c r="D8" s="199"/>
      <c r="E8" s="2"/>
      <c r="F8" s="2"/>
      <c r="G8" s="2"/>
      <c r="H8" s="6" t="s">
        <v>24</v>
      </c>
      <c r="I8" s="3" t="s">
        <v>26</v>
      </c>
      <c r="J8" s="6">
        <v>6588</v>
      </c>
      <c r="K8" s="6">
        <f>K7</f>
        <v>1531</v>
      </c>
      <c r="L8" s="3">
        <f>G4</f>
        <v>1</v>
      </c>
      <c r="N8" s="15">
        <f t="shared" si="2"/>
        <v>6</v>
      </c>
      <c r="O8" s="222" t="s">
        <v>134</v>
      </c>
      <c r="P8" s="223"/>
      <c r="Q8" s="223"/>
      <c r="R8" s="29"/>
      <c r="S8" s="29"/>
      <c r="T8" s="33">
        <v>4</v>
      </c>
      <c r="U8" s="44">
        <v>20000</v>
      </c>
      <c r="V8" s="31">
        <f t="shared" ref="V8:V10" si="5">U8*T8</f>
        <v>80000</v>
      </c>
      <c r="W8" s="15"/>
    </row>
    <row r="9" spans="2:23" ht="31.95" customHeight="1" x14ac:dyDescent="0.35">
      <c r="B9" s="177"/>
      <c r="C9" s="178"/>
      <c r="D9" s="199"/>
      <c r="E9" s="3"/>
      <c r="F9" s="3"/>
      <c r="G9" s="3"/>
      <c r="H9" s="3"/>
      <c r="I9" s="203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222" t="s">
        <v>135</v>
      </c>
      <c r="P9" s="223"/>
      <c r="Q9" s="223"/>
      <c r="R9" s="29"/>
      <c r="S9" s="29"/>
      <c r="T9" s="33">
        <v>16</v>
      </c>
      <c r="U9" s="44">
        <v>10200</v>
      </c>
      <c r="V9" s="31">
        <f t="shared" si="5"/>
        <v>163200</v>
      </c>
      <c r="W9" s="26" t="s">
        <v>67</v>
      </c>
    </row>
    <row r="10" spans="2:23" ht="31.95" customHeight="1" x14ac:dyDescent="0.35">
      <c r="B10" s="179"/>
      <c r="C10" s="180"/>
      <c r="D10" s="200"/>
      <c r="E10" s="3"/>
      <c r="F10" s="3"/>
      <c r="G10" s="3"/>
      <c r="H10" s="3"/>
      <c r="I10" s="204"/>
      <c r="J10" s="17">
        <f>E4/4-110</f>
        <v>590</v>
      </c>
      <c r="K10" s="17">
        <f>F4-202</f>
        <v>1398</v>
      </c>
      <c r="L10" s="3">
        <f>G4*4</f>
        <v>4</v>
      </c>
      <c r="N10" s="15">
        <f t="shared" si="2"/>
        <v>8</v>
      </c>
      <c r="O10" s="222" t="s">
        <v>55</v>
      </c>
      <c r="P10" s="223"/>
      <c r="Q10" s="223"/>
      <c r="R10" s="29"/>
      <c r="S10" s="29"/>
      <c r="T10" s="33">
        <f>T9*2+T8*2</f>
        <v>40</v>
      </c>
      <c r="U10" s="44">
        <v>100</v>
      </c>
      <c r="V10" s="31">
        <f t="shared" si="5"/>
        <v>4000</v>
      </c>
      <c r="W10" s="26"/>
    </row>
    <row r="11" spans="2:23" ht="31.95" customHeight="1" x14ac:dyDescent="0.35">
      <c r="N11" s="15">
        <f t="shared" si="2"/>
        <v>9</v>
      </c>
      <c r="O11" s="182" t="s">
        <v>59</v>
      </c>
      <c r="P11" s="183"/>
      <c r="Q11" s="183"/>
      <c r="R11" s="183"/>
      <c r="S11" s="184"/>
      <c r="T11" s="35"/>
      <c r="U11" s="36"/>
      <c r="V11" s="37">
        <f>SUM(V3:V10)</f>
        <v>8610527.4153000005</v>
      </c>
      <c r="W11" s="15"/>
    </row>
    <row r="12" spans="2:23" ht="31.95" customHeight="1" x14ac:dyDescent="0.35"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">
        <f>J10*K10*L10/1000000</f>
        <v>3.29928</v>
      </c>
      <c r="N12" s="24" t="s">
        <v>14</v>
      </c>
      <c r="O12" s="174" t="s">
        <v>45</v>
      </c>
      <c r="P12" s="174"/>
      <c r="Q12" s="174"/>
      <c r="R12" s="24" t="s">
        <v>46</v>
      </c>
      <c r="S12" s="30" t="s">
        <v>52</v>
      </c>
      <c r="T12" s="30"/>
      <c r="U12" s="24" t="s">
        <v>38</v>
      </c>
      <c r="V12" s="24" t="s">
        <v>39</v>
      </c>
      <c r="W12" s="2"/>
    </row>
    <row r="13" spans="2:23" ht="31.95" customHeight="1" x14ac:dyDescent="0.35">
      <c r="B13" s="172"/>
      <c r="C13" s="172"/>
      <c r="D13" s="185"/>
      <c r="E13" s="185"/>
      <c r="F13" s="185"/>
      <c r="G13" s="185"/>
      <c r="H13" s="185"/>
      <c r="I13" s="185"/>
      <c r="J13" s="172"/>
      <c r="K13" s="172"/>
      <c r="L13" s="37">
        <f>L12*265000</f>
        <v>874309.2</v>
      </c>
      <c r="N13" s="15">
        <v>1</v>
      </c>
      <c r="O13" s="169" t="s">
        <v>89</v>
      </c>
      <c r="P13" s="170"/>
      <c r="Q13" s="170"/>
      <c r="R13" s="38">
        <f>R4*2+R5</f>
        <v>42188</v>
      </c>
      <c r="S13" s="2">
        <v>1</v>
      </c>
      <c r="T13" s="25"/>
      <c r="U13" s="38">
        <v>1000</v>
      </c>
      <c r="V13" s="38">
        <f>U13*R13*S13/1000</f>
        <v>42188</v>
      </c>
      <c r="W13" s="2"/>
    </row>
    <row r="14" spans="2:23" ht="31.95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L14" s="37">
        <f>F6*300</f>
        <v>1344000</v>
      </c>
      <c r="N14" s="15">
        <f t="shared" ref="N14:N17" si="6">N13+1</f>
        <v>2</v>
      </c>
      <c r="O14" s="169" t="s">
        <v>90</v>
      </c>
      <c r="P14" s="170"/>
      <c r="Q14" s="170"/>
      <c r="R14" s="38"/>
      <c r="S14" s="2">
        <v>6</v>
      </c>
      <c r="T14" s="25"/>
      <c r="U14" s="38">
        <v>500</v>
      </c>
      <c r="V14" s="38">
        <f>U14*S14</f>
        <v>3000</v>
      </c>
      <c r="W14" s="26" t="s">
        <v>69</v>
      </c>
    </row>
    <row r="15" spans="2:23" ht="31.95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L15" s="37">
        <f>F6*200</f>
        <v>896000</v>
      </c>
      <c r="N15" s="15">
        <f t="shared" si="6"/>
        <v>3</v>
      </c>
      <c r="O15" s="169" t="s">
        <v>62</v>
      </c>
      <c r="P15" s="170"/>
      <c r="Q15" s="171"/>
      <c r="R15" s="38"/>
      <c r="S15" s="60">
        <v>1</v>
      </c>
      <c r="T15" s="25"/>
      <c r="U15" s="38">
        <v>1000</v>
      </c>
      <c r="V15" s="38">
        <f t="shared" ref="V15:V16" si="7">U15*S15</f>
        <v>1000</v>
      </c>
      <c r="W15" s="26"/>
    </row>
    <row r="16" spans="2:23" ht="31.95" customHeight="1" x14ac:dyDescent="0.35">
      <c r="B16" s="172"/>
      <c r="C16" s="172"/>
      <c r="D16" s="172"/>
      <c r="E16" s="172"/>
      <c r="F16" s="172"/>
      <c r="G16" s="172"/>
      <c r="H16" s="185"/>
      <c r="I16" s="185"/>
      <c r="J16" s="172"/>
      <c r="K16" s="172"/>
      <c r="L16" s="20">
        <f>L15+L14+L13+V18</f>
        <v>11773024.6153</v>
      </c>
      <c r="N16" s="15">
        <f t="shared" si="6"/>
        <v>4</v>
      </c>
      <c r="O16" s="169" t="s">
        <v>64</v>
      </c>
      <c r="P16" s="170"/>
      <c r="Q16" s="171"/>
      <c r="R16" s="38"/>
      <c r="S16" s="2">
        <v>1</v>
      </c>
      <c r="T16" s="25"/>
      <c r="U16" s="38">
        <v>2000</v>
      </c>
      <c r="V16" s="38">
        <f t="shared" si="7"/>
        <v>2000</v>
      </c>
      <c r="W16" s="2"/>
    </row>
    <row r="17" spans="2:23" ht="31.95" customHeight="1" x14ac:dyDescent="0.35">
      <c r="B17" s="172"/>
      <c r="C17" s="172"/>
      <c r="D17" s="185"/>
      <c r="E17" s="185"/>
      <c r="F17" s="185"/>
      <c r="G17" s="185"/>
      <c r="H17" s="185"/>
      <c r="I17" s="185"/>
      <c r="J17" s="172"/>
      <c r="K17" s="172"/>
      <c r="N17" s="15">
        <f t="shared" si="6"/>
        <v>5</v>
      </c>
      <c r="O17" s="188" t="s">
        <v>63</v>
      </c>
      <c r="P17" s="188"/>
      <c r="Q17" s="188"/>
      <c r="R17" s="188"/>
      <c r="S17" s="188"/>
      <c r="T17" s="35"/>
      <c r="U17" s="36"/>
      <c r="V17" s="37">
        <f>SUM(V13:V16)</f>
        <v>48188</v>
      </c>
      <c r="W17" s="2"/>
    </row>
    <row r="18" spans="2:23" ht="31.95" customHeight="1" x14ac:dyDescent="0.4">
      <c r="B18" s="172"/>
      <c r="C18" s="172"/>
      <c r="D18" s="172"/>
      <c r="E18" s="172"/>
      <c r="F18" s="172"/>
      <c r="G18" s="172"/>
      <c r="H18" s="185"/>
      <c r="I18" s="185"/>
      <c r="J18" s="172"/>
      <c r="K18" s="172"/>
      <c r="V18" s="139">
        <f>V11+V17</f>
        <v>8658715.4153000005</v>
      </c>
    </row>
    <row r="19" spans="2:23" ht="31.95" customHeight="1" x14ac:dyDescent="0.35">
      <c r="B19" s="172"/>
      <c r="C19" s="172"/>
      <c r="D19" s="172"/>
      <c r="E19" s="172"/>
      <c r="F19" s="172"/>
      <c r="G19" s="172"/>
      <c r="H19" s="190"/>
      <c r="I19" s="190"/>
      <c r="J19" s="172"/>
      <c r="K19" s="172"/>
      <c r="V19" s="1">
        <f>F6*500</f>
        <v>2240000</v>
      </c>
    </row>
    <row r="20" spans="2:23" ht="31.95" customHeight="1" x14ac:dyDescent="0.35">
      <c r="B20" s="172"/>
      <c r="C20" s="172"/>
      <c r="D20" s="172"/>
      <c r="E20" s="172"/>
      <c r="F20" s="172"/>
      <c r="G20" s="172"/>
      <c r="H20" s="185"/>
      <c r="I20" s="185"/>
      <c r="J20" s="172"/>
      <c r="K20" s="172"/>
      <c r="V20" s="20">
        <f>V19+V18</f>
        <v>10898715.4153</v>
      </c>
    </row>
    <row r="21" spans="2:23" ht="31.95" customHeight="1" x14ac:dyDescent="0.35">
      <c r="V21" s="148">
        <f>F6*220</f>
        <v>985600</v>
      </c>
    </row>
    <row r="22" spans="2:23" ht="31.95" customHeight="1" x14ac:dyDescent="0.35">
      <c r="N22" s="22"/>
      <c r="O22" s="22"/>
      <c r="P22" s="22"/>
      <c r="Q22" s="22"/>
      <c r="R22" s="22"/>
      <c r="S22" s="22"/>
      <c r="T22" s="22"/>
      <c r="U22" s="22"/>
      <c r="V22" s="224">
        <f>V20+V21</f>
        <v>11884315.4153</v>
      </c>
      <c r="W22" s="22"/>
    </row>
    <row r="23" spans="2:23" ht="31.95" customHeight="1" x14ac:dyDescent="0.35">
      <c r="V23" s="148">
        <f>V22/F6</f>
        <v>2652.7489766294643</v>
      </c>
    </row>
    <row r="24" spans="2:23" ht="31.95" customHeight="1" x14ac:dyDescent="0.35">
      <c r="V24" s="1">
        <f>F6*3200</f>
        <v>14336000</v>
      </c>
    </row>
    <row r="25" spans="2:23" ht="31.95" customHeight="1" x14ac:dyDescent="0.35">
      <c r="V25" s="148">
        <f>V22/V24</f>
        <v>0.82898405519670759</v>
      </c>
    </row>
  </sheetData>
  <mergeCells count="62">
    <mergeCell ref="O17:S17"/>
    <mergeCell ref="O12:Q12"/>
    <mergeCell ref="O13:Q13"/>
    <mergeCell ref="O14:Q14"/>
    <mergeCell ref="O15:Q15"/>
    <mergeCell ref="O16:Q16"/>
    <mergeCell ref="B20:C20"/>
    <mergeCell ref="D20:E20"/>
    <mergeCell ref="F20:G20"/>
    <mergeCell ref="H20:I20"/>
    <mergeCell ref="J20:K20"/>
    <mergeCell ref="B18:G18"/>
    <mergeCell ref="H18:I18"/>
    <mergeCell ref="J18:K18"/>
    <mergeCell ref="B19:G19"/>
    <mergeCell ref="H19:I19"/>
    <mergeCell ref="J19:K19"/>
    <mergeCell ref="B16:G16"/>
    <mergeCell ref="H16:I16"/>
    <mergeCell ref="J16:K16"/>
    <mergeCell ref="B17:C17"/>
    <mergeCell ref="D17:E17"/>
    <mergeCell ref="F17:G17"/>
    <mergeCell ref="H17:I17"/>
    <mergeCell ref="J17:K17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B2:F2"/>
    <mergeCell ref="B1:L1"/>
    <mergeCell ref="I9:I10"/>
    <mergeCell ref="I2:L2"/>
    <mergeCell ref="B3:D10"/>
    <mergeCell ref="N1:W1"/>
    <mergeCell ref="O2:Q2"/>
    <mergeCell ref="O3:Q3"/>
    <mergeCell ref="O11:S11"/>
    <mergeCell ref="O6:Q6"/>
    <mergeCell ref="W3:W6"/>
    <mergeCell ref="O4:Q4"/>
    <mergeCell ref="O5:Q5"/>
    <mergeCell ref="O7:Q7"/>
    <mergeCell ref="O8:Q8"/>
    <mergeCell ref="O9:Q9"/>
    <mergeCell ref="O10:Q10"/>
  </mergeCells>
  <pageMargins left="0.7" right="0.7" top="0.75" bottom="0.75" header="0.3" footer="0.3"/>
  <pageSetup scale="66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X22"/>
  <sheetViews>
    <sheetView topLeftCell="C1" zoomScale="50" zoomScaleNormal="50" workbookViewId="0">
      <selection activeCell="J15" sqref="J15:K15"/>
    </sheetView>
  </sheetViews>
  <sheetFormatPr defaultColWidth="17.21875" defaultRowHeight="39.6" customHeight="1" x14ac:dyDescent="0.35"/>
  <cols>
    <col min="1" max="1" width="10.5546875" style="1" customWidth="1"/>
    <col min="2" max="9" width="17.21875" style="1"/>
    <col min="10" max="10" width="20.44140625" style="1" customWidth="1"/>
    <col min="11" max="12" width="17.21875" style="1"/>
    <col min="13" max="13" width="3.109375" style="1" customWidth="1"/>
    <col min="14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4" ht="39.6" customHeight="1" x14ac:dyDescent="0.35">
      <c r="B2" s="205" t="s">
        <v>8</v>
      </c>
      <c r="C2" s="206"/>
      <c r="D2" s="206"/>
      <c r="E2" s="206"/>
      <c r="F2" s="220"/>
      <c r="G2" s="8" t="s">
        <v>32</v>
      </c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4" ht="39.6" customHeight="1" x14ac:dyDescent="0.35">
      <c r="B3" s="103"/>
      <c r="C3" s="104"/>
      <c r="D3" s="105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92</v>
      </c>
      <c r="P3" s="170"/>
      <c r="Q3" s="170"/>
      <c r="R3" s="34">
        <f>K6*L6</f>
        <v>4000</v>
      </c>
      <c r="S3" s="29">
        <v>1.3620000000000001</v>
      </c>
      <c r="T3" s="91">
        <f>S3*R3</f>
        <v>5448</v>
      </c>
      <c r="U3" s="34">
        <v>178000</v>
      </c>
      <c r="V3" s="31">
        <f>U3*T3/1000</f>
        <v>969744</v>
      </c>
      <c r="W3" s="83"/>
    </row>
    <row r="4" spans="2:24" ht="39.6" customHeight="1" x14ac:dyDescent="0.35">
      <c r="B4" s="106"/>
      <c r="D4" s="107"/>
      <c r="E4" s="3">
        <v>1800</v>
      </c>
      <c r="F4" s="3">
        <v>2000</v>
      </c>
      <c r="G4" s="3">
        <v>1</v>
      </c>
      <c r="H4" s="6" t="s">
        <v>19</v>
      </c>
      <c r="I4" s="3" t="s">
        <v>29</v>
      </c>
      <c r="J4" s="6">
        <v>8360</v>
      </c>
      <c r="K4" s="17">
        <f>E4-36</f>
        <v>1764</v>
      </c>
      <c r="L4" s="3">
        <f>G4*1</f>
        <v>1</v>
      </c>
      <c r="N4" s="15">
        <f>N3+1</f>
        <v>2</v>
      </c>
      <c r="O4" s="169" t="s">
        <v>125</v>
      </c>
      <c r="P4" s="170"/>
      <c r="Q4" s="170"/>
      <c r="R4" s="34">
        <f>K4*L4</f>
        <v>1764</v>
      </c>
      <c r="S4" s="29">
        <v>1.3620000000000001</v>
      </c>
      <c r="T4" s="91">
        <f t="shared" ref="T4:T6" si="0">S4*R4</f>
        <v>2402.5680000000002</v>
      </c>
      <c r="U4" s="34">
        <v>178000</v>
      </c>
      <c r="V4" s="31">
        <f t="shared" ref="V4:V11" si="1">U4*T4/1000</f>
        <v>427657.10400000005</v>
      </c>
      <c r="W4" s="84"/>
    </row>
    <row r="5" spans="2:24" ht="39.6" customHeight="1" x14ac:dyDescent="0.35">
      <c r="B5" s="106"/>
      <c r="D5" s="107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30</v>
      </c>
      <c r="J5" s="6">
        <v>8362</v>
      </c>
      <c r="K5" s="17">
        <f>K4-51</f>
        <v>1713</v>
      </c>
      <c r="L5" s="3">
        <f>G4*1</f>
        <v>1</v>
      </c>
      <c r="N5" s="15">
        <f t="shared" ref="N5:N11" si="2">N4+1</f>
        <v>3</v>
      </c>
      <c r="O5" s="169" t="s">
        <v>93</v>
      </c>
      <c r="P5" s="170"/>
      <c r="Q5" s="170"/>
      <c r="R5" s="34">
        <f>K5*L5</f>
        <v>1713</v>
      </c>
      <c r="S5" s="29">
        <v>0.86099999999999999</v>
      </c>
      <c r="T5" s="91">
        <f t="shared" si="0"/>
        <v>1474.893</v>
      </c>
      <c r="U5" s="34">
        <v>178000</v>
      </c>
      <c r="V5" s="31">
        <f t="shared" si="1"/>
        <v>262530.95400000003</v>
      </c>
      <c r="W5" s="84"/>
    </row>
    <row r="6" spans="2:24" ht="39.6" customHeight="1" x14ac:dyDescent="0.35">
      <c r="B6" s="106"/>
      <c r="D6" s="107"/>
      <c r="E6" s="146">
        <f>G6+T12</f>
        <v>34207.337850000004</v>
      </c>
      <c r="F6" s="17">
        <f>F4*E4/1000</f>
        <v>3600</v>
      </c>
      <c r="G6" s="93">
        <f>SUM(T3:T11)</f>
        <v>32578.417000000001</v>
      </c>
      <c r="H6" s="6" t="s">
        <v>21</v>
      </c>
      <c r="I6" s="3" t="s">
        <v>11</v>
      </c>
      <c r="J6" s="6">
        <v>8360</v>
      </c>
      <c r="K6" s="17">
        <f>F4</f>
        <v>2000</v>
      </c>
      <c r="L6" s="3">
        <f>G4*2</f>
        <v>2</v>
      </c>
      <c r="N6" s="15">
        <f t="shared" si="2"/>
        <v>4</v>
      </c>
      <c r="O6" s="169" t="s">
        <v>126</v>
      </c>
      <c r="P6" s="170"/>
      <c r="Q6" s="170"/>
      <c r="R6" s="34">
        <f>K8*L8</f>
        <v>7752</v>
      </c>
      <c r="S6" s="29">
        <v>1.6930000000000001</v>
      </c>
      <c r="T6" s="91">
        <f t="shared" si="0"/>
        <v>13124.136</v>
      </c>
      <c r="U6" s="34">
        <v>178000</v>
      </c>
      <c r="V6" s="31">
        <f t="shared" si="1"/>
        <v>2336096.2080000001</v>
      </c>
      <c r="W6" s="84"/>
    </row>
    <row r="7" spans="2:24" ht="39.6" customHeight="1" x14ac:dyDescent="0.35">
      <c r="B7" s="106"/>
      <c r="D7" s="107"/>
      <c r="E7" s="2"/>
      <c r="F7" s="2"/>
      <c r="G7" s="2"/>
      <c r="H7" s="6" t="s">
        <v>22</v>
      </c>
      <c r="I7" s="3" t="s">
        <v>123</v>
      </c>
      <c r="J7" s="6">
        <v>8364</v>
      </c>
      <c r="K7" s="17">
        <f>E4/2+13</f>
        <v>913</v>
      </c>
      <c r="L7" s="3">
        <v>4</v>
      </c>
      <c r="N7" s="15">
        <f t="shared" si="2"/>
        <v>5</v>
      </c>
      <c r="O7" s="169" t="s">
        <v>127</v>
      </c>
      <c r="P7" s="170"/>
      <c r="Q7" s="170"/>
      <c r="R7" s="34">
        <f>K7*L7</f>
        <v>3652</v>
      </c>
      <c r="S7" s="29">
        <v>1.6930000000000001</v>
      </c>
      <c r="T7" s="91">
        <f t="shared" ref="T7:T11" si="3">S7*R7</f>
        <v>6182.8360000000002</v>
      </c>
      <c r="U7" s="34">
        <v>178000</v>
      </c>
      <c r="V7" s="31">
        <f t="shared" si="1"/>
        <v>1100544.808</v>
      </c>
      <c r="W7" s="84"/>
    </row>
    <row r="8" spans="2:24" ht="39.6" customHeight="1" x14ac:dyDescent="0.35">
      <c r="B8" s="106"/>
      <c r="D8" s="107"/>
      <c r="E8" s="2"/>
      <c r="F8" s="2"/>
      <c r="G8" s="2"/>
      <c r="H8" s="6" t="s">
        <v>25</v>
      </c>
      <c r="I8" s="3" t="s">
        <v>124</v>
      </c>
      <c r="J8" s="6">
        <v>8364</v>
      </c>
      <c r="K8" s="117">
        <f>F4-62</f>
        <v>1938</v>
      </c>
      <c r="L8" s="3">
        <v>4</v>
      </c>
      <c r="N8" s="15">
        <f t="shared" si="2"/>
        <v>6</v>
      </c>
      <c r="O8" s="169" t="s">
        <v>128</v>
      </c>
      <c r="P8" s="170"/>
      <c r="Q8" s="170"/>
      <c r="R8" s="34">
        <f>K8*2</f>
        <v>3876</v>
      </c>
      <c r="S8" s="29">
        <v>0.437</v>
      </c>
      <c r="T8" s="91">
        <f t="shared" si="3"/>
        <v>1693.8119999999999</v>
      </c>
      <c r="U8" s="34">
        <v>178000</v>
      </c>
      <c r="V8" s="31">
        <f t="shared" si="1"/>
        <v>301498.53600000002</v>
      </c>
      <c r="W8" s="84"/>
    </row>
    <row r="9" spans="2:24" ht="39.6" customHeight="1" x14ac:dyDescent="0.35">
      <c r="B9" s="106"/>
      <c r="D9" s="107"/>
      <c r="E9" s="3"/>
      <c r="F9" s="3"/>
      <c r="G9" s="3"/>
      <c r="H9" s="3"/>
      <c r="I9" s="201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69" t="s">
        <v>129</v>
      </c>
      <c r="P9" s="170"/>
      <c r="Q9" s="170"/>
      <c r="R9" s="34">
        <f>K4</f>
        <v>1764</v>
      </c>
      <c r="S9" s="102">
        <v>0.62</v>
      </c>
      <c r="T9" s="91">
        <f t="shared" si="3"/>
        <v>1093.68</v>
      </c>
      <c r="U9" s="34">
        <v>178000</v>
      </c>
      <c r="V9" s="31">
        <f t="shared" si="1"/>
        <v>194675.04</v>
      </c>
      <c r="W9" s="84"/>
    </row>
    <row r="10" spans="2:24" ht="39.6" customHeight="1" x14ac:dyDescent="0.35">
      <c r="B10" s="108"/>
      <c r="C10" s="80"/>
      <c r="D10" s="109"/>
      <c r="E10" s="3"/>
      <c r="F10" s="3"/>
      <c r="G10" s="3"/>
      <c r="H10" s="3"/>
      <c r="I10" s="202"/>
      <c r="J10" s="17"/>
      <c r="K10" s="17"/>
      <c r="L10" s="3">
        <f>G4*2</f>
        <v>2</v>
      </c>
      <c r="N10" s="15">
        <f t="shared" si="2"/>
        <v>8</v>
      </c>
      <c r="O10" s="169" t="s">
        <v>130</v>
      </c>
      <c r="P10" s="170"/>
      <c r="Q10" s="170"/>
      <c r="R10" s="34">
        <f>K6*L6</f>
        <v>4000</v>
      </c>
      <c r="S10" s="29">
        <v>0.16800000000000001</v>
      </c>
      <c r="T10" s="91">
        <f t="shared" si="3"/>
        <v>672</v>
      </c>
      <c r="U10" s="34">
        <v>178000</v>
      </c>
      <c r="V10" s="31">
        <f t="shared" si="1"/>
        <v>119616</v>
      </c>
      <c r="W10" s="84"/>
    </row>
    <row r="11" spans="2:24" ht="39.6" customHeight="1" x14ac:dyDescent="0.35">
      <c r="N11" s="15">
        <f t="shared" si="2"/>
        <v>9</v>
      </c>
      <c r="O11" s="169" t="s">
        <v>131</v>
      </c>
      <c r="P11" s="170"/>
      <c r="Q11" s="170"/>
      <c r="R11" s="34">
        <f>K5*2</f>
        <v>3426</v>
      </c>
      <c r="S11" s="29">
        <v>0.14199999999999999</v>
      </c>
      <c r="T11" s="91">
        <f t="shared" si="3"/>
        <v>486.49199999999996</v>
      </c>
      <c r="U11" s="34">
        <v>178000</v>
      </c>
      <c r="V11" s="31">
        <f t="shared" si="1"/>
        <v>86595.576000000001</v>
      </c>
      <c r="W11" s="84"/>
    </row>
    <row r="12" spans="2:24" ht="39.6" customHeight="1" x14ac:dyDescent="0.35">
      <c r="N12" s="15">
        <f>N7+1</f>
        <v>6</v>
      </c>
      <c r="O12" s="169" t="s">
        <v>72</v>
      </c>
      <c r="P12" s="170"/>
      <c r="Q12" s="171"/>
      <c r="R12" s="34"/>
      <c r="S12" s="29"/>
      <c r="T12" s="145">
        <f>SUM(T3:T11)*U12</f>
        <v>1628.9208500000002</v>
      </c>
      <c r="U12" s="55">
        <v>0.05</v>
      </c>
      <c r="V12" s="34">
        <f>SUM(V3:V11)*U12</f>
        <v>289947.91130000004</v>
      </c>
      <c r="W12" s="42"/>
      <c r="X12" s="2"/>
    </row>
    <row r="13" spans="2:24" ht="39.6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15">
        <f t="shared" ref="N13:N16" si="4">N8+1</f>
        <v>7</v>
      </c>
      <c r="O13" s="169" t="s">
        <v>136</v>
      </c>
      <c r="P13" s="170"/>
      <c r="Q13" s="171"/>
      <c r="R13" s="34"/>
      <c r="S13" s="29">
        <v>8</v>
      </c>
      <c r="T13" s="82"/>
      <c r="U13" s="34">
        <v>17000</v>
      </c>
      <c r="V13" s="34">
        <f>U13*S13</f>
        <v>136000</v>
      </c>
      <c r="W13" s="42"/>
    </row>
    <row r="14" spans="2:24" ht="39.6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 t="shared" si="4"/>
        <v>8</v>
      </c>
      <c r="O14" s="169" t="s">
        <v>120</v>
      </c>
      <c r="P14" s="170"/>
      <c r="Q14" s="171"/>
      <c r="R14" s="34"/>
      <c r="S14" s="29">
        <v>2</v>
      </c>
      <c r="T14" s="82"/>
      <c r="U14" s="34">
        <v>17000</v>
      </c>
      <c r="V14" s="34">
        <f t="shared" ref="V14:V15" si="5">U14*S14</f>
        <v>34000</v>
      </c>
      <c r="W14" s="42"/>
    </row>
    <row r="15" spans="2:24" ht="39.6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 t="shared" si="4"/>
        <v>9</v>
      </c>
      <c r="O15" s="169" t="s">
        <v>55</v>
      </c>
      <c r="P15" s="170"/>
      <c r="Q15" s="171"/>
      <c r="R15" s="34"/>
      <c r="S15" s="29">
        <f>S13*2+S14*2</f>
        <v>20</v>
      </c>
      <c r="T15" s="82"/>
      <c r="U15" s="34">
        <v>100</v>
      </c>
      <c r="V15" s="34">
        <f t="shared" si="5"/>
        <v>2000</v>
      </c>
      <c r="W15" s="42"/>
    </row>
    <row r="16" spans="2:24" ht="39.6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si="4"/>
        <v>10</v>
      </c>
      <c r="O16" s="182" t="s">
        <v>59</v>
      </c>
      <c r="P16" s="183"/>
      <c r="Q16" s="183"/>
      <c r="R16" s="183"/>
      <c r="S16" s="184"/>
      <c r="T16" s="35"/>
      <c r="U16" s="36"/>
      <c r="V16" s="37">
        <f>SUM(V3:V15)</f>
        <v>6260906.1373000005</v>
      </c>
      <c r="W16" s="2"/>
    </row>
    <row r="17" spans="2:23" ht="39.6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N17" s="24" t="s">
        <v>14</v>
      </c>
      <c r="O17" s="174" t="s">
        <v>45</v>
      </c>
      <c r="P17" s="174"/>
      <c r="Q17" s="174"/>
      <c r="R17" s="24" t="s">
        <v>46</v>
      </c>
      <c r="S17" s="30" t="s">
        <v>52</v>
      </c>
      <c r="T17" s="30"/>
      <c r="U17" s="24" t="s">
        <v>38</v>
      </c>
      <c r="V17" s="24" t="s">
        <v>39</v>
      </c>
      <c r="W17" s="2"/>
    </row>
    <row r="18" spans="2:23" ht="39.6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N18" s="15">
        <v>1</v>
      </c>
      <c r="O18" s="222" t="s">
        <v>89</v>
      </c>
      <c r="P18" s="223"/>
      <c r="Q18" s="223"/>
      <c r="R18" s="111">
        <f>R6*2+R7*2+R8</f>
        <v>26684</v>
      </c>
      <c r="S18" s="60">
        <v>1</v>
      </c>
      <c r="T18" s="112"/>
      <c r="U18" s="111">
        <v>1000</v>
      </c>
      <c r="V18" s="111">
        <f>U18*R18*S18/1000</f>
        <v>26684</v>
      </c>
      <c r="W18" s="2"/>
    </row>
    <row r="19" spans="2:23" ht="39.6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N19" s="15">
        <v>2</v>
      </c>
      <c r="O19" s="169" t="s">
        <v>62</v>
      </c>
      <c r="P19" s="170"/>
      <c r="Q19" s="171"/>
      <c r="R19" s="38"/>
      <c r="S19" s="60">
        <v>1</v>
      </c>
      <c r="T19" s="25"/>
      <c r="U19" s="38">
        <v>1000</v>
      </c>
      <c r="V19" s="38">
        <f t="shared" ref="V19:V20" si="6">U19*S19</f>
        <v>1000</v>
      </c>
    </row>
    <row r="20" spans="2:23" ht="39.6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N20" s="15">
        <f t="shared" ref="N20:N21" si="7">N19+1</f>
        <v>3</v>
      </c>
      <c r="O20" s="169" t="s">
        <v>64</v>
      </c>
      <c r="P20" s="170"/>
      <c r="Q20" s="171"/>
      <c r="R20" s="38"/>
      <c r="S20" s="2">
        <v>1</v>
      </c>
      <c r="T20" s="25"/>
      <c r="U20" s="38">
        <v>2000</v>
      </c>
      <c r="V20" s="38">
        <f t="shared" si="6"/>
        <v>2000</v>
      </c>
    </row>
    <row r="21" spans="2:23" ht="39.6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  <c r="N21" s="15">
        <f t="shared" si="7"/>
        <v>4</v>
      </c>
      <c r="O21" s="188" t="s">
        <v>63</v>
      </c>
      <c r="P21" s="188"/>
      <c r="Q21" s="188"/>
      <c r="R21" s="188"/>
      <c r="S21" s="188"/>
      <c r="T21" s="35"/>
      <c r="U21" s="36"/>
      <c r="V21" s="37">
        <f>SUM(V18:V20)</f>
        <v>29684</v>
      </c>
    </row>
    <row r="22" spans="2:23" ht="39.6" customHeight="1" x14ac:dyDescent="0.4">
      <c r="V22" s="139">
        <f>V16+V21</f>
        <v>6290590.1373000005</v>
      </c>
    </row>
  </sheetData>
  <mergeCells count="64">
    <mergeCell ref="O14:Q14"/>
    <mergeCell ref="O15:Q15"/>
    <mergeCell ref="O9:Q9"/>
    <mergeCell ref="O10:Q10"/>
    <mergeCell ref="O11:Q11"/>
    <mergeCell ref="O12:Q12"/>
    <mergeCell ref="O13:Q13"/>
    <mergeCell ref="O16:S16"/>
    <mergeCell ref="O20:Q20"/>
    <mergeCell ref="O21:S21"/>
    <mergeCell ref="O17:Q17"/>
    <mergeCell ref="O18:Q18"/>
    <mergeCell ref="O19:Q19"/>
    <mergeCell ref="B21:C21"/>
    <mergeCell ref="D21:E21"/>
    <mergeCell ref="F21:G21"/>
    <mergeCell ref="H21:I21"/>
    <mergeCell ref="J21:K21"/>
    <mergeCell ref="B19:G19"/>
    <mergeCell ref="H19:I19"/>
    <mergeCell ref="J19:K19"/>
    <mergeCell ref="B20:G20"/>
    <mergeCell ref="H20:I20"/>
    <mergeCell ref="J20:K20"/>
    <mergeCell ref="B17:G17"/>
    <mergeCell ref="H17:I17"/>
    <mergeCell ref="J17:K17"/>
    <mergeCell ref="B18:C18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B1:L1"/>
    <mergeCell ref="I9:I10"/>
    <mergeCell ref="I2:L2"/>
    <mergeCell ref="O7:Q7"/>
    <mergeCell ref="O8:Q8"/>
    <mergeCell ref="B2:F2"/>
    <mergeCell ref="N1:W1"/>
    <mergeCell ref="O2:Q2"/>
    <mergeCell ref="O3:Q3"/>
    <mergeCell ref="O4:Q4"/>
    <mergeCell ref="O5:Q5"/>
    <mergeCell ref="O6:Q6"/>
  </mergeCells>
  <pageMargins left="0.25" right="0.25" top="0.75" bottom="0.75" header="0.3" footer="0.3"/>
  <pageSetup scale="7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X31"/>
  <sheetViews>
    <sheetView zoomScale="50" zoomScaleNormal="50" workbookViewId="0">
      <selection activeCell="J17" sqref="J17:K17"/>
    </sheetView>
  </sheetViews>
  <sheetFormatPr defaultColWidth="17.21875" defaultRowHeight="29.4" customHeight="1" x14ac:dyDescent="0.35"/>
  <cols>
    <col min="1" max="1" width="10.5546875" style="1" customWidth="1"/>
    <col min="2" max="9" width="17.21875" style="1"/>
    <col min="10" max="10" width="20.44140625" style="1" customWidth="1"/>
    <col min="11" max="12" width="17.21875" style="1"/>
    <col min="13" max="13" width="6.6640625" style="1" customWidth="1"/>
    <col min="14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4" ht="39.6" customHeight="1" x14ac:dyDescent="0.35">
      <c r="B2" s="205" t="s">
        <v>8</v>
      </c>
      <c r="C2" s="206"/>
      <c r="D2" s="206"/>
      <c r="E2" s="206"/>
      <c r="F2" s="220"/>
      <c r="G2" s="8" t="s">
        <v>32</v>
      </c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4" ht="39.6" customHeight="1" x14ac:dyDescent="0.35">
      <c r="B3" s="103"/>
      <c r="C3" s="104"/>
      <c r="D3" s="105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92</v>
      </c>
      <c r="P3" s="170"/>
      <c r="Q3" s="170"/>
      <c r="R3" s="34">
        <f>K6*L6</f>
        <v>4000</v>
      </c>
      <c r="S3" s="29">
        <v>1.9319999999999999</v>
      </c>
      <c r="T3" s="91">
        <f>S3*R3</f>
        <v>7728</v>
      </c>
      <c r="U3" s="34">
        <v>178000</v>
      </c>
      <c r="V3" s="31">
        <f>U3*T3/1000</f>
        <v>1375584</v>
      </c>
      <c r="W3" s="83"/>
    </row>
    <row r="4" spans="2:24" ht="39.6" customHeight="1" x14ac:dyDescent="0.35">
      <c r="B4" s="106"/>
      <c r="D4" s="107"/>
      <c r="E4" s="3">
        <v>2700</v>
      </c>
      <c r="F4" s="3">
        <v>2000</v>
      </c>
      <c r="G4" s="3">
        <v>1</v>
      </c>
      <c r="H4" s="6" t="s">
        <v>19</v>
      </c>
      <c r="I4" s="3" t="s">
        <v>29</v>
      </c>
      <c r="J4" s="6">
        <v>8361</v>
      </c>
      <c r="K4" s="17">
        <f>E4-36</f>
        <v>2664</v>
      </c>
      <c r="L4" s="3">
        <f>G4*1</f>
        <v>1</v>
      </c>
      <c r="N4" s="15">
        <f>N3+1</f>
        <v>2</v>
      </c>
      <c r="O4" s="169" t="s">
        <v>125</v>
      </c>
      <c r="P4" s="170"/>
      <c r="Q4" s="170"/>
      <c r="R4" s="34">
        <f>K4*L4</f>
        <v>2664</v>
      </c>
      <c r="S4" s="29">
        <v>1.9319999999999999</v>
      </c>
      <c r="T4" s="91">
        <f t="shared" ref="T4:T11" si="0">S4*R4</f>
        <v>5146.848</v>
      </c>
      <c r="U4" s="34">
        <v>178000</v>
      </c>
      <c r="V4" s="31">
        <f t="shared" ref="V4:V11" si="1">U4*T4/1000</f>
        <v>916138.94400000002</v>
      </c>
      <c r="W4" s="84"/>
    </row>
    <row r="5" spans="2:24" ht="39.6" customHeight="1" x14ac:dyDescent="0.35">
      <c r="B5" s="106"/>
      <c r="D5" s="107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30</v>
      </c>
      <c r="J5" s="6">
        <v>8363</v>
      </c>
      <c r="K5" s="17">
        <f>K4-51</f>
        <v>2613</v>
      </c>
      <c r="L5" s="3">
        <f>G4*1</f>
        <v>1</v>
      </c>
      <c r="N5" s="15">
        <f t="shared" ref="N5:N11" si="2">N4+1</f>
        <v>3</v>
      </c>
      <c r="O5" s="169" t="s">
        <v>93</v>
      </c>
      <c r="P5" s="170"/>
      <c r="Q5" s="170"/>
      <c r="R5" s="34">
        <f>K5*L5</f>
        <v>2613</v>
      </c>
      <c r="S5" s="29">
        <v>1.321</v>
      </c>
      <c r="T5" s="91">
        <f t="shared" si="0"/>
        <v>3451.7729999999997</v>
      </c>
      <c r="U5" s="34">
        <v>178000</v>
      </c>
      <c r="V5" s="31">
        <f t="shared" si="1"/>
        <v>614415.59400000004</v>
      </c>
      <c r="W5" s="84"/>
    </row>
    <row r="6" spans="2:24" ht="39.6" customHeight="1" x14ac:dyDescent="0.35">
      <c r="B6" s="106"/>
      <c r="D6" s="107"/>
      <c r="E6" s="146">
        <f>G6+T12</f>
        <v>54572.814449999998</v>
      </c>
      <c r="F6" s="17">
        <f>F4*E4/1000</f>
        <v>5400</v>
      </c>
      <c r="G6" s="93">
        <f>SUM(T3:T11)</f>
        <v>51974.108999999997</v>
      </c>
      <c r="H6" s="6" t="s">
        <v>21</v>
      </c>
      <c r="I6" s="3" t="s">
        <v>11</v>
      </c>
      <c r="J6" s="6">
        <v>8361</v>
      </c>
      <c r="K6" s="17">
        <f>F4</f>
        <v>2000</v>
      </c>
      <c r="L6" s="3">
        <f>G4*2</f>
        <v>2</v>
      </c>
      <c r="N6" s="15">
        <f t="shared" si="2"/>
        <v>4</v>
      </c>
      <c r="O6" s="169" t="s">
        <v>126</v>
      </c>
      <c r="P6" s="170"/>
      <c r="Q6" s="170"/>
      <c r="R6" s="34">
        <f>K8*L8</f>
        <v>11628</v>
      </c>
      <c r="S6" s="29">
        <v>1.6930000000000001</v>
      </c>
      <c r="T6" s="91">
        <f t="shared" si="0"/>
        <v>19686.204000000002</v>
      </c>
      <c r="U6" s="34">
        <v>178000</v>
      </c>
      <c r="V6" s="31">
        <f t="shared" si="1"/>
        <v>3504144.3120000004</v>
      </c>
      <c r="W6" s="84"/>
    </row>
    <row r="7" spans="2:24" ht="39.6" customHeight="1" x14ac:dyDescent="0.35">
      <c r="B7" s="106"/>
      <c r="D7" s="107"/>
      <c r="E7" s="2"/>
      <c r="F7" s="2"/>
      <c r="G7" s="2"/>
      <c r="H7" s="6" t="s">
        <v>22</v>
      </c>
      <c r="I7" s="3" t="s">
        <v>123</v>
      </c>
      <c r="J7" s="6">
        <v>8364</v>
      </c>
      <c r="K7" s="17">
        <f>E4/3+36</f>
        <v>936</v>
      </c>
      <c r="L7" s="3">
        <v>6</v>
      </c>
      <c r="N7" s="15">
        <f t="shared" si="2"/>
        <v>5</v>
      </c>
      <c r="O7" s="169" t="s">
        <v>127</v>
      </c>
      <c r="P7" s="170"/>
      <c r="Q7" s="170"/>
      <c r="R7" s="34">
        <f>K7*L7</f>
        <v>5616</v>
      </c>
      <c r="S7" s="29">
        <v>1.6930000000000001</v>
      </c>
      <c r="T7" s="91">
        <f t="shared" si="0"/>
        <v>9507.8880000000008</v>
      </c>
      <c r="U7" s="34">
        <v>178000</v>
      </c>
      <c r="V7" s="31">
        <f t="shared" si="1"/>
        <v>1692404.0640000002</v>
      </c>
      <c r="W7" s="84"/>
    </row>
    <row r="8" spans="2:24" ht="39.6" customHeight="1" x14ac:dyDescent="0.35">
      <c r="B8" s="106"/>
      <c r="D8" s="107"/>
      <c r="E8" s="2"/>
      <c r="F8" s="2"/>
      <c r="G8" s="2"/>
      <c r="H8" s="6" t="s">
        <v>25</v>
      </c>
      <c r="I8" s="3" t="s">
        <v>124</v>
      </c>
      <c r="J8" s="6">
        <v>8364</v>
      </c>
      <c r="K8" s="117">
        <f>F4-62</f>
        <v>1938</v>
      </c>
      <c r="L8" s="3">
        <v>6</v>
      </c>
      <c r="N8" s="15">
        <f t="shared" si="2"/>
        <v>6</v>
      </c>
      <c r="O8" s="169" t="s">
        <v>128</v>
      </c>
      <c r="P8" s="170"/>
      <c r="Q8" s="170"/>
      <c r="R8" s="34">
        <f>K8*4</f>
        <v>7752</v>
      </c>
      <c r="S8" s="29">
        <v>0.437</v>
      </c>
      <c r="T8" s="91">
        <f t="shared" si="0"/>
        <v>3387.6239999999998</v>
      </c>
      <c r="U8" s="34">
        <v>178000</v>
      </c>
      <c r="V8" s="31">
        <f t="shared" si="1"/>
        <v>602997.07200000004</v>
      </c>
      <c r="W8" s="84"/>
    </row>
    <row r="9" spans="2:24" ht="39.6" customHeight="1" x14ac:dyDescent="0.35">
      <c r="B9" s="106"/>
      <c r="D9" s="107"/>
      <c r="E9" s="3"/>
      <c r="F9" s="3"/>
      <c r="G9" s="3"/>
      <c r="H9" s="3"/>
      <c r="I9" s="201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69" t="s">
        <v>129</v>
      </c>
      <c r="P9" s="170"/>
      <c r="Q9" s="170"/>
      <c r="R9" s="34">
        <f>K4</f>
        <v>2664</v>
      </c>
      <c r="S9" s="102">
        <v>0.62</v>
      </c>
      <c r="T9" s="91">
        <f t="shared" si="0"/>
        <v>1651.68</v>
      </c>
      <c r="U9" s="34">
        <v>178000</v>
      </c>
      <c r="V9" s="31">
        <f t="shared" si="1"/>
        <v>293999.03999999998</v>
      </c>
      <c r="W9" s="84"/>
    </row>
    <row r="10" spans="2:24" ht="39.6" customHeight="1" x14ac:dyDescent="0.35">
      <c r="B10" s="108"/>
      <c r="C10" s="80"/>
      <c r="D10" s="109"/>
      <c r="E10" s="3"/>
      <c r="F10" s="3"/>
      <c r="G10" s="3"/>
      <c r="H10" s="3"/>
      <c r="I10" s="202"/>
      <c r="J10" s="17"/>
      <c r="K10" s="17"/>
      <c r="L10" s="3">
        <v>3</v>
      </c>
      <c r="N10" s="15">
        <f t="shared" si="2"/>
        <v>8</v>
      </c>
      <c r="O10" s="169" t="s">
        <v>130</v>
      </c>
      <c r="P10" s="170"/>
      <c r="Q10" s="170"/>
      <c r="R10" s="34">
        <f>K6*L6</f>
        <v>4000</v>
      </c>
      <c r="S10" s="29">
        <v>0.16800000000000001</v>
      </c>
      <c r="T10" s="91">
        <f t="shared" si="0"/>
        <v>672</v>
      </c>
      <c r="U10" s="34">
        <v>178000</v>
      </c>
      <c r="V10" s="31">
        <f t="shared" si="1"/>
        <v>119616</v>
      </c>
      <c r="W10" s="84"/>
    </row>
    <row r="11" spans="2:24" ht="39.6" customHeight="1" x14ac:dyDescent="0.35">
      <c r="N11" s="15">
        <f t="shared" si="2"/>
        <v>9</v>
      </c>
      <c r="O11" s="169" t="s">
        <v>131</v>
      </c>
      <c r="P11" s="170"/>
      <c r="Q11" s="170"/>
      <c r="R11" s="34">
        <f>K5*2</f>
        <v>5226</v>
      </c>
      <c r="S11" s="29">
        <v>0.14199999999999999</v>
      </c>
      <c r="T11" s="91">
        <f t="shared" si="0"/>
        <v>742.09199999999998</v>
      </c>
      <c r="U11" s="34">
        <v>178000</v>
      </c>
      <c r="V11" s="31">
        <f t="shared" si="1"/>
        <v>132092.37599999999</v>
      </c>
      <c r="W11" s="84"/>
    </row>
    <row r="12" spans="2:24" ht="39.6" customHeight="1" x14ac:dyDescent="0.35">
      <c r="N12" s="15">
        <f>N7+1</f>
        <v>6</v>
      </c>
      <c r="O12" s="169" t="s">
        <v>72</v>
      </c>
      <c r="P12" s="170"/>
      <c r="Q12" s="171"/>
      <c r="R12" s="34"/>
      <c r="S12" s="29"/>
      <c r="T12" s="145">
        <f>SUM(T3:T11)*U12</f>
        <v>2598.7054499999999</v>
      </c>
      <c r="U12" s="55">
        <v>0.05</v>
      </c>
      <c r="V12" s="34">
        <f>SUM(V3:V11)*U12</f>
        <v>462569.57010000007</v>
      </c>
      <c r="W12" s="42"/>
      <c r="X12" s="2"/>
    </row>
    <row r="13" spans="2:24" ht="39.6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15">
        <f t="shared" ref="N13:N16" si="3">N8+1</f>
        <v>7</v>
      </c>
      <c r="O13" s="169" t="s">
        <v>136</v>
      </c>
      <c r="P13" s="170"/>
      <c r="Q13" s="171"/>
      <c r="R13" s="34"/>
      <c r="S13" s="29">
        <v>12</v>
      </c>
      <c r="T13" s="82"/>
      <c r="U13" s="34">
        <v>17000</v>
      </c>
      <c r="V13" s="31">
        <f>U13*S13</f>
        <v>204000</v>
      </c>
      <c r="W13" s="42"/>
    </row>
    <row r="14" spans="2:24" ht="39.6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 t="shared" si="3"/>
        <v>8</v>
      </c>
      <c r="O14" s="169" t="s">
        <v>120</v>
      </c>
      <c r="P14" s="170"/>
      <c r="Q14" s="171"/>
      <c r="R14" s="34"/>
      <c r="S14" s="29">
        <v>2</v>
      </c>
      <c r="T14" s="82"/>
      <c r="U14" s="34">
        <v>17000</v>
      </c>
      <c r="V14" s="31">
        <f t="shared" ref="V14:V15" si="4">U14*S14</f>
        <v>34000</v>
      </c>
      <c r="W14" s="42"/>
    </row>
    <row r="15" spans="2:24" ht="39.6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 t="shared" si="3"/>
        <v>9</v>
      </c>
      <c r="O15" s="169" t="s">
        <v>55</v>
      </c>
      <c r="P15" s="170"/>
      <c r="Q15" s="171"/>
      <c r="R15" s="34"/>
      <c r="S15" s="29">
        <f>S13*2+S14*2</f>
        <v>28</v>
      </c>
      <c r="T15" s="82"/>
      <c r="U15" s="34">
        <v>100</v>
      </c>
      <c r="V15" s="31">
        <f t="shared" si="4"/>
        <v>2800</v>
      </c>
      <c r="W15" s="42"/>
    </row>
    <row r="16" spans="2:24" ht="39.6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si="3"/>
        <v>10</v>
      </c>
      <c r="O16" s="182" t="s">
        <v>59</v>
      </c>
      <c r="P16" s="183"/>
      <c r="Q16" s="183"/>
      <c r="R16" s="183"/>
      <c r="S16" s="184"/>
      <c r="T16" s="35"/>
      <c r="U16" s="36"/>
      <c r="V16" s="37">
        <f>SUM(V3:V15)</f>
        <v>9954760.9721000008</v>
      </c>
      <c r="W16" s="2"/>
    </row>
    <row r="17" spans="2:23" ht="39.6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N17" s="24" t="s">
        <v>14</v>
      </c>
      <c r="O17" s="174" t="s">
        <v>45</v>
      </c>
      <c r="P17" s="174"/>
      <c r="Q17" s="174"/>
      <c r="R17" s="24" t="s">
        <v>46</v>
      </c>
      <c r="S17" s="30" t="s">
        <v>52</v>
      </c>
      <c r="T17" s="30"/>
      <c r="U17" s="24" t="s">
        <v>38</v>
      </c>
      <c r="V17" s="24" t="s">
        <v>39</v>
      </c>
      <c r="W17" s="2"/>
    </row>
    <row r="18" spans="2:23" ht="39.6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N18" s="15">
        <v>1</v>
      </c>
      <c r="O18" s="222" t="s">
        <v>89</v>
      </c>
      <c r="P18" s="223"/>
      <c r="Q18" s="223"/>
      <c r="R18" s="111">
        <f>R6*2+R7*2+R8</f>
        <v>42240</v>
      </c>
      <c r="S18" s="60">
        <v>1</v>
      </c>
      <c r="T18" s="112"/>
      <c r="U18" s="111">
        <v>1000</v>
      </c>
      <c r="V18" s="111">
        <f>U18*R18*S18/1000</f>
        <v>42240</v>
      </c>
      <c r="W18" s="2"/>
    </row>
    <row r="19" spans="2:23" ht="39.6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N19" s="15">
        <v>2</v>
      </c>
      <c r="O19" s="169" t="s">
        <v>62</v>
      </c>
      <c r="P19" s="170"/>
      <c r="Q19" s="171"/>
      <c r="R19" s="38"/>
      <c r="S19" s="60">
        <v>1</v>
      </c>
      <c r="T19" s="25"/>
      <c r="U19" s="38">
        <v>1000</v>
      </c>
      <c r="V19" s="38">
        <f t="shared" ref="V19:V20" si="5">U19*S19</f>
        <v>1000</v>
      </c>
    </row>
    <row r="20" spans="2:23" ht="39.6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N20" s="15">
        <f t="shared" ref="N20:N21" si="6">N19+1</f>
        <v>3</v>
      </c>
      <c r="O20" s="169" t="s">
        <v>64</v>
      </c>
      <c r="P20" s="170"/>
      <c r="Q20" s="171"/>
      <c r="R20" s="38"/>
      <c r="S20" s="2">
        <v>1</v>
      </c>
      <c r="T20" s="25"/>
      <c r="U20" s="38">
        <v>2000</v>
      </c>
      <c r="V20" s="38">
        <f t="shared" si="5"/>
        <v>2000</v>
      </c>
    </row>
    <row r="21" spans="2:23" ht="39.6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  <c r="N21" s="15">
        <f t="shared" si="6"/>
        <v>4</v>
      </c>
      <c r="O21" s="188" t="s">
        <v>63</v>
      </c>
      <c r="P21" s="188"/>
      <c r="Q21" s="188"/>
      <c r="R21" s="188"/>
      <c r="S21" s="188"/>
      <c r="T21" s="35"/>
      <c r="U21" s="36"/>
      <c r="V21" s="37">
        <f>SUM(V18:V20)</f>
        <v>45240</v>
      </c>
    </row>
    <row r="22" spans="2:23" ht="39.6" customHeight="1" x14ac:dyDescent="0.4">
      <c r="V22" s="139">
        <f>V16+V21</f>
        <v>10000000.972100001</v>
      </c>
    </row>
    <row r="23" spans="2:23" ht="39.6" customHeight="1" x14ac:dyDescent="0.35"/>
    <row r="24" spans="2:23" ht="39.6" customHeight="1" x14ac:dyDescent="0.35"/>
    <row r="25" spans="2:23" ht="39.6" customHeight="1" x14ac:dyDescent="0.35"/>
    <row r="26" spans="2:23" ht="39.6" customHeight="1" x14ac:dyDescent="0.35"/>
    <row r="27" spans="2:23" ht="39.6" customHeight="1" x14ac:dyDescent="0.35"/>
    <row r="28" spans="2:23" ht="39.6" customHeight="1" x14ac:dyDescent="0.35"/>
    <row r="29" spans="2:23" ht="39.6" customHeight="1" x14ac:dyDescent="0.35"/>
    <row r="30" spans="2:23" ht="39.6" customHeight="1" x14ac:dyDescent="0.35"/>
    <row r="31" spans="2:23" ht="39.6" customHeight="1" x14ac:dyDescent="0.35"/>
  </sheetData>
  <mergeCells count="64">
    <mergeCell ref="O18:Q18"/>
    <mergeCell ref="O19:Q19"/>
    <mergeCell ref="B20:G20"/>
    <mergeCell ref="O20:Q20"/>
    <mergeCell ref="B21:C21"/>
    <mergeCell ref="D21:E21"/>
    <mergeCell ref="F21:G21"/>
    <mergeCell ref="O21:S21"/>
    <mergeCell ref="H21:I21"/>
    <mergeCell ref="J21:K21"/>
    <mergeCell ref="B19:G19"/>
    <mergeCell ref="H19:I19"/>
    <mergeCell ref="J19:K19"/>
    <mergeCell ref="H20:I20"/>
    <mergeCell ref="J20:K20"/>
    <mergeCell ref="B18:C18"/>
    <mergeCell ref="O14:Q14"/>
    <mergeCell ref="O15:Q15"/>
    <mergeCell ref="O16:S16"/>
    <mergeCell ref="B17:G17"/>
    <mergeCell ref="O17:Q17"/>
    <mergeCell ref="B16:C16"/>
    <mergeCell ref="D16:E16"/>
    <mergeCell ref="F16:G16"/>
    <mergeCell ref="H16:I16"/>
    <mergeCell ref="J16:K16"/>
    <mergeCell ref="O11:Q11"/>
    <mergeCell ref="O12:Q12"/>
    <mergeCell ref="B13:C13"/>
    <mergeCell ref="D13:E13"/>
    <mergeCell ref="F13:G13"/>
    <mergeCell ref="H13:I13"/>
    <mergeCell ref="J13:K13"/>
    <mergeCell ref="O13:Q13"/>
    <mergeCell ref="O6:Q6"/>
    <mergeCell ref="O7:Q7"/>
    <mergeCell ref="O8:Q8"/>
    <mergeCell ref="I9:I10"/>
    <mergeCell ref="O9:Q9"/>
    <mergeCell ref="O10:Q10"/>
    <mergeCell ref="N1:W1"/>
    <mergeCell ref="O2:Q2"/>
    <mergeCell ref="O3:Q3"/>
    <mergeCell ref="O4:Q4"/>
    <mergeCell ref="O5:Q5"/>
    <mergeCell ref="D18:E18"/>
    <mergeCell ref="F18:G18"/>
    <mergeCell ref="H18:I18"/>
    <mergeCell ref="J18:K18"/>
    <mergeCell ref="H17:I17"/>
    <mergeCell ref="J17:K17"/>
    <mergeCell ref="B1:L1"/>
    <mergeCell ref="B15:C15"/>
    <mergeCell ref="D15:E15"/>
    <mergeCell ref="F15:G15"/>
    <mergeCell ref="H15:I15"/>
    <mergeCell ref="J15:K15"/>
    <mergeCell ref="B2:F2"/>
    <mergeCell ref="I2:L2"/>
    <mergeCell ref="B14:C14"/>
    <mergeCell ref="D14:E14"/>
    <mergeCell ref="F14:G14"/>
    <mergeCell ref="H14:I14"/>
    <mergeCell ref="J14:K14"/>
  </mergeCells>
  <pageMargins left="0.7" right="0.7" top="0.75" bottom="0.75" header="0.3" footer="0.3"/>
  <pageSetup scale="6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X31"/>
  <sheetViews>
    <sheetView topLeftCell="A16" zoomScale="50" zoomScaleNormal="50" workbookViewId="0">
      <selection activeCell="V29" sqref="V29"/>
    </sheetView>
  </sheetViews>
  <sheetFormatPr defaultColWidth="17.21875" defaultRowHeight="31.2" customHeight="1" x14ac:dyDescent="0.35"/>
  <cols>
    <col min="1" max="1" width="10.5546875" style="1" customWidth="1"/>
    <col min="2" max="9" width="17.21875" style="1"/>
    <col min="10" max="10" width="20.44140625" style="1" customWidth="1"/>
    <col min="11" max="12" width="17.21875" style="1"/>
    <col min="13" max="13" width="4.21875" style="1" customWidth="1"/>
    <col min="14" max="14" width="5.6640625" style="1" customWidth="1"/>
    <col min="15" max="15" width="4.21875" style="1" customWidth="1"/>
    <col min="16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73" t="s">
        <v>44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N1" s="173" t="s">
        <v>58</v>
      </c>
      <c r="O1" s="173"/>
      <c r="P1" s="173"/>
      <c r="Q1" s="173"/>
      <c r="R1" s="173"/>
      <c r="S1" s="173"/>
      <c r="T1" s="173"/>
      <c r="U1" s="173"/>
      <c r="V1" s="173"/>
      <c r="W1" s="173"/>
    </row>
    <row r="2" spans="2:24" ht="39.6" customHeight="1" x14ac:dyDescent="0.35">
      <c r="B2" s="205" t="s">
        <v>8</v>
      </c>
      <c r="C2" s="206"/>
      <c r="D2" s="206"/>
      <c r="E2" s="206"/>
      <c r="F2" s="220"/>
      <c r="G2" s="8" t="s">
        <v>32</v>
      </c>
      <c r="H2" s="7"/>
      <c r="I2" s="205" t="s">
        <v>9</v>
      </c>
      <c r="J2" s="206"/>
      <c r="K2" s="206"/>
      <c r="L2" s="206"/>
      <c r="N2" s="24" t="s">
        <v>14</v>
      </c>
      <c r="O2" s="174" t="s">
        <v>45</v>
      </c>
      <c r="P2" s="174"/>
      <c r="Q2" s="174"/>
      <c r="R2" s="24" t="s">
        <v>46</v>
      </c>
      <c r="S2" s="30" t="s">
        <v>56</v>
      </c>
      <c r="T2" s="30" t="s">
        <v>57</v>
      </c>
      <c r="U2" s="24" t="s">
        <v>38</v>
      </c>
      <c r="V2" s="24" t="s">
        <v>39</v>
      </c>
      <c r="W2" s="24" t="s">
        <v>33</v>
      </c>
    </row>
    <row r="3" spans="2:24" ht="39.6" customHeight="1" x14ac:dyDescent="0.35">
      <c r="B3" s="103"/>
      <c r="C3" s="104"/>
      <c r="D3" s="105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69" t="s">
        <v>92</v>
      </c>
      <c r="P3" s="170"/>
      <c r="Q3" s="170"/>
      <c r="R3" s="34">
        <f>K6*L6</f>
        <v>4800</v>
      </c>
      <c r="S3" s="29">
        <v>1.3620000000000001</v>
      </c>
      <c r="T3" s="91">
        <f>S3*R3</f>
        <v>6537.6</v>
      </c>
      <c r="U3" s="34">
        <v>198000</v>
      </c>
      <c r="V3" s="31">
        <f>U3*T3/1000</f>
        <v>1294444.8</v>
      </c>
      <c r="W3" s="83"/>
    </row>
    <row r="4" spans="2:24" ht="39.6" customHeight="1" x14ac:dyDescent="0.35">
      <c r="B4" s="106"/>
      <c r="D4" s="107"/>
      <c r="E4" s="3">
        <v>4760</v>
      </c>
      <c r="F4" s="3">
        <v>2400</v>
      </c>
      <c r="G4" s="3">
        <v>1</v>
      </c>
      <c r="H4" s="6" t="s">
        <v>19</v>
      </c>
      <c r="I4" s="3" t="s">
        <v>29</v>
      </c>
      <c r="J4" s="6">
        <v>8360</v>
      </c>
      <c r="K4" s="17">
        <f>E4-36</f>
        <v>4724</v>
      </c>
      <c r="L4" s="3">
        <f>G4*1</f>
        <v>1</v>
      </c>
      <c r="N4" s="15">
        <f>N3+1</f>
        <v>2</v>
      </c>
      <c r="O4" s="169" t="s">
        <v>125</v>
      </c>
      <c r="P4" s="170"/>
      <c r="Q4" s="170"/>
      <c r="R4" s="34">
        <f>K4*L4</f>
        <v>4724</v>
      </c>
      <c r="S4" s="29">
        <v>1.3620000000000001</v>
      </c>
      <c r="T4" s="91">
        <f t="shared" ref="T4:T12" si="0">S4*R4</f>
        <v>6434.0880000000006</v>
      </c>
      <c r="U4" s="34">
        <v>198000</v>
      </c>
      <c r="V4" s="31">
        <f t="shared" ref="V4:V12" si="1">U4*T4/1000</f>
        <v>1273949.4240000003</v>
      </c>
      <c r="W4" s="84"/>
    </row>
    <row r="5" spans="2:24" ht="39.6" customHeight="1" x14ac:dyDescent="0.35">
      <c r="B5" s="106"/>
      <c r="D5" s="107"/>
      <c r="E5" s="41" t="s">
        <v>164</v>
      </c>
      <c r="F5" s="41" t="s">
        <v>40</v>
      </c>
      <c r="G5" s="41" t="s">
        <v>98</v>
      </c>
      <c r="H5" s="6" t="s">
        <v>20</v>
      </c>
      <c r="I5" s="3" t="s">
        <v>30</v>
      </c>
      <c r="J5" s="6">
        <v>8362</v>
      </c>
      <c r="K5" s="17">
        <f>K4-51</f>
        <v>4673</v>
      </c>
      <c r="L5" s="3">
        <f>G4*1</f>
        <v>1</v>
      </c>
      <c r="N5" s="15">
        <f t="shared" ref="N5:N17" si="2">N4+1</f>
        <v>3</v>
      </c>
      <c r="O5" s="169" t="s">
        <v>93</v>
      </c>
      <c r="P5" s="170"/>
      <c r="Q5" s="170"/>
      <c r="R5" s="34">
        <f>K5*L5</f>
        <v>4673</v>
      </c>
      <c r="S5" s="29">
        <v>0.86099999999999999</v>
      </c>
      <c r="T5" s="91">
        <f t="shared" si="0"/>
        <v>4023.453</v>
      </c>
      <c r="U5" s="34">
        <v>198000</v>
      </c>
      <c r="V5" s="31">
        <f t="shared" si="1"/>
        <v>796643.69400000002</v>
      </c>
      <c r="W5" s="84"/>
    </row>
    <row r="6" spans="2:24" ht="39.6" customHeight="1" x14ac:dyDescent="0.35">
      <c r="B6" s="106"/>
      <c r="D6" s="107"/>
      <c r="E6" s="146">
        <f>G6+T13</f>
        <v>83894.461670000004</v>
      </c>
      <c r="F6" s="17">
        <f>F4*E4/1000</f>
        <v>11424</v>
      </c>
      <c r="G6" s="93">
        <f>SUM(T3:T11)</f>
        <v>78366.577000000005</v>
      </c>
      <c r="H6" s="6" t="s">
        <v>21</v>
      </c>
      <c r="I6" s="3" t="s">
        <v>11</v>
      </c>
      <c r="J6" s="6">
        <v>8360</v>
      </c>
      <c r="K6" s="17">
        <f>F4</f>
        <v>2400</v>
      </c>
      <c r="L6" s="3">
        <f>G4*2</f>
        <v>2</v>
      </c>
      <c r="N6" s="15">
        <f t="shared" si="2"/>
        <v>4</v>
      </c>
      <c r="O6" s="169" t="s">
        <v>126</v>
      </c>
      <c r="P6" s="170"/>
      <c r="Q6" s="170"/>
      <c r="R6" s="34">
        <f>K8*L8</f>
        <v>18704</v>
      </c>
      <c r="S6" s="29">
        <v>1.6930000000000001</v>
      </c>
      <c r="T6" s="91">
        <f t="shared" si="0"/>
        <v>31665.871999999999</v>
      </c>
      <c r="U6" s="34">
        <v>198000</v>
      </c>
      <c r="V6" s="31">
        <f t="shared" si="1"/>
        <v>6269842.6560000004</v>
      </c>
      <c r="W6" s="84"/>
    </row>
    <row r="7" spans="2:24" ht="39.6" customHeight="1" x14ac:dyDescent="0.35">
      <c r="B7" s="106"/>
      <c r="D7" s="107"/>
      <c r="E7" s="2"/>
      <c r="F7" s="2"/>
      <c r="G7" s="2"/>
      <c r="H7" s="6" t="s">
        <v>22</v>
      </c>
      <c r="I7" s="3" t="s">
        <v>123</v>
      </c>
      <c r="J7" s="6">
        <v>8364</v>
      </c>
      <c r="K7" s="17">
        <f>E4/4+26</f>
        <v>1216</v>
      </c>
      <c r="L7" s="3">
        <v>8</v>
      </c>
      <c r="N7" s="15">
        <f t="shared" si="2"/>
        <v>5</v>
      </c>
      <c r="O7" s="169" t="s">
        <v>127</v>
      </c>
      <c r="P7" s="170"/>
      <c r="Q7" s="170"/>
      <c r="R7" s="34">
        <f>K7*L7</f>
        <v>9728</v>
      </c>
      <c r="S7" s="29">
        <v>1.6930000000000001</v>
      </c>
      <c r="T7" s="91">
        <f t="shared" si="0"/>
        <v>16469.504000000001</v>
      </c>
      <c r="U7" s="34">
        <v>198000</v>
      </c>
      <c r="V7" s="31">
        <f t="shared" si="1"/>
        <v>3260961.7919999999</v>
      </c>
      <c r="W7" s="84"/>
    </row>
    <row r="8" spans="2:24" ht="39.6" customHeight="1" x14ac:dyDescent="0.35">
      <c r="B8" s="106"/>
      <c r="D8" s="107"/>
      <c r="E8" s="2"/>
      <c r="F8" s="2"/>
      <c r="G8" s="2"/>
      <c r="H8" s="6" t="s">
        <v>25</v>
      </c>
      <c r="I8" s="3" t="s">
        <v>124</v>
      </c>
      <c r="J8" s="6">
        <v>8364</v>
      </c>
      <c r="K8" s="117">
        <f>F4-62</f>
        <v>2338</v>
      </c>
      <c r="L8" s="3">
        <v>8</v>
      </c>
      <c r="N8" s="15">
        <f t="shared" si="2"/>
        <v>6</v>
      </c>
      <c r="O8" s="169" t="s">
        <v>128</v>
      </c>
      <c r="P8" s="170"/>
      <c r="Q8" s="170"/>
      <c r="R8" s="34">
        <f>K8*8</f>
        <v>18704</v>
      </c>
      <c r="S8" s="29">
        <v>0.437</v>
      </c>
      <c r="T8" s="91">
        <f t="shared" si="0"/>
        <v>8173.6480000000001</v>
      </c>
      <c r="U8" s="34">
        <v>198000</v>
      </c>
      <c r="V8" s="31">
        <f t="shared" si="1"/>
        <v>1618382.304</v>
      </c>
      <c r="W8" s="84"/>
    </row>
    <row r="9" spans="2:24" ht="39.6" customHeight="1" x14ac:dyDescent="0.35">
      <c r="B9" s="106"/>
      <c r="D9" s="107"/>
      <c r="E9" s="3"/>
      <c r="F9" s="3"/>
      <c r="G9" s="3"/>
      <c r="H9" s="3"/>
      <c r="I9" s="201" t="s">
        <v>73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69" t="s">
        <v>129</v>
      </c>
      <c r="P9" s="170"/>
      <c r="Q9" s="170"/>
      <c r="R9" s="34">
        <f>K4</f>
        <v>4724</v>
      </c>
      <c r="S9" s="102">
        <v>0.62</v>
      </c>
      <c r="T9" s="91">
        <f t="shared" si="0"/>
        <v>2928.88</v>
      </c>
      <c r="U9" s="34">
        <v>198000</v>
      </c>
      <c r="V9" s="31">
        <f t="shared" si="1"/>
        <v>579918.24</v>
      </c>
      <c r="W9" s="84"/>
    </row>
    <row r="10" spans="2:24" ht="39.6" customHeight="1" x14ac:dyDescent="0.35">
      <c r="B10" s="108"/>
      <c r="C10" s="80"/>
      <c r="D10" s="109"/>
      <c r="E10" s="3"/>
      <c r="F10" s="3"/>
      <c r="G10" s="3"/>
      <c r="H10" s="3"/>
      <c r="I10" s="202"/>
      <c r="J10" s="17"/>
      <c r="K10" s="17"/>
      <c r="L10" s="3">
        <v>4</v>
      </c>
      <c r="N10" s="15">
        <f t="shared" si="2"/>
        <v>8</v>
      </c>
      <c r="O10" s="169" t="s">
        <v>130</v>
      </c>
      <c r="P10" s="170"/>
      <c r="Q10" s="170"/>
      <c r="R10" s="34">
        <f>K6*L6</f>
        <v>4800</v>
      </c>
      <c r="S10" s="29">
        <v>0.16800000000000001</v>
      </c>
      <c r="T10" s="91">
        <f t="shared" si="0"/>
        <v>806.40000000000009</v>
      </c>
      <c r="U10" s="34">
        <v>198000</v>
      </c>
      <c r="V10" s="31">
        <f t="shared" si="1"/>
        <v>159667.20000000004</v>
      </c>
      <c r="W10" s="84"/>
    </row>
    <row r="11" spans="2:24" ht="39.6" customHeight="1" x14ac:dyDescent="0.35">
      <c r="N11" s="15">
        <f t="shared" si="2"/>
        <v>9</v>
      </c>
      <c r="O11" s="169" t="s">
        <v>131</v>
      </c>
      <c r="P11" s="170"/>
      <c r="Q11" s="170"/>
      <c r="R11" s="34">
        <f>K5*2</f>
        <v>9346</v>
      </c>
      <c r="S11" s="29">
        <v>0.14199999999999999</v>
      </c>
      <c r="T11" s="91">
        <f t="shared" si="0"/>
        <v>1327.1319999999998</v>
      </c>
      <c r="U11" s="34">
        <v>198000</v>
      </c>
      <c r="V11" s="31">
        <f t="shared" si="1"/>
        <v>262772.136</v>
      </c>
      <c r="W11" s="84"/>
    </row>
    <row r="12" spans="2:24" ht="39.6" customHeight="1" x14ac:dyDescent="0.35">
      <c r="N12" s="15">
        <f t="shared" si="2"/>
        <v>10</v>
      </c>
      <c r="O12" s="169" t="s">
        <v>91</v>
      </c>
      <c r="P12" s="170"/>
      <c r="Q12" s="170"/>
      <c r="R12" s="34">
        <f>K8</f>
        <v>2338</v>
      </c>
      <c r="S12" s="29">
        <v>0.25800000000000001</v>
      </c>
      <c r="T12" s="91">
        <f t="shared" si="0"/>
        <v>603.20400000000006</v>
      </c>
      <c r="U12" s="34">
        <v>198000</v>
      </c>
      <c r="V12" s="31">
        <f t="shared" si="1"/>
        <v>119434.39200000002</v>
      </c>
      <c r="W12" s="84"/>
      <c r="X12" s="2"/>
    </row>
    <row r="13" spans="2:24" ht="39.6" customHeight="1" x14ac:dyDescent="0.35"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N13" s="15">
        <f t="shared" si="2"/>
        <v>11</v>
      </c>
      <c r="O13" s="169" t="s">
        <v>72</v>
      </c>
      <c r="P13" s="170"/>
      <c r="Q13" s="171"/>
      <c r="R13" s="34"/>
      <c r="S13" s="29"/>
      <c r="T13" s="145">
        <f>SUM(T3:T12)*U13</f>
        <v>5527.8846700000004</v>
      </c>
      <c r="U13" s="55">
        <v>7.0000000000000007E-2</v>
      </c>
      <c r="V13" s="34">
        <f>SUM(V3:V12)*U13</f>
        <v>1094521.16466</v>
      </c>
      <c r="W13" s="42"/>
    </row>
    <row r="14" spans="2:24" ht="39.6" customHeight="1" x14ac:dyDescent="0.35">
      <c r="B14" s="172"/>
      <c r="C14" s="172"/>
      <c r="D14" s="185"/>
      <c r="E14" s="185"/>
      <c r="F14" s="185"/>
      <c r="G14" s="185"/>
      <c r="H14" s="185"/>
      <c r="I14" s="185"/>
      <c r="J14" s="172"/>
      <c r="K14" s="172"/>
      <c r="N14" s="15">
        <f t="shared" si="2"/>
        <v>12</v>
      </c>
      <c r="O14" s="169" t="s">
        <v>136</v>
      </c>
      <c r="P14" s="170"/>
      <c r="Q14" s="171"/>
      <c r="R14" s="34"/>
      <c r="S14" s="29">
        <v>16</v>
      </c>
      <c r="T14" s="82"/>
      <c r="U14" s="34">
        <v>17000</v>
      </c>
      <c r="V14" s="34">
        <f>U14*S14</f>
        <v>272000</v>
      </c>
      <c r="W14" s="42"/>
    </row>
    <row r="15" spans="2:24" ht="39.6" customHeight="1" x14ac:dyDescent="0.35">
      <c r="B15" s="172"/>
      <c r="C15" s="172"/>
      <c r="D15" s="185"/>
      <c r="E15" s="185"/>
      <c r="F15" s="185"/>
      <c r="G15" s="185"/>
      <c r="H15" s="185"/>
      <c r="I15" s="185"/>
      <c r="J15" s="172"/>
      <c r="K15" s="172"/>
      <c r="N15" s="15">
        <f t="shared" si="2"/>
        <v>13</v>
      </c>
      <c r="O15" s="169" t="s">
        <v>120</v>
      </c>
      <c r="P15" s="170"/>
      <c r="Q15" s="171"/>
      <c r="R15" s="34"/>
      <c r="S15" s="29">
        <v>2</v>
      </c>
      <c r="T15" s="82"/>
      <c r="U15" s="34">
        <v>17000</v>
      </c>
      <c r="V15" s="34">
        <f t="shared" ref="V15:V16" si="3">U15*S15</f>
        <v>34000</v>
      </c>
      <c r="W15" s="42"/>
    </row>
    <row r="16" spans="2:24" ht="39.6" customHeight="1" x14ac:dyDescent="0.35">
      <c r="B16" s="172"/>
      <c r="C16" s="172"/>
      <c r="D16" s="185"/>
      <c r="E16" s="185"/>
      <c r="F16" s="185"/>
      <c r="G16" s="185"/>
      <c r="H16" s="185"/>
      <c r="I16" s="185"/>
      <c r="J16" s="172"/>
      <c r="K16" s="172"/>
      <c r="N16" s="15">
        <f t="shared" si="2"/>
        <v>14</v>
      </c>
      <c r="O16" s="169" t="s">
        <v>55</v>
      </c>
      <c r="P16" s="170"/>
      <c r="Q16" s="171"/>
      <c r="R16" s="34"/>
      <c r="S16" s="29">
        <f>S14*2+S15*2</f>
        <v>36</v>
      </c>
      <c r="T16" s="82"/>
      <c r="U16" s="34">
        <v>100</v>
      </c>
      <c r="V16" s="34">
        <f t="shared" si="3"/>
        <v>3600</v>
      </c>
      <c r="W16" s="42"/>
    </row>
    <row r="17" spans="2:23" ht="39.6" customHeight="1" x14ac:dyDescent="0.35">
      <c r="B17" s="172"/>
      <c r="C17" s="172"/>
      <c r="D17" s="172"/>
      <c r="E17" s="172"/>
      <c r="F17" s="172"/>
      <c r="G17" s="172"/>
      <c r="H17" s="185"/>
      <c r="I17" s="185"/>
      <c r="J17" s="172"/>
      <c r="K17" s="172"/>
      <c r="N17" s="15">
        <f t="shared" si="2"/>
        <v>15</v>
      </c>
      <c r="O17" s="182" t="s">
        <v>59</v>
      </c>
      <c r="P17" s="183"/>
      <c r="Q17" s="183"/>
      <c r="R17" s="183"/>
      <c r="S17" s="184"/>
      <c r="T17" s="35"/>
      <c r="U17" s="36"/>
      <c r="V17" s="37">
        <f>SUM(V3:V16)</f>
        <v>17040137.80266</v>
      </c>
      <c r="W17" s="2"/>
    </row>
    <row r="18" spans="2:23" ht="39.6" customHeight="1" x14ac:dyDescent="0.35">
      <c r="B18" s="172"/>
      <c r="C18" s="172"/>
      <c r="D18" s="185"/>
      <c r="E18" s="185"/>
      <c r="F18" s="185"/>
      <c r="G18" s="185"/>
      <c r="H18" s="185"/>
      <c r="I18" s="185"/>
      <c r="J18" s="172"/>
      <c r="K18" s="172"/>
      <c r="N18" s="24" t="s">
        <v>14</v>
      </c>
      <c r="O18" s="174" t="s">
        <v>45</v>
      </c>
      <c r="P18" s="174"/>
      <c r="Q18" s="174"/>
      <c r="R18" s="24" t="s">
        <v>46</v>
      </c>
      <c r="S18" s="30" t="s">
        <v>52</v>
      </c>
      <c r="T18" s="30"/>
      <c r="U18" s="24" t="s">
        <v>38</v>
      </c>
      <c r="V18" s="24" t="s">
        <v>39</v>
      </c>
      <c r="W18" s="2"/>
    </row>
    <row r="19" spans="2:23" ht="39.6" customHeight="1" x14ac:dyDescent="0.35">
      <c r="B19" s="172"/>
      <c r="C19" s="172"/>
      <c r="D19" s="172"/>
      <c r="E19" s="172"/>
      <c r="F19" s="172"/>
      <c r="G19" s="172"/>
      <c r="H19" s="185"/>
      <c r="I19" s="185"/>
      <c r="J19" s="172"/>
      <c r="K19" s="172"/>
      <c r="N19" s="15">
        <v>1</v>
      </c>
      <c r="O19" s="222" t="s">
        <v>89</v>
      </c>
      <c r="P19" s="223"/>
      <c r="Q19" s="223"/>
      <c r="R19" s="111">
        <f>R6*2+R7*2+R8</f>
        <v>75568</v>
      </c>
      <c r="S19" s="60">
        <v>1</v>
      </c>
      <c r="T19" s="112"/>
      <c r="U19" s="111">
        <v>1000</v>
      </c>
      <c r="V19" s="111">
        <f>U19*R19*S19/1000</f>
        <v>75568</v>
      </c>
      <c r="W19" s="2"/>
    </row>
    <row r="20" spans="2:23" ht="39.6" customHeight="1" x14ac:dyDescent="0.35">
      <c r="B20" s="172"/>
      <c r="C20" s="172"/>
      <c r="D20" s="172"/>
      <c r="E20" s="172"/>
      <c r="F20" s="172"/>
      <c r="G20" s="172"/>
      <c r="H20" s="190"/>
      <c r="I20" s="190"/>
      <c r="J20" s="172"/>
      <c r="K20" s="172"/>
      <c r="N20" s="15">
        <v>2</v>
      </c>
      <c r="O20" s="169" t="s">
        <v>62</v>
      </c>
      <c r="P20" s="170"/>
      <c r="Q20" s="171"/>
      <c r="R20" s="38"/>
      <c r="S20" s="60">
        <v>1</v>
      </c>
      <c r="T20" s="25"/>
      <c r="U20" s="38">
        <v>1000</v>
      </c>
      <c r="V20" s="38">
        <f t="shared" ref="V20:V21" si="4">U20*S20</f>
        <v>1000</v>
      </c>
    </row>
    <row r="21" spans="2:23" ht="39.6" customHeight="1" x14ac:dyDescent="0.35">
      <c r="B21" s="172"/>
      <c r="C21" s="172"/>
      <c r="D21" s="172"/>
      <c r="E21" s="172"/>
      <c r="F21" s="172"/>
      <c r="G21" s="172"/>
      <c r="H21" s="185"/>
      <c r="I21" s="185"/>
      <c r="J21" s="172"/>
      <c r="K21" s="172"/>
      <c r="N21" s="15">
        <f t="shared" ref="N21:N22" si="5">N20+1</f>
        <v>3</v>
      </c>
      <c r="O21" s="169" t="s">
        <v>64</v>
      </c>
      <c r="P21" s="170"/>
      <c r="Q21" s="171"/>
      <c r="R21" s="38"/>
      <c r="S21" s="2">
        <v>1</v>
      </c>
      <c r="T21" s="25"/>
      <c r="U21" s="38">
        <v>2000</v>
      </c>
      <c r="V21" s="38">
        <f t="shared" si="4"/>
        <v>2000</v>
      </c>
    </row>
    <row r="22" spans="2:23" ht="39.6" customHeight="1" x14ac:dyDescent="0.35">
      <c r="N22" s="15">
        <f t="shared" si="5"/>
        <v>4</v>
      </c>
      <c r="O22" s="188" t="s">
        <v>63</v>
      </c>
      <c r="P22" s="188"/>
      <c r="Q22" s="188"/>
      <c r="R22" s="188"/>
      <c r="S22" s="188"/>
      <c r="T22" s="35"/>
      <c r="U22" s="36"/>
      <c r="V22" s="37">
        <f>SUM(V19:V21)</f>
        <v>78568</v>
      </c>
    </row>
    <row r="23" spans="2:23" ht="39.6" customHeight="1" x14ac:dyDescent="0.4">
      <c r="V23" s="139">
        <f>V17+V22</f>
        <v>17118705.80266</v>
      </c>
    </row>
    <row r="24" spans="2:23" ht="39.6" customHeight="1" x14ac:dyDescent="0.35">
      <c r="V24" s="1">
        <f>F6*280</f>
        <v>3198720</v>
      </c>
    </row>
    <row r="25" spans="2:23" ht="39.6" customHeight="1" x14ac:dyDescent="0.35">
      <c r="V25" s="1">
        <f>F6*450</f>
        <v>5140800</v>
      </c>
    </row>
    <row r="26" spans="2:23" ht="39.6" customHeight="1" x14ac:dyDescent="0.35">
      <c r="V26" s="20">
        <f>V23+V24+V25</f>
        <v>25458225.80266</v>
      </c>
    </row>
    <row r="27" spans="2:23" ht="39.6" customHeight="1" x14ac:dyDescent="0.35">
      <c r="V27" s="148">
        <f>V26/F6</f>
        <v>2228.4861521936273</v>
      </c>
    </row>
    <row r="28" spans="2:23" ht="39.6" customHeight="1" x14ac:dyDescent="0.35">
      <c r="V28" s="1">
        <f>F6*3800</f>
        <v>43411200</v>
      </c>
    </row>
    <row r="29" spans="2:23" ht="39.6" customHeight="1" x14ac:dyDescent="0.35">
      <c r="V29" s="148">
        <f>V26/V28</f>
        <v>0.58644372426148095</v>
      </c>
    </row>
    <row r="30" spans="2:23" ht="39.6" customHeight="1" x14ac:dyDescent="0.35"/>
    <row r="31" spans="2:23" ht="39.6" customHeight="1" x14ac:dyDescent="0.35"/>
  </sheetData>
  <mergeCells count="65">
    <mergeCell ref="O22:S22"/>
    <mergeCell ref="H13:I13"/>
    <mergeCell ref="J13:K13"/>
    <mergeCell ref="B16:C16"/>
    <mergeCell ref="D16:E16"/>
    <mergeCell ref="F16:G16"/>
    <mergeCell ref="B21:C21"/>
    <mergeCell ref="D21:E21"/>
    <mergeCell ref="F21:G21"/>
    <mergeCell ref="B19:G19"/>
    <mergeCell ref="H19:I19"/>
    <mergeCell ref="H21:I21"/>
    <mergeCell ref="H20:I20"/>
    <mergeCell ref="B20:G20"/>
    <mergeCell ref="J21:K21"/>
    <mergeCell ref="O19:Q19"/>
    <mergeCell ref="O20:Q20"/>
    <mergeCell ref="O21:Q21"/>
    <mergeCell ref="B17:G17"/>
    <mergeCell ref="B18:C18"/>
    <mergeCell ref="D18:E18"/>
    <mergeCell ref="F18:G18"/>
    <mergeCell ref="J19:K19"/>
    <mergeCell ref="J20:K20"/>
    <mergeCell ref="O12:Q12"/>
    <mergeCell ref="B1:L1"/>
    <mergeCell ref="N1:W1"/>
    <mergeCell ref="O2:Q2"/>
    <mergeCell ref="O3:Q3"/>
    <mergeCell ref="O4:Q4"/>
    <mergeCell ref="O5:Q5"/>
    <mergeCell ref="O6:Q6"/>
    <mergeCell ref="O7:Q7"/>
    <mergeCell ref="O8:Q8"/>
    <mergeCell ref="I9:I10"/>
    <mergeCell ref="O9:Q9"/>
    <mergeCell ref="O10:Q10"/>
    <mergeCell ref="B2:F2"/>
    <mergeCell ref="O15:Q15"/>
    <mergeCell ref="O11:Q11"/>
    <mergeCell ref="I2:L2"/>
    <mergeCell ref="O13:Q13"/>
    <mergeCell ref="H18:I18"/>
    <mergeCell ref="J18:K18"/>
    <mergeCell ref="H17:I17"/>
    <mergeCell ref="J17:K17"/>
    <mergeCell ref="H16:I16"/>
    <mergeCell ref="J16:K16"/>
    <mergeCell ref="J15:K15"/>
    <mergeCell ref="J14:K14"/>
    <mergeCell ref="O14:Q14"/>
    <mergeCell ref="O16:Q16"/>
    <mergeCell ref="O17:S17"/>
    <mergeCell ref="O18:Q18"/>
    <mergeCell ref="H15:I15"/>
    <mergeCell ref="B14:C14"/>
    <mergeCell ref="D14:E14"/>
    <mergeCell ref="F14:G14"/>
    <mergeCell ref="H14:I14"/>
    <mergeCell ref="B13:C13"/>
    <mergeCell ref="D13:E13"/>
    <mergeCell ref="F13:G13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7</vt:i4>
      </vt:variant>
    </vt:vector>
  </HeadingPairs>
  <TitlesOfParts>
    <vt:vector size="29" baseType="lpstr">
      <vt:lpstr>BẢN TÍNH GIÁ THÀNH</vt:lpstr>
      <vt:lpstr>ĐI QUAY 1 CÁNH</vt:lpstr>
      <vt:lpstr>ĐI QUAY 2 CÁNH</vt:lpstr>
      <vt:lpstr>ĐI QUAY 4 CÁNH</vt:lpstr>
      <vt:lpstr>SỔ QUAY 1CÁNH</vt:lpstr>
      <vt:lpstr>Sổ QUAY 2 CÁNH</vt:lpstr>
      <vt:lpstr>Sổ QUAY 3 CÁNH -Đố tĩnh</vt:lpstr>
      <vt:lpstr>Sổ QUAY 4 CÁNH đố tĩnh</vt:lpstr>
      <vt:lpstr>VÁCH KÍNH 55</vt:lpstr>
      <vt:lpstr>ĐI QUAY 1 CÁNH 83</vt:lpstr>
      <vt:lpstr>ĐI QUAY 2 CÁNH 83 </vt:lpstr>
      <vt:lpstr>ĐI QUAY 4 CÁNH 83</vt:lpstr>
      <vt:lpstr>SỔ QUAY 1 CÁNH 83</vt:lpstr>
      <vt:lpstr>SỔ QUAY 2 CÁNH 83 </vt:lpstr>
      <vt:lpstr>SỔ QUAY 3 CÁNH 83</vt:lpstr>
      <vt:lpstr>SỔ QUAY 4 CÁNH 83</vt:lpstr>
      <vt:lpstr>VÁCH KÍNH 83</vt:lpstr>
      <vt:lpstr>Sổ lùA 2 CÁNH 83</vt:lpstr>
      <vt:lpstr>Sổ lùa 4 CÁNH 83</vt:lpstr>
      <vt:lpstr>ĐI LÙA 83 2 CÁNH</vt:lpstr>
      <vt:lpstr>ĐI Lùa 83 3 CÁNH</vt:lpstr>
      <vt:lpstr>ĐI Lùa 83 4 CÁNH</vt:lpstr>
      <vt:lpstr>'BẢN TÍNH GIÁ THÀNH'!Print_Area</vt:lpstr>
      <vt:lpstr>'ĐI LÙA 83 2 CÁNH'!Print_Area</vt:lpstr>
      <vt:lpstr>'ĐI Lùa 83 3 CÁNH'!Print_Area</vt:lpstr>
      <vt:lpstr>'ĐI QUAY 1 CÁNH'!Print_Area</vt:lpstr>
      <vt:lpstr>'ĐI QUAY 4 CÁNH'!Print_Area</vt:lpstr>
      <vt:lpstr>'SỔ QUAY 1CÁNH'!Print_Area</vt:lpstr>
      <vt:lpstr>'Sổ QUAY 2 CÁNH'!Print_Area</vt:lpstr>
    </vt:vector>
  </TitlesOfParts>
  <Company>Phan Danh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Le Phan Danh</dc:creator>
  <cp:lastModifiedBy>Hoang Quan</cp:lastModifiedBy>
  <cp:lastPrinted>2023-10-31T02:37:48Z</cp:lastPrinted>
  <dcterms:created xsi:type="dcterms:W3CDTF">2019-06-07T03:53:21Z</dcterms:created>
  <dcterms:modified xsi:type="dcterms:W3CDTF">2025-11-18T09:37:40Z</dcterms:modified>
</cp:coreProperties>
</file>
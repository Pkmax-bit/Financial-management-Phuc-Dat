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66925"/>
  <mc:AlternateContent xmlns:mc="http://schemas.openxmlformats.org/markup-compatibility/2006">
    <mc:Choice Requires="x15">
      <x15ac:absPath xmlns:x15ac="http://schemas.microsoft.com/office/spreadsheetml/2010/11/ac" url="D:\Project\Financial-management-Phuc-Dat\"/>
    </mc:Choice>
  </mc:AlternateContent>
  <xr:revisionPtr revIDLastSave="0" documentId="13_ncr:1_{4347F5E3-D050-43EE-B4C1-90CD61A198CF}" xr6:coauthVersionLast="47" xr6:coauthVersionMax="47" xr10:uidLastSave="{00000000-0000-0000-0000-000000000000}"/>
  <bookViews>
    <workbookView xWindow="-120" yWindow="-120" windowWidth="20730" windowHeight="11760" tabRatio="599" firstSheet="3" activeTab="3" xr2:uid="{00000000-000D-0000-FFFF-FFFF00000000}"/>
  </bookViews>
  <sheets>
    <sheet name="Sheet2" sheetId="5" state="hidden" r:id="rId1"/>
    <sheet name="Sheet1" sheetId="6" state="hidden" r:id="rId2"/>
    <sheet name="Sheet4" sheetId="8" state="hidden" r:id="rId3"/>
    <sheet name="Lên hợp đồng" sheetId="51" r:id="rId4"/>
    <sheet name="XFNK" sheetId="50" r:id="rId5"/>
    <sheet name="GIÁ VỐN" sheetId="35" r:id="rId6"/>
    <sheet name="ĐẶT KÍNH" sheetId="40" r:id="rId7"/>
  </sheets>
  <definedNames>
    <definedName name="_xlnm.Print_Area" localSheetId="6">'ĐẶT KÍNH'!$B$1:$H$20</definedName>
    <definedName name="_xlnm.Print_Area" localSheetId="3">'Lên hợp đồng'!$B$1:$M$14</definedName>
    <definedName name="_xlnm.Print_Area" localSheetId="1">Sheet1!$B$1:$K$21</definedName>
    <definedName name="_xlnm.Print_Area" localSheetId="0">Sheet2!$A$1:$K$15</definedName>
    <definedName name="_xlnm.Print_Area" localSheetId="4">XFNK!$B$1:$M$23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2" i="51" l="1"/>
  <c r="L12" i="51" s="1"/>
  <c r="J11" i="51"/>
  <c r="J13" i="51" s="1"/>
  <c r="L11" i="51" l="1"/>
  <c r="L13" i="51" s="1"/>
  <c r="L21" i="50"/>
  <c r="J20" i="50"/>
  <c r="L20" i="50" s="1"/>
  <c r="L19" i="50"/>
  <c r="J18" i="50"/>
  <c r="L18" i="50" s="1"/>
  <c r="L17" i="50"/>
  <c r="J16" i="50"/>
  <c r="L16" i="50" s="1"/>
  <c r="G14" i="50"/>
  <c r="L14" i="50"/>
  <c r="L15" i="50"/>
  <c r="L11" i="50"/>
  <c r="J13" i="50"/>
  <c r="L13" i="50" s="1"/>
  <c r="G12" i="50"/>
  <c r="L12" i="50" s="1"/>
  <c r="J11" i="50"/>
  <c r="L22" i="50" l="1"/>
  <c r="J22" i="50"/>
  <c r="G20" i="40" l="1"/>
  <c r="J11" i="35" l="1"/>
  <c r="J10" i="35"/>
  <c r="G8" i="35" l="1"/>
  <c r="K8" i="35" s="1"/>
  <c r="H8" i="35"/>
  <c r="F8" i="35" l="1"/>
  <c r="G13" i="35"/>
  <c r="J13" i="35" s="1"/>
  <c r="G12" i="35"/>
  <c r="J12" i="35" s="1"/>
  <c r="N18" i="35" l="1"/>
  <c r="N15" i="35" l="1"/>
  <c r="N13" i="35"/>
  <c r="K32" i="35"/>
  <c r="K29" i="35"/>
  <c r="M29" i="35" s="1"/>
  <c r="L20" i="35"/>
  <c r="I20" i="35"/>
  <c r="N19" i="35"/>
  <c r="H19" i="35"/>
  <c r="H18" i="35"/>
  <c r="O18" i="35" s="1"/>
  <c r="N17" i="35"/>
  <c r="H17" i="35"/>
  <c r="N11" i="35"/>
  <c r="O11" i="35" s="1"/>
  <c r="N9" i="35"/>
  <c r="O9" i="35" s="1"/>
  <c r="H9" i="35"/>
  <c r="O19" i="35" l="1"/>
  <c r="O17" i="35"/>
  <c r="O15" i="35"/>
  <c r="O13" i="35"/>
  <c r="N16" i="35"/>
  <c r="O16" i="35" s="1"/>
  <c r="N14" i="35" l="1"/>
  <c r="O14" i="35" s="1"/>
  <c r="N10" i="35"/>
  <c r="O10" i="35" s="1"/>
  <c r="K20" i="35" l="1"/>
  <c r="N12" i="35"/>
  <c r="O12" i="35" s="1"/>
  <c r="J20" i="6"/>
  <c r="J19" i="6"/>
  <c r="I11" i="5"/>
  <c r="J15" i="5"/>
  <c r="J20" i="35" l="1"/>
  <c r="H20" i="35" l="1"/>
  <c r="M8" i="35" s="1"/>
  <c r="N8" i="35" s="1"/>
  <c r="O8" i="35" s="1"/>
  <c r="P8" i="35" s="1"/>
  <c r="M20" i="35" l="1"/>
  <c r="N20" i="35" s="1"/>
  <c r="P22" i="35" s="1"/>
  <c r="O20" i="35" l="1"/>
</calcChain>
</file>

<file path=xl/sharedStrings.xml><?xml version="1.0" encoding="utf-8"?>
<sst xmlns="http://schemas.openxmlformats.org/spreadsheetml/2006/main" count="323" uniqueCount="177">
  <si>
    <t>Hạng mục thi công</t>
  </si>
  <si>
    <t>ĐVT</t>
  </si>
  <si>
    <t>Quy cách</t>
  </si>
  <si>
    <t>Số lượng</t>
  </si>
  <si>
    <t>Diện tích (m2)</t>
  </si>
  <si>
    <t>Đơn giá
(VNĐ/ĐVT)</t>
  </si>
  <si>
    <t>Thành tiền
(VNĐ)</t>
  </si>
  <si>
    <t>Ghi chú</t>
  </si>
  <si>
    <t>STT</t>
  </si>
  <si>
    <t>Ngang
(m)</t>
  </si>
  <si>
    <t>Cao
(m)</t>
  </si>
  <si>
    <t>Công ty TNHH PHUCDATDOOR xin chân thành cảm ơn quý khách đã quan tâm đến dịch vụ và sản phẩm của công ty. Phúc Đạt xin gửi đến quý khách bảng báo giá khối lượng công trình như sau:</t>
  </si>
  <si>
    <r>
      <t xml:space="preserve">
</t>
    </r>
    <r>
      <rPr>
        <b/>
        <sz val="11"/>
        <color theme="1"/>
        <rFont val="Times New Roman"/>
        <family val="1"/>
      </rPr>
      <t>Công Ty TNHH PHUCDATDOOR</t>
    </r>
    <r>
      <rPr>
        <sz val="11"/>
        <color theme="1"/>
        <rFont val="Times New Roman"/>
        <family val="1"/>
      </rPr>
      <t xml:space="preserve">
1. Trụ sở: 480/3 Tân Kỳ Tân Quý, P.Sơn Kỳ, Q.Tân Phú, TpHCM
2. Showroom &amp; Xưởng SX nhôm: 165/4 Bờ Bao Tân Thắng, P.Tân Quý, Q.Tân Phú, TpHCM
http://phucdatdoor.vn
Hotline:093.7777.515
</t>
    </r>
  </si>
  <si>
    <t>m2</t>
  </si>
  <si>
    <t>TỔNG KHỐI LƯỢNG</t>
  </si>
  <si>
    <r>
      <t xml:space="preserve">        BÁO GIÁ KHỐI LƯỢNG CÔNG TRÌNH 
</t>
    </r>
    <r>
      <rPr>
        <sz val="18"/>
        <color theme="1"/>
        <rFont val="Times New Roman"/>
        <family val="1"/>
      </rPr>
      <t>N</t>
    </r>
    <r>
      <rPr>
        <sz val="14"/>
        <color theme="1"/>
        <rFont val="Times New Roman"/>
        <family val="1"/>
      </rPr>
      <t>gày 24 tháng 09 năm 2022</t>
    </r>
  </si>
  <si>
    <t>Khách hàng: Anh Hà</t>
  </si>
  <si>
    <t>Địa chỉ : Tân Phú</t>
  </si>
  <si>
    <r>
      <t xml:space="preserve">Cửa sổ lùa 2 cánh 
</t>
    </r>
    <r>
      <rPr>
        <sz val="12"/>
        <rFont val="Times New Roman"/>
        <family val="1"/>
      </rPr>
      <t>Nhôm : Xingfa Việt Nam
Dày : 1.4mm
Màu : xám ghi
Kính : trong 8mm cường lực
Phụ kiện : KinLong chính hãng</t>
    </r>
  </si>
  <si>
    <t>dưới 1.8m2</t>
  </si>
  <si>
    <t>bộ</t>
  </si>
  <si>
    <t>trên 1.8m2</t>
  </si>
  <si>
    <r>
      <t xml:space="preserve">Cửa sổ lùa 1 cánh +1 fix
</t>
    </r>
    <r>
      <rPr>
        <sz val="12"/>
        <rFont val="Times New Roman"/>
        <family val="1"/>
      </rPr>
      <t>Nhôm : Xingfa Việt Nam
Dày : 1.4mm
Màu : xám ghi
Kính : trong 8mm cường lực
Phụ kiện : KinLong chính hãng</t>
    </r>
  </si>
  <si>
    <t>dưới 1m2</t>
  </si>
  <si>
    <r>
      <t xml:space="preserve">Cửa đi mở quay 1 cánh
</t>
    </r>
    <r>
      <rPr>
        <sz val="12"/>
        <rFont val="Times New Roman"/>
        <family val="1"/>
      </rPr>
      <t>Nhôm : Xingfa Việt Nam
Dày : 2mm
Màu : xám ghi
Kính : trong 8mm cường lực
Phụ kiện : KinLong chính hãng</t>
    </r>
  </si>
  <si>
    <r>
      <t xml:space="preserve">Cửa đi mở quay 1 cánh WC
</t>
    </r>
    <r>
      <rPr>
        <sz val="12"/>
        <rFont val="Times New Roman"/>
        <family val="1"/>
      </rPr>
      <t>Nhôm : Xingfa Việt Nam
Dày : 2mm
Màu : xám ghi
Kính : mờ 8mm cường lực
Phụ kiện : KinLong chính hãng</t>
    </r>
  </si>
  <si>
    <r>
      <t>Vách kính khung nhôm</t>
    </r>
    <r>
      <rPr>
        <sz val="12"/>
        <rFont val="Times New Roman"/>
        <family val="1"/>
      </rPr>
      <t xml:space="preserve">
Dày : 1.4mm
Màu : xám ghi
Kính : trong 8mm cường lực</t>
    </r>
  </si>
  <si>
    <r>
      <t xml:space="preserve">Cửa sổ mở quay 2 cánh 
</t>
    </r>
    <r>
      <rPr>
        <sz val="12"/>
        <rFont val="Times New Roman"/>
        <family val="1"/>
      </rPr>
      <t>Nhôm: Xingfa GuangDong
Dày : 1.4mm
Màu : đen
Kính : trong 8mm cường lực
Phụ kiện : KinLong chính hãng</t>
    </r>
  </si>
  <si>
    <r>
      <t xml:space="preserve">Cửa sổ lùa 2 cánh
</t>
    </r>
    <r>
      <rPr>
        <sz val="12"/>
        <rFont val="Times New Roman"/>
        <family val="1"/>
      </rPr>
      <t>Nhôm: Xingfa GuangDong
Dày : 1.4mm
Màu : đen
Kính : trong 8mm cường lực
Phụ kiện : KinLong chính hãng</t>
    </r>
  </si>
  <si>
    <r>
      <t xml:space="preserve">        BÁO GIÁ KHỐI LƯỢNG CÔNG TRÌNH 
</t>
    </r>
    <r>
      <rPr>
        <sz val="18"/>
        <color theme="1"/>
        <rFont val="Times New Roman"/>
        <family val="1"/>
      </rPr>
      <t>N</t>
    </r>
    <r>
      <rPr>
        <sz val="14"/>
        <color theme="1"/>
        <rFont val="Times New Roman"/>
        <family val="1"/>
      </rPr>
      <t>gày 28 tháng 09 năm 2022</t>
    </r>
  </si>
  <si>
    <t>Khách hàng: Anh Khánh</t>
  </si>
  <si>
    <t>Địa chỉ : Bình Chánh</t>
  </si>
  <si>
    <r>
      <t xml:space="preserve">Cửa đi mở quay 1 cánh
</t>
    </r>
    <r>
      <rPr>
        <sz val="12"/>
        <rFont val="Times New Roman"/>
        <family val="1"/>
      </rPr>
      <t>Nhôm : Xingfa Quảng Đông
Dày : 2mm
Màu : xám ghi
Kính : trong 8mm cường lực
Phụ kiện : KinLong chính hãng</t>
    </r>
  </si>
  <si>
    <r>
      <t>Lan can cầu thang
T</t>
    </r>
    <r>
      <rPr>
        <sz val="12"/>
        <rFont val="Times New Roman"/>
        <family val="1"/>
      </rPr>
      <t>ay vịn gỗ đỏ 70x70mm
Kính xám khối 10mm cường lực</t>
    </r>
  </si>
  <si>
    <t>md</t>
  </si>
  <si>
    <t>Cửa làm kính cường lực mờ cộng thêm</t>
  </si>
  <si>
    <t>Cửa làm kính xám khói cường lực cộng thêm</t>
  </si>
  <si>
    <t>Cửa làm kính cường lực xanh đen cộng thêm</t>
  </si>
  <si>
    <r>
      <t xml:space="preserve">Cửa chính mở quay 2 cánh 
</t>
    </r>
    <r>
      <rPr>
        <sz val="12"/>
        <rFont val="Times New Roman"/>
        <family val="1"/>
      </rPr>
      <t>Nhôm: Xingfa GuangDong
Dày : 2mm
Màu : đen
Kính : trong 8mm cường lực
Phụ kiện : KinLong chính hãng</t>
    </r>
  </si>
  <si>
    <t>Note : Báo giá m2 dựa trên kích thước tiêu chuẩn , dưới kích thước tiêu chuẩn tính bộ</t>
  </si>
  <si>
    <r>
      <t xml:space="preserve">***GHI CHÚ: 
</t>
    </r>
    <r>
      <rPr>
        <b/>
        <i/>
        <sz val="9"/>
        <color theme="1"/>
        <rFont val="Times New Roman"/>
        <family val="1"/>
      </rPr>
      <t>- Quy chuẩn cửa đi 4 cánh lớn trên 7m2,2 cánh trên 3m6, 1 cánh trên 1,8m2 giá thành tính theo m2. Kích thước dưới tiêu chuẩn tính theo bộ.
- Quy chuẩn cửa sổ  4 cánh lớn trên 3m6,2 cánh trên 1m8, 1 cánh trên 1m2 giá thành tính theo m2. Kích thước dưới tiêu chuẩn tính theo bộ.</t>
    </r>
    <r>
      <rPr>
        <sz val="9"/>
        <color theme="1"/>
        <rFont val="Times New Roman"/>
        <family val="1"/>
      </rPr>
      <t xml:space="preserve">
</t>
    </r>
  </si>
  <si>
    <t>MÃ HÀNG</t>
  </si>
  <si>
    <t>TÊN HÀNG</t>
  </si>
  <si>
    <t xml:space="preserve">ĐƠN VỊ </t>
  </si>
  <si>
    <t>SỐ LƯỢNG</t>
  </si>
  <si>
    <t>XC3328</t>
  </si>
  <si>
    <t>Khung bao hệ 55</t>
  </si>
  <si>
    <t>Màu</t>
  </si>
  <si>
    <t>xám</t>
  </si>
  <si>
    <t>XC3303</t>
  </si>
  <si>
    <t>Cánh cửa đi mở ngoài hệ 55</t>
  </si>
  <si>
    <t>XC3332</t>
  </si>
  <si>
    <t>Cánh cửa đi mở trong hệ 55</t>
  </si>
  <si>
    <t>XC3318</t>
  </si>
  <si>
    <t>Khung bao cửa sổ hệ 55</t>
  </si>
  <si>
    <t>XC8092</t>
  </si>
  <si>
    <t>Cánh cửa sổ mở quay ngoài ke nhảy</t>
  </si>
  <si>
    <t>XC3209</t>
  </si>
  <si>
    <t>Khung bao cho vách kính</t>
  </si>
  <si>
    <t>XD23156</t>
  </si>
  <si>
    <t>Cánh cửa lùa hệ 55</t>
  </si>
  <si>
    <t>XC3313</t>
  </si>
  <si>
    <t>Đố cố định chữ T tách khung</t>
  </si>
  <si>
    <t>TTXC3328S 1.2</t>
  </si>
  <si>
    <t>khung bao cửa đi</t>
  </si>
  <si>
    <t>TTXC3332S 1.2</t>
  </si>
  <si>
    <t>Khung cánh cửa đi mở trong</t>
  </si>
  <si>
    <t>TTXC3209S 1.2</t>
  </si>
  <si>
    <t>Khung bao vách kính</t>
  </si>
  <si>
    <t>TTXC3318S 1.2</t>
  </si>
  <si>
    <t>khung bao cửa sổ</t>
  </si>
  <si>
    <t>TTXC8092S 1.2</t>
  </si>
  <si>
    <t>Khung cánh cửa sổ</t>
  </si>
  <si>
    <t>TTXC3295S 1.0</t>
  </si>
  <si>
    <t>Nẹp kính dùng 8-10mm</t>
  </si>
  <si>
    <t>XC3295</t>
  </si>
  <si>
    <t>Nẹp kính vuông cho kính 5-10mm hệ 55</t>
  </si>
  <si>
    <t>thanh</t>
  </si>
  <si>
    <t>ĐƠN NHÔM CÔNG TRÌNH ANH KHÁNH_BÌNH CHÁNH</t>
  </si>
  <si>
    <r>
      <t xml:space="preserve">
</t>
    </r>
    <r>
      <rPr>
        <b/>
        <sz val="11"/>
        <color theme="1"/>
        <rFont val="Times New Roman"/>
        <family val="1"/>
      </rPr>
      <t>Công Ty TNHH Nhôm kính Phúc Đạt</t>
    </r>
    <r>
      <rPr>
        <sz val="11"/>
        <color theme="1"/>
        <rFont val="Times New Roman"/>
        <family val="1"/>
      </rPr>
      <t xml:space="preserve">
1. Trụ sở: 480/3 Tân Kỳ Tân Quý, P.Sơn Kỳ, Q.Tân Phú, TpHCM
2. Showroom &amp; Xưởng SX nhôm: 165/4 Bờ Bao Tân Thắng, P.Tân Quý, Q.Tân Phú, TpHCM
http://phucdatdoor.vn
Hotline:093.1842122
</t>
    </r>
  </si>
  <si>
    <t>Giám sát :</t>
  </si>
  <si>
    <t>CÔNG THỨC TÍNH GIÁ ĐỂ BÁO GIÁ CHO KHÁCH HÀNG</t>
  </si>
  <si>
    <t>Mục tiêu: giúp nhân viên sales dễ dàng ra quyết định chốt khách</t>
  </si>
  <si>
    <t>Nhóm hàng</t>
  </si>
  <si>
    <t>Danh mục sản phẩm</t>
  </si>
  <si>
    <t>Doanh thu</t>
  </si>
  <si>
    <t>Biến phí</t>
  </si>
  <si>
    <t>Tổng Giá vốn</t>
  </si>
  <si>
    <t>Lãi gộp</t>
  </si>
  <si>
    <t>Tỉ lệ % biến phí</t>
  </si>
  <si>
    <t>Ghi nhận doanh thu tổng</t>
  </si>
  <si>
    <t>Đơn giá</t>
  </si>
  <si>
    <t>Tổng DT</t>
  </si>
  <si>
    <t>Gía vật tư</t>
  </si>
  <si>
    <t>Lắp đặt</t>
  </si>
  <si>
    <t>Vận chuyển</t>
  </si>
  <si>
    <t>Bán hàng</t>
  </si>
  <si>
    <t>Mô tả tên sản phẩm</t>
  </si>
  <si>
    <t>Không ghi nhận doanh thu tổng đối với những sản phẩm dẫn, sản phảm chênh lệch không quá 15%</t>
  </si>
  <si>
    <t>Đối với những sản phẩm từ 15% trở lên. Công thức tính thông số cơ sở theo bảng dưới</t>
  </si>
  <si>
    <t xml:space="preserve">Ghi chú; Khách quan tâm sản phẩm nào thì bán hòa vốn và chiết khấu cao lên. </t>
  </si>
  <si>
    <t>Sales linh hoạt điều chỉnh giá giảm cho khách để chốt được đơn hàng</t>
  </si>
  <si>
    <t>DĐiền những thứ cần điền</t>
  </si>
  <si>
    <t>BẢNG THÔNG SỐ CƠ SỞ</t>
  </si>
  <si>
    <t>Stt</t>
  </si>
  <si>
    <t>Giá vốn công trình chiếm tỉ lệ</t>
  </si>
  <si>
    <t>Danh sách sản phẩm</t>
  </si>
  <si>
    <t>Hệ số</t>
  </si>
  <si>
    <t>Danh thu thực tế</t>
  </si>
  <si>
    <t>Doanh thu ghi nhận cho sales</t>
  </si>
  <si>
    <t>Thu nhập ghi nhận cho sales</t>
  </si>
  <si>
    <t>Hạng mục thi công đã có sales tối đa 85%</t>
  </si>
  <si>
    <t>Sản phẩm A</t>
  </si>
  <si>
    <t>Sản phẩm B</t>
  </si>
  <si>
    <t>Hạng mục thi công đã có sales tối đa 80%</t>
  </si>
  <si>
    <t>Sản phẩm C</t>
  </si>
  <si>
    <t>Hạng mục thi công đã có sales tối đa 75%</t>
  </si>
  <si>
    <t>Sản phẩm E</t>
  </si>
  <si>
    <t>Hạng mục thi công đã có sales tối đa 70%</t>
  </si>
  <si>
    <t>Sản phẩm F</t>
  </si>
  <si>
    <t>Hạng mục thi công đã có sales tối đa 65%</t>
  </si>
  <si>
    <t>Nhóm sản phẩm dẫn không ghi nhận doanh thu</t>
  </si>
  <si>
    <t>ĐỐi với nhóm sản phẩm không ghi nhận doanh thu</t>
  </si>
  <si>
    <t xml:space="preserve">Thưởng 20% cho sales trên số tiền chênh lệch. </t>
  </si>
  <si>
    <t>Không ghi nhận doanh thu cũng như công ghi nhận chi phí.</t>
  </si>
  <si>
    <t>Trương Hoàng Dương</t>
  </si>
  <si>
    <t>S Đ T</t>
  </si>
  <si>
    <t>0931842122</t>
  </si>
  <si>
    <t>Ký hiệu</t>
  </si>
  <si>
    <t>Vị trí</t>
  </si>
  <si>
    <t>LOẠI KÍNH</t>
  </si>
  <si>
    <t>Rộng 
( mm)</t>
  </si>
  <si>
    <t>Cao
(mm)</t>
  </si>
  <si>
    <t>TỔNG</t>
  </si>
  <si>
    <t>TẤM</t>
  </si>
  <si>
    <t xml:space="preserve">Mô tả </t>
  </si>
  <si>
    <t xml:space="preserve">KÍNH TRẮNG 8MM CƯỜNG LỰC </t>
  </si>
  <si>
    <t>Công ty TNHH Nhôm kính Phúc Đạt xin chân thành cảm ơn quý khách đã quan tâm đến dịch vụ và sản phẩm của công ty. Phúc Đạt xin gửi đến quý khách bảng báo giá khối lượng công trình như sau:
Báo giá có thời hạn trong vòng 7 ngày.</t>
  </si>
  <si>
    <t xml:space="preserve">nhôm </t>
  </si>
  <si>
    <t xml:space="preserve">không mài </t>
  </si>
  <si>
    <t>Lầu 1 - cửa ban công</t>
  </si>
  <si>
    <t>Lầu 2 - cửa ban công</t>
  </si>
  <si>
    <t>lầu 1- cửa sổ ban công</t>
  </si>
  <si>
    <t>lầu 2- cửa sổ ban công</t>
  </si>
  <si>
    <t>lầu 1 - cửa sổ sau</t>
  </si>
  <si>
    <t>lầu 2 - cửa sổ sau</t>
  </si>
  <si>
    <t>Phụ kiện</t>
  </si>
  <si>
    <t xml:space="preserve">Kính </t>
  </si>
  <si>
    <t>gia công</t>
  </si>
  <si>
    <t xml:space="preserve">Trệt - cửa chính </t>
  </si>
  <si>
    <t xml:space="preserve">KÍNH TRÀ ĐỎ 8MM CƯỜNG LỰC </t>
  </si>
  <si>
    <t xml:space="preserve">Trệt - Cửa hong </t>
  </si>
  <si>
    <t xml:space="preserve">Lững - Cửa nhà vệ sinh </t>
  </si>
  <si>
    <t xml:space="preserve">KÍNH MỜ 8MM CƯỜNG LỰC </t>
  </si>
  <si>
    <t xml:space="preserve">CÔNG TRÌNH : ANH LỰC - BÌNH CHÁNH 
Sáng thứ 2 giao qua xưởng VÕ VĂN VÂN
</t>
  </si>
  <si>
    <t xml:space="preserve">Số điện thoại : </t>
  </si>
  <si>
    <r>
      <t xml:space="preserve">        BÁO GIÁ KHỐI LƯỢNG CÔNG TRÌNH
</t>
    </r>
    <r>
      <rPr>
        <sz val="18"/>
        <color theme="1"/>
        <rFont val="Times New Roman"/>
        <family val="1"/>
      </rPr>
      <t>N</t>
    </r>
    <r>
      <rPr>
        <sz val="14"/>
        <color theme="1"/>
        <rFont val="Times New Roman"/>
        <family val="1"/>
      </rPr>
      <t>gày 15 tháng 11 năm 2025</t>
    </r>
  </si>
  <si>
    <t xml:space="preserve">Khách hàng: ( Anh ) Tượng </t>
  </si>
  <si>
    <t xml:space="preserve">Địa chỉ : Tân Phú </t>
  </si>
  <si>
    <t>Cửa chính</t>
  </si>
  <si>
    <r>
      <t xml:space="preserve">CỬA TRƯỢT QUAY 4 CÁNH + MỞ TRONG
</t>
    </r>
    <r>
      <rPr>
        <sz val="12"/>
        <color theme="1"/>
        <rFont val="Times New Roman"/>
        <family val="1"/>
      </rPr>
      <t xml:space="preserve">Nhôm : Zhongkai AGS100
Dày : 1.6-3.5mm ( phụ thuộc vào từng bộ phận chịu lực )
Màu : Xám xanh / trắng / nâu
Kính trắng 8mm cường lực 
Phụ kiện AG đồng bộ cửa 
8 bản lề cửa 
4 bộ bánh xe lùa treo
2 bộ chốt cơ hoặc tự động 
1 bộ khóa trong sập ngoài chìa 
1 bộ tay nắm đồng bộ cửa 
và 1 số phụ kiện phụ khác đồng bộ cửa </t>
    </r>
  </si>
  <si>
    <t xml:space="preserve">Chi phí uốn vòm </t>
  </si>
  <si>
    <r>
      <t xml:space="preserve">CỬA ĐI MỞ QUAY 2 CÁNH 
</t>
    </r>
    <r>
      <rPr>
        <sz val="12"/>
        <color theme="1"/>
        <rFont val="Times New Roman"/>
        <family val="1"/>
      </rPr>
      <t xml:space="preserve">Nhôm : Xingfa nhập khẩu Quảng Đông hệ 55
Dày : 2mm
Màu : xám ghi/nâu/trắng/đen
Kính trắng 8mm cường lực </t>
    </r>
  </si>
  <si>
    <r>
      <t xml:space="preserve">Phụ kiện Kinlong chính hãng hay Draho đồng bộ cửa 
</t>
    </r>
    <r>
      <rPr>
        <sz val="12"/>
        <color theme="1"/>
        <rFont val="Times New Roman"/>
        <family val="1"/>
      </rPr>
      <t>6 bản lề 4D
2 bộ chốt phụ 
1 bộ khóa đa
1 lõi khóa 2 đầu chìa
Và 1 số phụ kiện phụ khác đồng bộ cửa</t>
    </r>
  </si>
  <si>
    <t xml:space="preserve">Cửa 2 cánh </t>
  </si>
  <si>
    <t xml:space="preserve">Cửa đi 1 cánh </t>
  </si>
  <si>
    <r>
      <t xml:space="preserve">CỬA ĐI MỞ QUAY 1 CÁNH 
</t>
    </r>
    <r>
      <rPr>
        <sz val="12"/>
        <color theme="1"/>
        <rFont val="Times New Roman"/>
        <family val="1"/>
      </rPr>
      <t xml:space="preserve">Nhôm : Xingfa nhập khẩu Quảng Đông hệ 55
Dày : 2mm
Màu : xám ghi/nâu/trắng/đen
Kính trắng 8mm cường lực </t>
    </r>
  </si>
  <si>
    <r>
      <t>Phụ kiện Kinlong chính hãng hay Draho đồng bộ cửa 
3</t>
    </r>
    <r>
      <rPr>
        <sz val="12"/>
        <color theme="1"/>
        <rFont val="Times New Roman"/>
        <family val="1"/>
      </rPr>
      <t xml:space="preserve"> bản lề 4D 
1 bộ khóa đơn
1 lõi khóa 1 đầu chìa 1 nút vặn 
Và 1 số phụ kiện phụ khác đồng bộ cửa</t>
    </r>
  </si>
  <si>
    <t xml:space="preserve">Cửa kính mờ </t>
  </si>
  <si>
    <r>
      <t>Phụ kiện Kinlong chính hãng hay Draho đồng bộ cửa 
2</t>
    </r>
    <r>
      <rPr>
        <sz val="12"/>
        <color theme="1"/>
        <rFont val="Times New Roman"/>
        <family val="1"/>
      </rPr>
      <t xml:space="preserve"> bản lề 4D 
1 bộ khóa đơn
1 lõi khóa 1 đầu chìa 1 nút vặn 
Và 1 số phụ kiện phụ khác đồng bộ cửa</t>
    </r>
  </si>
  <si>
    <t xml:space="preserve">Cửa sổ mở hất 1 cánh </t>
  </si>
  <si>
    <r>
      <t xml:space="preserve">CỬA SỔ MỞ HẤT 1 CÁNH  
</t>
    </r>
    <r>
      <rPr>
        <sz val="12"/>
        <color theme="1"/>
        <rFont val="Times New Roman"/>
        <family val="1"/>
      </rPr>
      <t xml:space="preserve">Nhôm : Xingfa nhập khẩu Quảng Đông hệ 55
Dày : 1.4mm
Màu : xám ghi/nâu/trắng/đen
Kính trắng 8mm cường lực </t>
    </r>
  </si>
  <si>
    <r>
      <t xml:space="preserve">Phụ kiện Kinlong chính hãng hay Draho đồng bộ cửa 
</t>
    </r>
    <r>
      <rPr>
        <sz val="12"/>
        <color theme="1"/>
        <rFont val="Times New Roman"/>
        <family val="1"/>
      </rPr>
      <t>2 bản lề chữ A chống gió
1 bộ khóa đơn 
Và 1 số phụ kiện phụ khác đồng bộ cửa</t>
    </r>
  </si>
  <si>
    <t xml:space="preserve">
CHƯA BAO GỒM THUẾ VAT 
Nhôm Xingfa nhập khẩu Quảng Đông bảo hành kim khí 5 năm .
Phụ kiện Kinlong chính hãng hoặc Draho đồng bộ cửa  bảo hành 2 năm .
Phụ kiện VVP inox bảo hành 1 năm .
PHỤ 
***GHI CHÚ: 
- Quy chuẩn cửa đi 4 cánh lớn trên 7.2m2,2 cánh trên 3m6, 1 cánh trên 1,8m2 giá thành tính theo m2. Kích thước dưới tiêu chuẩn tính theo bộ.
- Quy chuẩn cửa sổ  4 cánh lớn trên 3m6,2 cánh trên 1m8, 1 cánh trên 1m2 giá thành tính theo m2. Kích thước dưới tiêu chuẩn tính theo bộ.
</t>
  </si>
  <si>
    <r>
      <t xml:space="preserve">        BÁO GIÁ KHỐI LƯỢNG CÔNG TRÌNH
</t>
    </r>
    <r>
      <rPr>
        <sz val="18"/>
        <color theme="1"/>
        <rFont val="Times New Roman"/>
        <family val="1"/>
      </rPr>
      <t>N</t>
    </r>
    <r>
      <rPr>
        <sz val="14"/>
        <color theme="1"/>
        <rFont val="Times New Roman"/>
        <family val="1"/>
      </rPr>
      <t>gày 27 tháng 11 năm 2025</t>
    </r>
  </si>
  <si>
    <t xml:space="preserve">Khách hàng: ( Anh ) Trần Xuân Tượng </t>
  </si>
  <si>
    <t xml:space="preserve">Địa chỉ :  Công trình Tân Phú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</si>
</sst>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_(* \(#,##0\);_(* &quot;-&quot;??_);_(@_)"/>
    <numFmt numFmtId="165" formatCode="_(* #,##0.000_);_(* \(#,##0.000\);_(* &quot;-&quot;??_);_(@_)"/>
    <numFmt numFmtId="166" formatCode="_ * #,##0_ ;_ * \-#,##0_ ;_ * &quot;-&quot;??_ ;_ @_ "/>
    <numFmt numFmtId="167" formatCode="_ * #,##0.0_ ;_ * \-#,##0.0_ ;_ * &quot;-&quot;??_ ;_ @_ "/>
    <numFmt numFmtId="168" formatCode="_ * #,##0.000_ ;_ * \-#,##0.000_ ;_ * &quot;-&quot;??.0_ ;_ @_ "/>
    <numFmt numFmtId="169" formatCode="_ * #,##0.000000_ ;_ * \-#,##0.000000_ ;_ * &quot;-&quot;??.000000_ ;_ @_ "/>
    <numFmt numFmtId="170" formatCode="_ * #,##0.00_ ;_ * \-#,##0.00_ ;_ * &quot;-&quot;??_ ;_ @_ "/>
  </numFmts>
  <fonts count="27">
    <font>
      <sz val="11"/>
      <color theme="1"/>
      <name val="Calibri"/>
      <family val="2"/>
      <scheme val="minor"/>
    </font>
    <font>
      <sz val="11"/>
      <color theme="1"/>
      <name val="Calibri"/>
      <family val="2"/>
      <scheme val="minor"/>
    </font>
    <font>
      <sz val="11"/>
      <color theme="1"/>
      <name val="Times New Roman"/>
      <family val="1"/>
    </font>
    <font>
      <sz val="18"/>
      <color theme="1"/>
      <name val="Times New Roman"/>
      <family val="1"/>
    </font>
    <font>
      <b/>
      <sz val="18"/>
      <color theme="1"/>
      <name val="Times New Roman"/>
      <family val="1"/>
    </font>
    <font>
      <sz val="13"/>
      <color theme="1"/>
      <name val="Times New Roman"/>
      <family val="1"/>
    </font>
    <font>
      <sz val="12"/>
      <name val="宋体"/>
      <charset val="134"/>
    </font>
    <font>
      <sz val="12"/>
      <name val="Times New Roman"/>
      <family val="1"/>
    </font>
    <font>
      <b/>
      <sz val="12"/>
      <color theme="1"/>
      <name val="Times New Roman"/>
      <family val="1"/>
    </font>
    <font>
      <b/>
      <sz val="11"/>
      <name val="Times New Roman"/>
      <family val="1"/>
    </font>
    <font>
      <u/>
      <sz val="11"/>
      <color theme="10"/>
      <name val="Calibri"/>
      <family val="2"/>
      <scheme val="minor"/>
    </font>
    <font>
      <u/>
      <sz val="11"/>
      <color theme="11"/>
      <name val="Calibri"/>
      <family val="2"/>
      <scheme val="minor"/>
    </font>
    <font>
      <b/>
      <sz val="11"/>
      <color theme="1"/>
      <name val="Times New Roman"/>
      <family val="1"/>
    </font>
    <font>
      <sz val="14"/>
      <color theme="1"/>
      <name val="Times New Roman"/>
      <family val="1"/>
    </font>
    <font>
      <b/>
      <sz val="12"/>
      <name val="Times New Roman"/>
      <family val="1"/>
    </font>
    <font>
      <sz val="9"/>
      <color theme="1"/>
      <name val="Times New Roman"/>
      <family val="1"/>
    </font>
    <font>
      <b/>
      <i/>
      <sz val="9"/>
      <color theme="1"/>
      <name val="Times New Roman"/>
      <family val="1"/>
    </font>
    <font>
      <b/>
      <sz val="11"/>
      <color theme="1"/>
      <name val="Calibri"/>
      <family val="2"/>
      <scheme val="minor"/>
    </font>
    <font>
      <b/>
      <sz val="16"/>
      <color theme="1"/>
      <name val="Calibri"/>
      <family val="2"/>
      <scheme val="minor"/>
    </font>
    <font>
      <sz val="10"/>
      <name val="Arial"/>
      <family val="2"/>
    </font>
    <font>
      <sz val="10"/>
      <name val="Arial"/>
      <family val="2"/>
    </font>
    <font>
      <sz val="12"/>
      <color theme="1"/>
      <name val="Times New Roman"/>
      <family val="1"/>
    </font>
    <font>
      <sz val="18"/>
      <color theme="1"/>
      <name val="Calibri"/>
      <family val="2"/>
      <scheme val="minor"/>
    </font>
    <font>
      <sz val="18"/>
      <color rgb="FFFF0000"/>
      <name val="Calibri"/>
      <family val="2"/>
      <scheme val="minor"/>
    </font>
    <font>
      <sz val="14"/>
      <color theme="1"/>
      <name val="Calibri"/>
      <family val="2"/>
      <scheme val="minor"/>
    </font>
    <font>
      <sz val="26"/>
      <color theme="1"/>
      <name val="Calibri"/>
      <family val="2"/>
      <scheme val="minor"/>
    </font>
    <font>
      <sz val="11"/>
      <color rgb="FFC00000"/>
      <name val="Calibri"/>
      <family val="2"/>
      <scheme val="minor"/>
    </font>
  </fonts>
  <fills count="8">
    <fill>
      <patternFill patternType="none"/>
    </fill>
    <fill>
      <patternFill patternType="gray125"/>
    </fill>
    <fill>
      <patternFill patternType="solid">
        <fgColor theme="8" tint="0.59999389629810485"/>
        <bgColor indexed="64"/>
      </patternFill>
    </fill>
    <fill>
      <patternFill patternType="solid">
        <fgColor theme="4" tint="0.59999389629810485"/>
        <bgColor indexed="64"/>
      </patternFill>
    </fill>
    <fill>
      <patternFill patternType="solid">
        <fgColor rgb="FF00B0F0"/>
        <bgColor indexed="64"/>
      </patternFill>
    </fill>
    <fill>
      <patternFill patternType="solid">
        <fgColor rgb="FFFFC000"/>
        <bgColor indexed="64"/>
      </patternFill>
    </fill>
    <fill>
      <patternFill patternType="solid">
        <fgColor rgb="FF92D050"/>
        <bgColor indexed="64"/>
      </patternFill>
    </fill>
    <fill>
      <patternFill patternType="solid">
        <fgColor theme="8" tint="0.39997558519241921"/>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bottom/>
      <diagonal/>
    </border>
  </borders>
  <cellStyleXfs count="21">
    <xf numFmtId="0" fontId="0" fillId="0" borderId="0"/>
    <xf numFmtId="43" fontId="1" fillId="0" borderId="0" applyFont="0" applyFill="0" applyBorder="0" applyAlignment="0" applyProtection="0"/>
    <xf numFmtId="0" fontId="6" fillId="0" borderId="0">
      <alignment vertical="center"/>
    </xf>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9" fillId="0" borderId="0"/>
    <xf numFmtId="43" fontId="20" fillId="0" borderId="0" applyFont="0" applyFill="0" applyBorder="0" applyAlignment="0" applyProtection="0"/>
    <xf numFmtId="0" fontId="1" fillId="0" borderId="0"/>
    <xf numFmtId="0" fontId="20" fillId="0" borderId="0"/>
    <xf numFmtId="9" fontId="20" fillId="0" borderId="0" applyFont="0" applyFill="0" applyBorder="0" applyAlignment="0" applyProtection="0"/>
    <xf numFmtId="9" fontId="1" fillId="0" borderId="0" applyFont="0" applyFill="0" applyBorder="0" applyAlignment="0" applyProtection="0"/>
  </cellStyleXfs>
  <cellXfs count="140">
    <xf numFmtId="0" fontId="0" fillId="0" borderId="0" xfId="0"/>
    <xf numFmtId="0" fontId="2" fillId="0" borderId="0" xfId="0" applyFont="1" applyAlignment="1">
      <alignment horizontal="center" wrapText="1"/>
    </xf>
    <xf numFmtId="0" fontId="2" fillId="0" borderId="0" xfId="0" applyFont="1" applyAlignment="1">
      <alignment wrapText="1"/>
    </xf>
    <xf numFmtId="0" fontId="5" fillId="0" borderId="0" xfId="0" applyFont="1" applyAlignment="1">
      <alignment wrapText="1"/>
    </xf>
    <xf numFmtId="3" fontId="8" fillId="2"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7" fillId="0" borderId="1" xfId="2" applyFont="1" applyBorder="1" applyAlignment="1">
      <alignment horizontal="center" vertical="center" wrapText="1"/>
    </xf>
    <xf numFmtId="164" fontId="7" fillId="0" borderId="1" xfId="1" applyNumberFormat="1" applyFont="1" applyFill="1" applyBorder="1" applyAlignment="1">
      <alignment horizontal="center" vertical="center" wrapText="1"/>
    </xf>
    <xf numFmtId="164" fontId="7" fillId="0" borderId="1" xfId="2" applyNumberFormat="1" applyFont="1" applyBorder="1" applyAlignment="1">
      <alignment horizontal="center" vertical="center" wrapText="1"/>
    </xf>
    <xf numFmtId="0" fontId="7" fillId="0" borderId="2" xfId="0" applyFont="1" applyBorder="1" applyAlignment="1">
      <alignment horizontal="center" vertical="center" wrapText="1"/>
    </xf>
    <xf numFmtId="43" fontId="7" fillId="0" borderId="1" xfId="1" applyFont="1" applyFill="1" applyBorder="1" applyAlignment="1">
      <alignment horizontal="center" vertical="center" wrapText="1"/>
    </xf>
    <xf numFmtId="0" fontId="14" fillId="0" borderId="1" xfId="2" applyFont="1" applyBorder="1" applyAlignment="1">
      <alignment horizontal="left" vertical="center" wrapText="1"/>
    </xf>
    <xf numFmtId="0" fontId="2" fillId="0" borderId="0" xfId="0" applyFont="1" applyAlignment="1">
      <alignment horizontal="center" vertical="center" wrapText="1"/>
    </xf>
    <xf numFmtId="164" fontId="7" fillId="2" borderId="1" xfId="1"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0" fontId="17" fillId="3" borderId="1" xfId="0" applyFont="1" applyFill="1" applyBorder="1" applyAlignment="1">
      <alignment horizontal="center" vertical="center"/>
    </xf>
    <xf numFmtId="0" fontId="12" fillId="0" borderId="0" xfId="0" applyFont="1" applyAlignment="1">
      <alignment horizontal="center" wrapText="1"/>
    </xf>
    <xf numFmtId="164" fontId="21" fillId="0" borderId="1" xfId="1" applyNumberFormat="1" applyFont="1" applyFill="1" applyBorder="1" applyAlignment="1">
      <alignment horizontal="center" vertical="center" wrapText="1"/>
    </xf>
    <xf numFmtId="43" fontId="21" fillId="0" borderId="1" xfId="1" applyFont="1" applyFill="1" applyBorder="1" applyAlignment="1">
      <alignment horizontal="center" vertical="center" wrapText="1"/>
    </xf>
    <xf numFmtId="164" fontId="21" fillId="0" borderId="1" xfId="1" quotePrefix="1" applyNumberFormat="1" applyFont="1" applyFill="1" applyBorder="1" applyAlignment="1">
      <alignment horizontal="center" vertical="center" wrapText="1"/>
    </xf>
    <xf numFmtId="164" fontId="21" fillId="0" borderId="1" xfId="2" applyNumberFormat="1" applyFont="1" applyBorder="1" applyAlignment="1">
      <alignment horizontal="center" vertical="center" wrapText="1"/>
    </xf>
    <xf numFmtId="0" fontId="0" fillId="0" borderId="0" xfId="0" applyAlignment="1">
      <alignment vertical="center"/>
    </xf>
    <xf numFmtId="0" fontId="22" fillId="0" borderId="0" xfId="0" applyFont="1" applyAlignment="1">
      <alignment horizontal="center" vertical="center"/>
    </xf>
    <xf numFmtId="9" fontId="0" fillId="0" borderId="0" xfId="0" applyNumberFormat="1" applyAlignment="1">
      <alignment vertical="center"/>
    </xf>
    <xf numFmtId="166" fontId="0" fillId="0" borderId="0" xfId="1" applyNumberFormat="1" applyFont="1" applyAlignment="1">
      <alignment vertical="center"/>
    </xf>
    <xf numFmtId="0" fontId="0" fillId="5" borderId="1" xfId="0" applyFill="1" applyBorder="1" applyAlignment="1">
      <alignment vertical="center"/>
    </xf>
    <xf numFmtId="0" fontId="0" fillId="6" borderId="1" xfId="0" applyFill="1" applyBorder="1" applyAlignment="1">
      <alignment vertical="center"/>
    </xf>
    <xf numFmtId="166" fontId="0" fillId="0" borderId="1" xfId="1" applyNumberFormat="1" applyFont="1" applyBorder="1" applyAlignment="1">
      <alignment vertical="center"/>
    </xf>
    <xf numFmtId="167" fontId="0" fillId="0" borderId="1" xfId="1" applyNumberFormat="1" applyFont="1" applyBorder="1" applyAlignment="1">
      <alignment vertical="center"/>
    </xf>
    <xf numFmtId="9" fontId="0" fillId="0" borderId="1" xfId="20" applyFont="1" applyBorder="1" applyAlignment="1">
      <alignment vertical="center"/>
    </xf>
    <xf numFmtId="168" fontId="0" fillId="0" borderId="0" xfId="1" applyNumberFormat="1" applyFont="1" applyAlignment="1">
      <alignment vertical="center"/>
    </xf>
    <xf numFmtId="169" fontId="0" fillId="0" borderId="0" xfId="0" applyNumberFormat="1" applyAlignment="1">
      <alignment vertical="center"/>
    </xf>
    <xf numFmtId="9" fontId="0" fillId="0" borderId="0" xfId="20" applyFont="1" applyAlignment="1">
      <alignment vertical="center"/>
    </xf>
    <xf numFmtId="166" fontId="0" fillId="0" borderId="0" xfId="0" applyNumberFormat="1" applyAlignment="1">
      <alignment vertical="center"/>
    </xf>
    <xf numFmtId="10" fontId="23" fillId="0" borderId="0" xfId="0" applyNumberFormat="1" applyFont="1" applyAlignment="1">
      <alignment vertical="center"/>
    </xf>
    <xf numFmtId="0" fontId="24" fillId="4" borderId="1" xfId="0" applyFont="1" applyFill="1" applyBorder="1" applyAlignment="1">
      <alignment vertical="center" wrapText="1"/>
    </xf>
    <xf numFmtId="9" fontId="25" fillId="0" borderId="0" xfId="20" applyFont="1" applyAlignment="1">
      <alignment vertical="center"/>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17" fillId="0" borderId="1" xfId="0" applyFont="1" applyBorder="1" applyAlignment="1">
      <alignment horizontal="center" vertical="center"/>
    </xf>
    <xf numFmtId="0" fontId="2" fillId="0" borderId="0" xfId="0" applyFont="1" applyAlignment="1">
      <alignment horizontal="left" wrapText="1"/>
    </xf>
    <xf numFmtId="0" fontId="9" fillId="2" borderId="1" xfId="0" applyFont="1" applyFill="1" applyBorder="1" applyAlignment="1">
      <alignment vertical="center" wrapText="1"/>
    </xf>
    <xf numFmtId="4" fontId="8" fillId="2" borderId="1" xfId="0" applyNumberFormat="1" applyFont="1" applyFill="1" applyBorder="1" applyAlignment="1">
      <alignment horizontal="center" vertical="center" wrapText="1"/>
    </xf>
    <xf numFmtId="0" fontId="21" fillId="0" borderId="0" xfId="0" applyFont="1" applyAlignment="1">
      <alignment wrapText="1"/>
    </xf>
    <xf numFmtId="43" fontId="21" fillId="0" borderId="0" xfId="1" applyFont="1" applyAlignment="1">
      <alignment horizontal="center" wrapText="1"/>
    </xf>
    <xf numFmtId="164" fontId="21" fillId="0" borderId="0" xfId="0" applyNumberFormat="1" applyFont="1" applyAlignment="1">
      <alignment wrapText="1"/>
    </xf>
    <xf numFmtId="0" fontId="0" fillId="0" borderId="1" xfId="0" applyBorder="1" applyAlignment="1">
      <alignment vertical="center"/>
    </xf>
    <xf numFmtId="0" fontId="0" fillId="0" borderId="1" xfId="0" applyBorder="1" applyAlignment="1">
      <alignment horizontal="center" vertical="center" wrapText="1"/>
    </xf>
    <xf numFmtId="0" fontId="0" fillId="0" borderId="2" xfId="0" applyBorder="1" applyAlignment="1">
      <alignment vertical="center" wrapText="1"/>
    </xf>
    <xf numFmtId="170" fontId="0" fillId="0" borderId="1" xfId="1" applyNumberFormat="1" applyFont="1" applyBorder="1" applyAlignment="1">
      <alignment vertical="center"/>
    </xf>
    <xf numFmtId="0" fontId="8" fillId="0" borderId="1" xfId="2" applyFont="1" applyBorder="1" applyAlignment="1">
      <alignment horizontal="left" vertical="center" wrapText="1"/>
    </xf>
    <xf numFmtId="0" fontId="21" fillId="0" borderId="1" xfId="2" applyFont="1" applyBorder="1" applyAlignment="1">
      <alignment horizontal="center" vertical="center" wrapText="1"/>
    </xf>
    <xf numFmtId="165" fontId="21" fillId="0" borderId="1" xfId="1" applyNumberFormat="1" applyFont="1" applyFill="1" applyBorder="1" applyAlignment="1">
      <alignment horizontal="center" vertical="center" wrapText="1"/>
    </xf>
    <xf numFmtId="0" fontId="0" fillId="0" borderId="8" xfId="0" applyBorder="1" applyAlignment="1">
      <alignment horizontal="center" vertical="center" wrapText="1"/>
    </xf>
    <xf numFmtId="0" fontId="26" fillId="0" borderId="8" xfId="0" applyFont="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2" fillId="0" borderId="0" xfId="0" applyFont="1" applyAlignment="1">
      <alignment horizontal="right" vertical="top" wrapText="1"/>
    </xf>
    <xf numFmtId="0" fontId="4" fillId="0" borderId="0" xfId="0" applyFont="1" applyAlignment="1">
      <alignment horizontal="center" wrapText="1"/>
    </xf>
    <xf numFmtId="0" fontId="3" fillId="0" borderId="0" xfId="0" applyFont="1" applyAlignment="1">
      <alignment horizontal="center" wrapText="1"/>
    </xf>
    <xf numFmtId="0" fontId="2" fillId="0" borderId="0" xfId="0" applyFont="1" applyAlignment="1">
      <alignment horizontal="center" vertical="center" wrapText="1"/>
    </xf>
    <xf numFmtId="0" fontId="5" fillId="0" borderId="6" xfId="0" applyFont="1" applyBorder="1" applyAlignment="1">
      <alignment vertical="center" wrapText="1"/>
    </xf>
    <xf numFmtId="0" fontId="2" fillId="2" borderId="1" xfId="0" applyFont="1" applyFill="1" applyBorder="1" applyAlignment="1">
      <alignment horizontal="center" vertical="center" wrapText="1"/>
    </xf>
    <xf numFmtId="0" fontId="7" fillId="2" borderId="1" xfId="2" applyFont="1" applyFill="1" applyBorder="1" applyAlignment="1">
      <alignment horizontal="left" vertical="center" wrapText="1"/>
    </xf>
    <xf numFmtId="0" fontId="7" fillId="2" borderId="1" xfId="2" applyFont="1" applyFill="1" applyBorder="1" applyAlignment="1">
      <alignment horizontal="center" vertical="center" wrapText="1"/>
    </xf>
    <xf numFmtId="164" fontId="7" fillId="2" borderId="1" xfId="1" applyNumberFormat="1" applyFont="1" applyFill="1" applyBorder="1" applyAlignment="1">
      <alignment horizontal="center" vertical="center" wrapText="1"/>
    </xf>
    <xf numFmtId="164" fontId="7" fillId="2" borderId="1" xfId="2"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15" fillId="0" borderId="7" xfId="0" applyFont="1" applyBorder="1" applyAlignment="1">
      <alignment horizontal="left" vertical="center" wrapText="1"/>
    </xf>
    <xf numFmtId="0" fontId="18" fillId="3" borderId="1"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164" fontId="7" fillId="2" borderId="2" xfId="1" applyNumberFormat="1" applyFont="1" applyFill="1" applyBorder="1" applyAlignment="1">
      <alignment horizontal="center" vertical="center" wrapText="1"/>
    </xf>
    <xf numFmtId="164" fontId="7" fillId="2" borderId="8" xfId="1" applyNumberFormat="1" applyFont="1" applyFill="1" applyBorder="1" applyAlignment="1">
      <alignment horizontal="center" vertical="center" wrapText="1"/>
    </xf>
    <xf numFmtId="164" fontId="7" fillId="2" borderId="2" xfId="2" applyNumberFormat="1" applyFont="1" applyFill="1" applyBorder="1" applyAlignment="1">
      <alignment horizontal="center" vertical="center" wrapText="1"/>
    </xf>
    <xf numFmtId="164" fontId="7" fillId="2" borderId="8" xfId="2" applyNumberFormat="1"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8" xfId="0" applyFont="1" applyBorder="1" applyAlignment="1">
      <alignment horizontal="center" vertical="center" wrapText="1"/>
    </xf>
    <xf numFmtId="0" fontId="0" fillId="0" borderId="2" xfId="0" applyBorder="1" applyAlignment="1">
      <alignment horizontal="center"/>
    </xf>
    <xf numFmtId="0" fontId="0" fillId="0" borderId="8" xfId="0" applyBorder="1" applyAlignment="1">
      <alignment horizontal="center"/>
    </xf>
    <xf numFmtId="0" fontId="5" fillId="0" borderId="6" xfId="0" applyFont="1" applyBorder="1" applyAlignment="1">
      <alignment horizontal="left" vertical="center" wrapText="1"/>
    </xf>
    <xf numFmtId="49" fontId="2" fillId="0" borderId="6" xfId="0" applyNumberFormat="1" applyFont="1" applyBorder="1" applyAlignment="1">
      <alignment horizontal="center" wrapText="1"/>
    </xf>
    <xf numFmtId="0" fontId="2" fillId="2" borderId="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7" fillId="2" borderId="2" xfId="2" applyFont="1" applyFill="1" applyBorder="1" applyAlignment="1">
      <alignment horizontal="left" vertical="center" wrapText="1"/>
    </xf>
    <xf numFmtId="0" fontId="7" fillId="2" borderId="8" xfId="2" applyFont="1" applyFill="1" applyBorder="1" applyAlignment="1">
      <alignment horizontal="left" vertical="center" wrapText="1"/>
    </xf>
    <xf numFmtId="0" fontId="7" fillId="2" borderId="2" xfId="2" applyFont="1" applyFill="1" applyBorder="1" applyAlignment="1">
      <alignment horizontal="center" vertical="center" wrapText="1"/>
    </xf>
    <xf numFmtId="0" fontId="7" fillId="2" borderId="8" xfId="2" applyFont="1" applyFill="1" applyBorder="1" applyAlignment="1">
      <alignment horizontal="center" vertical="center" wrapText="1"/>
    </xf>
    <xf numFmtId="164" fontId="7" fillId="2" borderId="3" xfId="1" applyNumberFormat="1" applyFont="1" applyFill="1" applyBorder="1" applyAlignment="1">
      <alignment horizontal="center" vertical="center" wrapText="1"/>
    </xf>
    <xf numFmtId="164" fontId="7" fillId="2" borderId="5" xfId="1" applyNumberFormat="1" applyFont="1" applyFill="1" applyBorder="1" applyAlignment="1">
      <alignment horizontal="center" vertical="center" wrapText="1"/>
    </xf>
    <xf numFmtId="0" fontId="5" fillId="0" borderId="0" xfId="0" applyFont="1" applyAlignment="1">
      <alignment horizontal="left" wrapText="1"/>
    </xf>
    <xf numFmtId="0" fontId="2" fillId="0" borderId="0" xfId="0" applyFont="1" applyAlignment="1">
      <alignment horizontal="center" wrapText="1"/>
    </xf>
    <xf numFmtId="0" fontId="0" fillId="0" borderId="9" xfId="0" applyBorder="1" applyAlignment="1">
      <alignment horizontal="center"/>
    </xf>
    <xf numFmtId="0" fontId="21" fillId="0" borderId="9" xfId="0" applyFont="1" applyBorder="1" applyAlignment="1">
      <alignment horizontal="center" vertical="center" wrapText="1"/>
    </xf>
    <xf numFmtId="0" fontId="22" fillId="4" borderId="0" xfId="0" applyFont="1" applyFill="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6" borderId="2" xfId="0" applyFill="1" applyBorder="1" applyAlignment="1">
      <alignment horizontal="center" vertical="center" wrapText="1"/>
    </xf>
    <xf numFmtId="0" fontId="0" fillId="6" borderId="8" xfId="0" applyFill="1" applyBorder="1" applyAlignment="1">
      <alignment horizontal="center" vertical="center" wrapText="1"/>
    </xf>
    <xf numFmtId="0" fontId="0" fillId="7" borderId="2" xfId="0" applyFill="1" applyBorder="1" applyAlignment="1">
      <alignment horizontal="center" vertical="center"/>
    </xf>
    <xf numFmtId="0" fontId="0" fillId="7" borderId="8"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7" borderId="2" xfId="0" applyFill="1" applyBorder="1" applyAlignment="1">
      <alignment horizontal="center" vertical="center" wrapText="1"/>
    </xf>
    <xf numFmtId="0" fontId="0" fillId="7" borderId="8" xfId="0" applyFill="1" applyBorder="1" applyAlignment="1">
      <alignment horizontal="center" vertical="center" wrapText="1"/>
    </xf>
    <xf numFmtId="0" fontId="0" fillId="0" borderId="0" xfId="0" applyAlignment="1">
      <alignment horizontal="center" vertical="center"/>
    </xf>
    <xf numFmtId="0" fontId="0" fillId="0" borderId="6" xfId="0" applyBorder="1" applyAlignment="1">
      <alignment horizontal="center" vertical="center"/>
    </xf>
    <xf numFmtId="0" fontId="24" fillId="4" borderId="0" xfId="0" applyFont="1" applyFill="1" applyAlignment="1">
      <alignment horizontal="center" vertical="center" wrapText="1"/>
    </xf>
    <xf numFmtId="0" fontId="24" fillId="4" borderId="10" xfId="0" applyFont="1" applyFill="1" applyBorder="1" applyAlignment="1">
      <alignment horizontal="center" vertical="center" wrapText="1"/>
    </xf>
    <xf numFmtId="0" fontId="24" fillId="4" borderId="3" xfId="0" applyFont="1" applyFill="1" applyBorder="1" applyAlignment="1">
      <alignment horizontal="center" vertical="center" wrapText="1"/>
    </xf>
    <xf numFmtId="0" fontId="24" fillId="4" borderId="5" xfId="0" applyFont="1" applyFill="1" applyBorder="1" applyAlignment="1">
      <alignment horizontal="center" vertical="center" wrapText="1"/>
    </xf>
    <xf numFmtId="0" fontId="24" fillId="0" borderId="2" xfId="0" applyFont="1" applyBorder="1" applyAlignment="1">
      <alignment horizontal="center" vertical="center"/>
    </xf>
    <xf numFmtId="0" fontId="24" fillId="0" borderId="9" xfId="0" applyFont="1" applyBorder="1" applyAlignment="1">
      <alignment horizontal="center" vertical="center"/>
    </xf>
    <xf numFmtId="0" fontId="24" fillId="0" borderId="8" xfId="0" applyFont="1" applyBorder="1" applyAlignment="1">
      <alignment horizontal="center" vertical="center"/>
    </xf>
    <xf numFmtId="0" fontId="24" fillId="0" borderId="0" xfId="0" applyFont="1" applyAlignment="1">
      <alignment horizontal="left" vertical="center" wrapText="1"/>
    </xf>
    <xf numFmtId="0" fontId="24" fillId="0" borderId="10" xfId="0" applyFont="1" applyBorder="1" applyAlignment="1">
      <alignment horizontal="left" vertical="center" wrapText="1"/>
    </xf>
    <xf numFmtId="0" fontId="24" fillId="0" borderId="1" xfId="0" applyFont="1" applyBorder="1" applyAlignment="1">
      <alignment horizontal="left" vertical="center"/>
    </xf>
    <xf numFmtId="166" fontId="24" fillId="0" borderId="1" xfId="1" applyNumberFormat="1" applyFont="1" applyBorder="1" applyAlignment="1">
      <alignment horizontal="center" vertical="center"/>
    </xf>
    <xf numFmtId="166" fontId="24" fillId="0" borderId="1" xfId="0" applyNumberFormat="1" applyFont="1" applyBorder="1" applyAlignment="1">
      <alignment horizontal="center" vertical="center"/>
    </xf>
    <xf numFmtId="0" fontId="24" fillId="0" borderId="1" xfId="0" applyFont="1" applyBorder="1" applyAlignment="1">
      <alignment horizontal="center" vertical="center"/>
    </xf>
    <xf numFmtId="0" fontId="24" fillId="0" borderId="1" xfId="0" applyFont="1" applyBorder="1" applyAlignment="1">
      <alignment horizontal="left" vertical="center" wrapText="1"/>
    </xf>
    <xf numFmtId="0" fontId="18" fillId="6" borderId="1" xfId="0" applyFont="1" applyFill="1" applyBorder="1" applyAlignment="1">
      <alignment horizontal="center" wrapText="1"/>
    </xf>
    <xf numFmtId="0" fontId="18" fillId="6" borderId="1" xfId="0" applyFont="1" applyFill="1" applyBorder="1" applyAlignment="1">
      <alignment horizontal="center"/>
    </xf>
    <xf numFmtId="0" fontId="17" fillId="0" borderId="1" xfId="0" applyFont="1" applyBorder="1" applyAlignment="1">
      <alignment horizontal="center" vertical="center"/>
    </xf>
    <xf numFmtId="0" fontId="0" fillId="0" borderId="2"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wrapText="1"/>
    </xf>
    <xf numFmtId="0" fontId="0" fillId="0" borderId="9" xfId="0" applyBorder="1" applyAlignment="1">
      <alignment horizontal="center" vertical="center" wrapText="1"/>
    </xf>
    <xf numFmtId="0" fontId="0" fillId="0" borderId="8" xfId="0" applyBorder="1" applyAlignment="1">
      <alignment horizontal="center" vertical="center" wrapText="1"/>
    </xf>
  </cellXfs>
  <cellStyles count="21">
    <cellStyle name="Comma" xfId="1" builtinId="3"/>
    <cellStyle name="Comma 2" xfId="16" xr:uid="{00000000-0005-0000-0000-000001000000}"/>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Normal" xfId="0" builtinId="0"/>
    <cellStyle name="Normal 2" xfId="2" xr:uid="{00000000-0005-0000-0000-00000F000000}"/>
    <cellStyle name="Normal 2 2" xfId="17" xr:uid="{00000000-0005-0000-0000-000010000000}"/>
    <cellStyle name="Normal 3" xfId="18" xr:uid="{00000000-0005-0000-0000-000011000000}"/>
    <cellStyle name="Normal 4" xfId="15" xr:uid="{00000000-0005-0000-0000-000012000000}"/>
    <cellStyle name="Percent" xfId="20" builtinId="5"/>
    <cellStyle name="Percent 2" xfId="19" xr:uid="{00000000-0005-0000-0000-00001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134004</xdr:colOff>
      <xdr:row>0</xdr:row>
      <xdr:rowOff>152307</xdr:rowOff>
    </xdr:from>
    <xdr:to>
      <xdr:col>2</xdr:col>
      <xdr:colOff>1921635</xdr:colOff>
      <xdr:row>0</xdr:row>
      <xdr:rowOff>1095375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8404" y="152307"/>
          <a:ext cx="1787631" cy="9430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134005</xdr:colOff>
      <xdr:row>0</xdr:row>
      <xdr:rowOff>152307</xdr:rowOff>
    </xdr:from>
    <xdr:to>
      <xdr:col>2</xdr:col>
      <xdr:colOff>1733551</xdr:colOff>
      <xdr:row>0</xdr:row>
      <xdr:rowOff>1057275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8405" y="152307"/>
          <a:ext cx="1599546" cy="9049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448329</xdr:colOff>
      <xdr:row>0</xdr:row>
      <xdr:rowOff>47532</xdr:rowOff>
    </xdr:from>
    <xdr:to>
      <xdr:col>3</xdr:col>
      <xdr:colOff>326143</xdr:colOff>
      <xdr:row>1</xdr:row>
      <xdr:rowOff>182880</xdr:rowOff>
    </xdr:to>
    <xdr:pic>
      <xdr:nvPicPr>
        <xdr:cNvPr id="2" name="Picture 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329" y="47532"/>
          <a:ext cx="1523734" cy="1560288"/>
        </a:xfrm>
        <a:prstGeom prst="rect">
          <a:avLst/>
        </a:prstGeom>
      </xdr:spPr>
    </xdr:pic>
    <xdr:clientData/>
  </xdr:twoCellAnchor>
  <xdr:twoCellAnchor editAs="oneCell">
    <xdr:from>
      <xdr:col>3</xdr:col>
      <xdr:colOff>129541</xdr:colOff>
      <xdr:row>10</xdr:row>
      <xdr:rowOff>335280</xdr:rowOff>
    </xdr:from>
    <xdr:to>
      <xdr:col>3</xdr:col>
      <xdr:colOff>2549112</xdr:colOff>
      <xdr:row>11</xdr:row>
      <xdr:rowOff>84272</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1775461" y="4343400"/>
          <a:ext cx="2419571" cy="23245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448329</xdr:colOff>
      <xdr:row>0</xdr:row>
      <xdr:rowOff>47532</xdr:rowOff>
    </xdr:from>
    <xdr:to>
      <xdr:col>3</xdr:col>
      <xdr:colOff>326143</xdr:colOff>
      <xdr:row>1</xdr:row>
      <xdr:rowOff>182880</xdr:rowOff>
    </xdr:to>
    <xdr:pic>
      <xdr:nvPicPr>
        <xdr:cNvPr id="2" name="Picture 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329" y="47532"/>
          <a:ext cx="1523734" cy="1560288"/>
        </a:xfrm>
        <a:prstGeom prst="rect">
          <a:avLst/>
        </a:prstGeom>
      </xdr:spPr>
    </xdr:pic>
    <xdr:clientData/>
  </xdr:twoCellAnchor>
  <xdr:twoCellAnchor editAs="oneCell">
    <xdr:from>
      <xdr:col>3</xdr:col>
      <xdr:colOff>129541</xdr:colOff>
      <xdr:row>10</xdr:row>
      <xdr:rowOff>335280</xdr:rowOff>
    </xdr:from>
    <xdr:to>
      <xdr:col>3</xdr:col>
      <xdr:colOff>2549112</xdr:colOff>
      <xdr:row>11</xdr:row>
      <xdr:rowOff>84272</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xfrm>
          <a:off x="1775461" y="4343400"/>
          <a:ext cx="2419571" cy="2324552"/>
        </a:xfrm>
        <a:prstGeom prst="rect">
          <a:avLst/>
        </a:prstGeom>
      </xdr:spPr>
    </xdr:pic>
    <xdr:clientData/>
  </xdr:twoCellAnchor>
  <xdr:twoCellAnchor editAs="oneCell">
    <xdr:from>
      <xdr:col>3</xdr:col>
      <xdr:colOff>251461</xdr:colOff>
      <xdr:row>12</xdr:row>
      <xdr:rowOff>111806</xdr:rowOff>
    </xdr:from>
    <xdr:to>
      <xdr:col>3</xdr:col>
      <xdr:colOff>2240280</xdr:colOff>
      <xdr:row>14</xdr:row>
      <xdr:rowOff>1326243</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3"/>
        <a:stretch>
          <a:fillRect/>
        </a:stretch>
      </xdr:blipFill>
      <xdr:spPr>
        <a:xfrm>
          <a:off x="1897381" y="6893606"/>
          <a:ext cx="1988819" cy="2403157"/>
        </a:xfrm>
        <a:prstGeom prst="rect">
          <a:avLst/>
        </a:prstGeom>
      </xdr:spPr>
    </xdr:pic>
    <xdr:clientData/>
  </xdr:twoCellAnchor>
  <xdr:twoCellAnchor editAs="oneCell">
    <xdr:from>
      <xdr:col>3</xdr:col>
      <xdr:colOff>396240</xdr:colOff>
      <xdr:row>15</xdr:row>
      <xdr:rowOff>38100</xdr:rowOff>
    </xdr:from>
    <xdr:to>
      <xdr:col>3</xdr:col>
      <xdr:colOff>2163285</xdr:colOff>
      <xdr:row>16</xdr:row>
      <xdr:rowOff>1166174</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4"/>
        <a:stretch>
          <a:fillRect/>
        </a:stretch>
      </xdr:blipFill>
      <xdr:spPr>
        <a:xfrm>
          <a:off x="2042160" y="9395460"/>
          <a:ext cx="1767045" cy="2118674"/>
        </a:xfrm>
        <a:prstGeom prst="rect">
          <a:avLst/>
        </a:prstGeom>
      </xdr:spPr>
    </xdr:pic>
    <xdr:clientData/>
  </xdr:twoCellAnchor>
  <xdr:twoCellAnchor editAs="oneCell">
    <xdr:from>
      <xdr:col>3</xdr:col>
      <xdr:colOff>586740</xdr:colOff>
      <xdr:row>17</xdr:row>
      <xdr:rowOff>213360</xdr:rowOff>
    </xdr:from>
    <xdr:to>
      <xdr:col>3</xdr:col>
      <xdr:colOff>2152595</xdr:colOff>
      <xdr:row>18</xdr:row>
      <xdr:rowOff>1036581</xdr:rowOff>
    </xdr:to>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5"/>
        <a:stretch>
          <a:fillRect/>
        </a:stretch>
      </xdr:blipFill>
      <xdr:spPr>
        <a:xfrm>
          <a:off x="2232660" y="11750040"/>
          <a:ext cx="1565855" cy="1813821"/>
        </a:xfrm>
        <a:prstGeom prst="rect">
          <a:avLst/>
        </a:prstGeom>
      </xdr:spPr>
    </xdr:pic>
    <xdr:clientData/>
  </xdr:twoCellAnchor>
  <xdr:twoCellAnchor editAs="oneCell">
    <xdr:from>
      <xdr:col>3</xdr:col>
      <xdr:colOff>541020</xdr:colOff>
      <xdr:row>19</xdr:row>
      <xdr:rowOff>211700</xdr:rowOff>
    </xdr:from>
    <xdr:to>
      <xdr:col>3</xdr:col>
      <xdr:colOff>2110740</xdr:colOff>
      <xdr:row>20</xdr:row>
      <xdr:rowOff>968098</xdr:rowOff>
    </xdr:to>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6"/>
        <a:stretch>
          <a:fillRect/>
        </a:stretch>
      </xdr:blipFill>
      <xdr:spPr>
        <a:xfrm>
          <a:off x="2186940" y="13927700"/>
          <a:ext cx="1569720" cy="17469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L29"/>
  <sheetViews>
    <sheetView topLeftCell="A12" zoomScaleNormal="100" workbookViewId="0">
      <selection activeCell="C10" sqref="C10"/>
    </sheetView>
  </sheetViews>
  <sheetFormatPr defaultColWidth="8.85546875" defaultRowHeight="15"/>
  <cols>
    <col min="1" max="1" width="8.85546875" style="2"/>
    <col min="2" max="2" width="4.85546875" style="12" customWidth="1"/>
    <col min="3" max="3" width="43.140625" style="2" customWidth="1"/>
    <col min="4" max="4" width="9.28515625" style="2" customWidth="1"/>
    <col min="5" max="5" width="11.7109375" style="2" customWidth="1"/>
    <col min="6" max="6" width="10.140625" style="2" bestFit="1" customWidth="1"/>
    <col min="7" max="7" width="6.28515625" style="2" customWidth="1"/>
    <col min="8" max="8" width="16.42578125" style="2" customWidth="1"/>
    <col min="9" max="9" width="17.85546875" style="1" customWidth="1"/>
    <col min="10" max="10" width="20.5703125" style="1" hidden="1" customWidth="1"/>
    <col min="11" max="11" width="13.42578125" style="12" customWidth="1"/>
    <col min="12" max="12" width="12.85546875" style="1" customWidth="1"/>
    <col min="13" max="13" width="12.140625" style="2" customWidth="1"/>
    <col min="14" max="14" width="10.140625" style="2" bestFit="1" customWidth="1"/>
    <col min="15" max="16384" width="8.85546875" style="2"/>
  </cols>
  <sheetData>
    <row r="1" spans="2:12" ht="103.5" customHeight="1">
      <c r="B1" s="61" t="s">
        <v>12</v>
      </c>
      <c r="C1" s="61"/>
      <c r="D1" s="61"/>
      <c r="E1" s="61"/>
      <c r="F1" s="61"/>
      <c r="G1" s="61"/>
      <c r="H1" s="61"/>
      <c r="I1" s="61"/>
      <c r="J1" s="61"/>
      <c r="K1" s="61"/>
    </row>
    <row r="2" spans="2:12" ht="54.75" customHeight="1">
      <c r="B2" s="62" t="s">
        <v>15</v>
      </c>
      <c r="C2" s="63"/>
      <c r="D2" s="63"/>
      <c r="E2" s="63"/>
      <c r="F2" s="63"/>
      <c r="G2" s="63"/>
      <c r="H2" s="63"/>
      <c r="I2" s="63"/>
      <c r="J2" s="63"/>
      <c r="K2" s="63"/>
    </row>
    <row r="3" spans="2:12">
      <c r="C3" s="64" t="s">
        <v>11</v>
      </c>
      <c r="D3" s="64"/>
      <c r="E3" s="64"/>
      <c r="F3" s="64"/>
      <c r="G3" s="64"/>
      <c r="H3" s="64"/>
      <c r="I3" s="64"/>
      <c r="J3" s="64"/>
      <c r="K3" s="64"/>
    </row>
    <row r="4" spans="2:12">
      <c r="C4" s="64"/>
      <c r="D4" s="64"/>
      <c r="E4" s="64"/>
      <c r="F4" s="64"/>
      <c r="G4" s="64"/>
      <c r="H4" s="64"/>
      <c r="I4" s="64"/>
      <c r="J4" s="64"/>
      <c r="K4" s="64"/>
    </row>
    <row r="5" spans="2:12">
      <c r="C5" s="64"/>
      <c r="D5" s="64"/>
      <c r="E5" s="64"/>
      <c r="F5" s="64"/>
      <c r="G5" s="64"/>
      <c r="H5" s="64"/>
      <c r="I5" s="64"/>
      <c r="J5" s="64"/>
      <c r="K5" s="64"/>
    </row>
    <row r="6" spans="2:12" ht="16.5">
      <c r="C6" s="3" t="s">
        <v>16</v>
      </c>
    </row>
    <row r="7" spans="2:12" ht="16.5">
      <c r="C7" s="65" t="s">
        <v>17</v>
      </c>
      <c r="D7" s="65"/>
      <c r="E7" s="65"/>
      <c r="F7" s="65"/>
      <c r="G7" s="65"/>
      <c r="H7" s="65"/>
      <c r="I7" s="65"/>
      <c r="J7" s="65"/>
      <c r="K7" s="65"/>
    </row>
    <row r="8" spans="2:12" ht="15.75">
      <c r="B8" s="66" t="s">
        <v>8</v>
      </c>
      <c r="C8" s="67" t="s">
        <v>0</v>
      </c>
      <c r="D8" s="68" t="s">
        <v>1</v>
      </c>
      <c r="E8" s="69" t="s">
        <v>2</v>
      </c>
      <c r="F8" s="69"/>
      <c r="G8" s="69" t="s">
        <v>3</v>
      </c>
      <c r="H8" s="69" t="s">
        <v>4</v>
      </c>
      <c r="I8" s="69" t="s">
        <v>5</v>
      </c>
      <c r="J8" s="70" t="s">
        <v>6</v>
      </c>
      <c r="K8" s="71" t="s">
        <v>7</v>
      </c>
    </row>
    <row r="9" spans="2:12" ht="33.75" customHeight="1">
      <c r="B9" s="66"/>
      <c r="C9" s="67"/>
      <c r="D9" s="68"/>
      <c r="E9" s="13" t="s">
        <v>9</v>
      </c>
      <c r="F9" s="13" t="s">
        <v>10</v>
      </c>
      <c r="G9" s="69"/>
      <c r="H9" s="69"/>
      <c r="I9" s="69"/>
      <c r="J9" s="70"/>
      <c r="K9" s="71"/>
    </row>
    <row r="10" spans="2:12" ht="94.5">
      <c r="B10" s="5">
        <v>1</v>
      </c>
      <c r="C10" s="11" t="s">
        <v>22</v>
      </c>
      <c r="D10" s="6" t="s">
        <v>20</v>
      </c>
      <c r="E10" s="10"/>
      <c r="F10" s="10"/>
      <c r="G10" s="7">
        <v>1</v>
      </c>
      <c r="H10" s="10" t="s">
        <v>23</v>
      </c>
      <c r="I10" s="7">
        <v>2000000</v>
      </c>
      <c r="J10" s="8"/>
      <c r="K10" s="9"/>
    </row>
    <row r="11" spans="2:12" ht="94.5">
      <c r="B11" s="5">
        <v>2</v>
      </c>
      <c r="C11" s="11" t="s">
        <v>18</v>
      </c>
      <c r="D11" s="6" t="s">
        <v>20</v>
      </c>
      <c r="E11" s="10"/>
      <c r="F11" s="10"/>
      <c r="G11" s="7">
        <v>1</v>
      </c>
      <c r="H11" s="10" t="s">
        <v>19</v>
      </c>
      <c r="I11" s="7">
        <f>2000000*1.8</f>
        <v>3600000</v>
      </c>
      <c r="J11" s="8"/>
      <c r="K11" s="9"/>
    </row>
    <row r="12" spans="2:12" ht="94.5">
      <c r="B12" s="5">
        <v>3</v>
      </c>
      <c r="C12" s="11" t="s">
        <v>18</v>
      </c>
      <c r="D12" s="6" t="s">
        <v>13</v>
      </c>
      <c r="E12" s="10"/>
      <c r="F12" s="10"/>
      <c r="G12" s="7">
        <v>1</v>
      </c>
      <c r="H12" s="10" t="s">
        <v>21</v>
      </c>
      <c r="I12" s="7">
        <v>2000000</v>
      </c>
      <c r="J12" s="8"/>
      <c r="K12" s="9"/>
    </row>
    <row r="13" spans="2:12" ht="94.5">
      <c r="B13" s="5">
        <v>4</v>
      </c>
      <c r="C13" s="11" t="s">
        <v>24</v>
      </c>
      <c r="D13" s="6" t="s">
        <v>13</v>
      </c>
      <c r="E13" s="10"/>
      <c r="F13" s="10"/>
      <c r="G13" s="7">
        <v>1</v>
      </c>
      <c r="H13" s="10" t="s">
        <v>21</v>
      </c>
      <c r="I13" s="7">
        <v>2350000</v>
      </c>
      <c r="J13" s="8"/>
      <c r="K13" s="9"/>
    </row>
    <row r="14" spans="2:12" ht="94.5">
      <c r="B14" s="5">
        <v>5</v>
      </c>
      <c r="C14" s="11" t="s">
        <v>25</v>
      </c>
      <c r="D14" s="6" t="s">
        <v>13</v>
      </c>
      <c r="E14" s="10"/>
      <c r="F14" s="10"/>
      <c r="G14" s="7">
        <v>1</v>
      </c>
      <c r="H14" s="10" t="s">
        <v>21</v>
      </c>
      <c r="I14" s="7">
        <v>2420000</v>
      </c>
      <c r="J14" s="8"/>
      <c r="K14" s="9"/>
    </row>
    <row r="15" spans="2:12" s="12" customFormat="1" ht="15.75">
      <c r="B15" s="14"/>
      <c r="C15" s="58" t="s">
        <v>14</v>
      </c>
      <c r="D15" s="59"/>
      <c r="E15" s="59"/>
      <c r="F15" s="59"/>
      <c r="G15" s="59"/>
      <c r="H15" s="59"/>
      <c r="I15" s="60"/>
      <c r="J15" s="4">
        <f>SUM(J11:J11)</f>
        <v>0</v>
      </c>
      <c r="K15" s="14"/>
      <c r="L15" s="1"/>
    </row>
    <row r="16" spans="2:12" s="12" customFormat="1">
      <c r="C16" s="2"/>
      <c r="D16" s="2"/>
      <c r="E16" s="2"/>
      <c r="F16" s="2"/>
      <c r="G16" s="2"/>
      <c r="H16" s="2"/>
      <c r="I16" s="1"/>
      <c r="J16" s="1"/>
      <c r="L16" s="1"/>
    </row>
    <row r="17" spans="3:12" s="12" customFormat="1">
      <c r="C17" s="2"/>
      <c r="D17" s="2"/>
      <c r="E17" s="2"/>
      <c r="F17" s="2"/>
      <c r="G17" s="2"/>
      <c r="H17" s="2"/>
      <c r="I17" s="1"/>
      <c r="J17" s="1"/>
      <c r="L17" s="1"/>
    </row>
    <row r="18" spans="3:12" s="12" customFormat="1">
      <c r="C18" s="2"/>
      <c r="D18" s="2"/>
      <c r="E18" s="2"/>
      <c r="F18" s="2"/>
      <c r="G18" s="2"/>
      <c r="H18" s="2"/>
      <c r="I18" s="1"/>
      <c r="J18" s="1"/>
      <c r="L18" s="1"/>
    </row>
    <row r="19" spans="3:12" s="12" customFormat="1">
      <c r="C19" s="2"/>
      <c r="D19" s="2"/>
      <c r="E19" s="2"/>
      <c r="F19" s="2"/>
      <c r="G19" s="2"/>
      <c r="H19" s="2"/>
      <c r="I19" s="1"/>
      <c r="J19" s="1"/>
      <c r="L19" s="1"/>
    </row>
    <row r="20" spans="3:12" s="12" customFormat="1">
      <c r="C20" s="2"/>
      <c r="D20" s="2"/>
      <c r="E20" s="2"/>
      <c r="F20" s="2"/>
      <c r="G20" s="2"/>
      <c r="H20" s="2"/>
      <c r="I20" s="1"/>
      <c r="J20" s="1"/>
      <c r="L20" s="1"/>
    </row>
    <row r="21" spans="3:12" s="12" customFormat="1">
      <c r="C21" s="2"/>
      <c r="D21" s="2"/>
      <c r="E21" s="2"/>
      <c r="F21" s="2"/>
      <c r="G21" s="2"/>
      <c r="H21" s="2"/>
      <c r="I21" s="1"/>
      <c r="J21" s="1"/>
      <c r="L21" s="1"/>
    </row>
    <row r="22" spans="3:12" s="12" customFormat="1">
      <c r="C22" s="2"/>
      <c r="D22" s="2"/>
      <c r="E22" s="2"/>
      <c r="F22" s="2"/>
      <c r="G22" s="2"/>
      <c r="H22" s="2"/>
      <c r="I22" s="1"/>
      <c r="J22" s="1"/>
      <c r="L22" s="1"/>
    </row>
    <row r="23" spans="3:12" s="12" customFormat="1">
      <c r="C23" s="2"/>
      <c r="D23" s="2"/>
      <c r="E23" s="2"/>
      <c r="F23" s="2"/>
      <c r="G23" s="2"/>
      <c r="H23" s="2"/>
      <c r="I23" s="1"/>
      <c r="J23" s="1"/>
      <c r="L23" s="1"/>
    </row>
    <row r="24" spans="3:12" s="12" customFormat="1">
      <c r="C24" s="2"/>
      <c r="D24" s="2"/>
      <c r="E24" s="2"/>
      <c r="F24" s="2"/>
      <c r="G24" s="2"/>
      <c r="H24" s="2"/>
      <c r="I24" s="1"/>
      <c r="J24" s="1"/>
      <c r="L24" s="1"/>
    </row>
    <row r="25" spans="3:12" s="12" customFormat="1">
      <c r="C25" s="2"/>
      <c r="D25" s="2"/>
      <c r="E25" s="2"/>
      <c r="F25" s="2"/>
      <c r="G25" s="2"/>
      <c r="H25" s="2"/>
      <c r="I25" s="1"/>
      <c r="J25" s="1"/>
      <c r="L25" s="1"/>
    </row>
    <row r="26" spans="3:12" s="12" customFormat="1">
      <c r="C26" s="2"/>
      <c r="D26" s="2"/>
      <c r="E26" s="2"/>
      <c r="F26" s="2"/>
      <c r="G26" s="2"/>
      <c r="H26" s="2"/>
      <c r="I26" s="1"/>
      <c r="J26" s="1"/>
      <c r="L26" s="1"/>
    </row>
    <row r="27" spans="3:12" s="12" customFormat="1">
      <c r="C27" s="2"/>
      <c r="D27" s="2"/>
      <c r="E27" s="2"/>
      <c r="F27" s="2"/>
      <c r="G27" s="2"/>
      <c r="H27" s="2"/>
      <c r="I27" s="1"/>
      <c r="J27" s="1"/>
      <c r="L27" s="1"/>
    </row>
    <row r="28" spans="3:12" s="12" customFormat="1">
      <c r="C28" s="2"/>
      <c r="D28" s="2"/>
      <c r="E28" s="2"/>
      <c r="F28" s="2"/>
      <c r="G28" s="2"/>
      <c r="H28" s="2"/>
      <c r="I28" s="1"/>
      <c r="J28" s="1"/>
      <c r="L28" s="1"/>
    </row>
    <row r="29" spans="3:12" s="12" customFormat="1">
      <c r="C29" s="2"/>
      <c r="D29" s="2"/>
      <c r="E29" s="2"/>
      <c r="F29" s="2"/>
      <c r="G29" s="2"/>
      <c r="H29" s="2"/>
      <c r="I29" s="1"/>
      <c r="J29" s="1"/>
      <c r="L29" s="1"/>
    </row>
  </sheetData>
  <mergeCells count="14">
    <mergeCell ref="C15:I15"/>
    <mergeCell ref="B1:K1"/>
    <mergeCell ref="B2:K2"/>
    <mergeCell ref="C3:K5"/>
    <mergeCell ref="C7:K7"/>
    <mergeCell ref="B8:B9"/>
    <mergeCell ref="C8:C9"/>
    <mergeCell ref="D8:D9"/>
    <mergeCell ref="E8:F8"/>
    <mergeCell ref="G8:G9"/>
    <mergeCell ref="H8:H9"/>
    <mergeCell ref="I8:I9"/>
    <mergeCell ref="J8:J9"/>
    <mergeCell ref="K8:K9"/>
  </mergeCells>
  <printOptions horizontalCentered="1" verticalCentered="1"/>
  <pageMargins left="0.25" right="0.25" top="0.75" bottom="0.75" header="0.3" footer="0.3"/>
  <pageSetup paperSize="9" scale="6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L33"/>
  <sheetViews>
    <sheetView zoomScaleNormal="100" workbookViewId="0">
      <selection activeCell="C15" sqref="C15"/>
    </sheetView>
  </sheetViews>
  <sheetFormatPr defaultColWidth="8.85546875" defaultRowHeight="15"/>
  <cols>
    <col min="1" max="1" width="8.85546875" style="2"/>
    <col min="2" max="2" width="4.85546875" style="12" customWidth="1"/>
    <col min="3" max="3" width="43.140625" style="2" customWidth="1"/>
    <col min="4" max="4" width="9.28515625" style="2" customWidth="1"/>
    <col min="5" max="5" width="11.7109375" style="2" hidden="1" customWidth="1"/>
    <col min="6" max="6" width="10.140625" style="2" hidden="1" customWidth="1"/>
    <col min="7" max="7" width="6.28515625" style="2" customWidth="1"/>
    <col min="8" max="8" width="16.42578125" style="2" hidden="1" customWidth="1"/>
    <col min="9" max="9" width="17.85546875" style="1" customWidth="1"/>
    <col min="10" max="10" width="20.5703125" style="1" hidden="1" customWidth="1"/>
    <col min="11" max="11" width="13.42578125" style="12" customWidth="1"/>
    <col min="12" max="12" width="12.85546875" style="1" customWidth="1"/>
    <col min="13" max="13" width="12.140625" style="2" customWidth="1"/>
    <col min="14" max="14" width="10.140625" style="2" bestFit="1" customWidth="1"/>
    <col min="15" max="16384" width="8.85546875" style="2"/>
  </cols>
  <sheetData>
    <row r="1" spans="2:11" ht="108" customHeight="1">
      <c r="B1" s="61" t="s">
        <v>12</v>
      </c>
      <c r="C1" s="61"/>
      <c r="D1" s="61"/>
      <c r="E1" s="61"/>
      <c r="F1" s="61"/>
      <c r="G1" s="61"/>
      <c r="H1" s="61"/>
      <c r="I1" s="61"/>
      <c r="J1" s="61"/>
      <c r="K1" s="61"/>
    </row>
    <row r="2" spans="2:11" ht="49.5" customHeight="1">
      <c r="B2" s="62" t="s">
        <v>29</v>
      </c>
      <c r="C2" s="63"/>
      <c r="D2" s="63"/>
      <c r="E2" s="63"/>
      <c r="F2" s="63"/>
      <c r="G2" s="63"/>
      <c r="H2" s="63"/>
      <c r="I2" s="63"/>
      <c r="J2" s="63"/>
      <c r="K2" s="63"/>
    </row>
    <row r="3" spans="2:11">
      <c r="C3" s="64" t="s">
        <v>11</v>
      </c>
      <c r="D3" s="64"/>
      <c r="E3" s="64"/>
      <c r="F3" s="64"/>
      <c r="G3" s="64"/>
      <c r="H3" s="64"/>
      <c r="I3" s="64"/>
      <c r="J3" s="64"/>
      <c r="K3" s="64"/>
    </row>
    <row r="4" spans="2:11">
      <c r="C4" s="64"/>
      <c r="D4" s="64"/>
      <c r="E4" s="64"/>
      <c r="F4" s="64"/>
      <c r="G4" s="64"/>
      <c r="H4" s="64"/>
      <c r="I4" s="64"/>
      <c r="J4" s="64"/>
      <c r="K4" s="64"/>
    </row>
    <row r="5" spans="2:11">
      <c r="C5" s="64"/>
      <c r="D5" s="64"/>
      <c r="E5" s="64"/>
      <c r="F5" s="64"/>
      <c r="G5" s="64"/>
      <c r="H5" s="64"/>
      <c r="I5" s="64"/>
      <c r="J5" s="64"/>
      <c r="K5" s="64"/>
    </row>
    <row r="6" spans="2:11" ht="16.5">
      <c r="C6" s="3" t="s">
        <v>30</v>
      </c>
    </row>
    <row r="7" spans="2:11" ht="16.5">
      <c r="C7" s="65" t="s">
        <v>31</v>
      </c>
      <c r="D7" s="65"/>
      <c r="E7" s="65"/>
      <c r="F7" s="65"/>
      <c r="G7" s="65"/>
      <c r="H7" s="65"/>
      <c r="I7" s="65"/>
      <c r="J7" s="65"/>
      <c r="K7" s="65"/>
    </row>
    <row r="8" spans="2:11" ht="15.75">
      <c r="B8" s="66" t="s">
        <v>8</v>
      </c>
      <c r="C8" s="67" t="s">
        <v>0</v>
      </c>
      <c r="D8" s="68" t="s">
        <v>1</v>
      </c>
      <c r="E8" s="69" t="s">
        <v>2</v>
      </c>
      <c r="F8" s="69"/>
      <c r="G8" s="69" t="s">
        <v>3</v>
      </c>
      <c r="H8" s="69" t="s">
        <v>4</v>
      </c>
      <c r="I8" s="69" t="s">
        <v>5</v>
      </c>
      <c r="J8" s="70" t="s">
        <v>6</v>
      </c>
      <c r="K8" s="71" t="s">
        <v>7</v>
      </c>
    </row>
    <row r="9" spans="2:11" ht="31.5">
      <c r="B9" s="66"/>
      <c r="C9" s="67"/>
      <c r="D9" s="68"/>
      <c r="E9" s="13" t="s">
        <v>9</v>
      </c>
      <c r="F9" s="13" t="s">
        <v>10</v>
      </c>
      <c r="G9" s="69"/>
      <c r="H9" s="69"/>
      <c r="I9" s="69"/>
      <c r="J9" s="70"/>
      <c r="K9" s="71"/>
    </row>
    <row r="10" spans="2:11" ht="94.5">
      <c r="B10" s="5">
        <v>1</v>
      </c>
      <c r="C10" s="11" t="s">
        <v>38</v>
      </c>
      <c r="D10" s="6" t="s">
        <v>13</v>
      </c>
      <c r="E10" s="10"/>
      <c r="F10" s="10"/>
      <c r="G10" s="7">
        <v>1</v>
      </c>
      <c r="H10" s="10" t="s">
        <v>23</v>
      </c>
      <c r="I10" s="7">
        <v>2600000</v>
      </c>
      <c r="J10" s="8"/>
      <c r="K10" s="9"/>
    </row>
    <row r="11" spans="2:11" ht="94.5">
      <c r="B11" s="5">
        <v>2</v>
      </c>
      <c r="C11" s="11" t="s">
        <v>27</v>
      </c>
      <c r="D11" s="6" t="s">
        <v>13</v>
      </c>
      <c r="E11" s="10"/>
      <c r="F11" s="10"/>
      <c r="G11" s="7">
        <v>1</v>
      </c>
      <c r="H11" s="10" t="s">
        <v>23</v>
      </c>
      <c r="I11" s="7">
        <v>2600000</v>
      </c>
      <c r="J11" s="8"/>
      <c r="K11" s="9"/>
    </row>
    <row r="12" spans="2:11" ht="94.5">
      <c r="B12" s="5">
        <v>3</v>
      </c>
      <c r="C12" s="11" t="s">
        <v>28</v>
      </c>
      <c r="D12" s="6" t="s">
        <v>13</v>
      </c>
      <c r="E12" s="10"/>
      <c r="F12" s="10"/>
      <c r="G12" s="7">
        <v>1</v>
      </c>
      <c r="H12" s="10" t="s">
        <v>23</v>
      </c>
      <c r="I12" s="7">
        <v>2500000</v>
      </c>
      <c r="J12" s="8"/>
      <c r="K12" s="9"/>
    </row>
    <row r="13" spans="2:11" ht="94.5">
      <c r="B13" s="5">
        <v>4</v>
      </c>
      <c r="C13" s="11" t="s">
        <v>32</v>
      </c>
      <c r="D13" s="6" t="s">
        <v>13</v>
      </c>
      <c r="E13" s="10"/>
      <c r="F13" s="10"/>
      <c r="G13" s="7">
        <v>1</v>
      </c>
      <c r="H13" s="10" t="s">
        <v>19</v>
      </c>
      <c r="I13" s="7">
        <v>2600000</v>
      </c>
      <c r="J13" s="8"/>
      <c r="K13" s="9"/>
    </row>
    <row r="14" spans="2:11" ht="63">
      <c r="B14" s="5">
        <v>5</v>
      </c>
      <c r="C14" s="11" t="s">
        <v>26</v>
      </c>
      <c r="D14" s="6" t="s">
        <v>13</v>
      </c>
      <c r="E14" s="10"/>
      <c r="F14" s="10"/>
      <c r="G14" s="7">
        <v>1</v>
      </c>
      <c r="H14" s="10" t="s">
        <v>19</v>
      </c>
      <c r="I14" s="7">
        <v>1600000</v>
      </c>
      <c r="J14" s="8"/>
      <c r="K14" s="9"/>
    </row>
    <row r="15" spans="2:11" ht="47.25">
      <c r="B15" s="5">
        <v>6</v>
      </c>
      <c r="C15" s="11" t="s">
        <v>33</v>
      </c>
      <c r="D15" s="6" t="s">
        <v>34</v>
      </c>
      <c r="E15" s="10"/>
      <c r="F15" s="10"/>
      <c r="G15" s="7">
        <v>1</v>
      </c>
      <c r="H15" s="10" t="s">
        <v>19</v>
      </c>
      <c r="I15" s="7">
        <v>2300000</v>
      </c>
      <c r="J15" s="8"/>
      <c r="K15" s="9"/>
    </row>
    <row r="16" spans="2:11" ht="15.75">
      <c r="B16" s="5">
        <v>7</v>
      </c>
      <c r="C16" s="11" t="s">
        <v>35</v>
      </c>
      <c r="D16" s="6" t="s">
        <v>13</v>
      </c>
      <c r="E16" s="10"/>
      <c r="F16" s="10"/>
      <c r="G16" s="7">
        <v>1</v>
      </c>
      <c r="H16" s="10" t="s">
        <v>19</v>
      </c>
      <c r="I16" s="7">
        <v>100000</v>
      </c>
      <c r="J16" s="8"/>
      <c r="K16" s="9"/>
    </row>
    <row r="17" spans="2:12" ht="31.5">
      <c r="B17" s="5">
        <v>8</v>
      </c>
      <c r="C17" s="11" t="s">
        <v>36</v>
      </c>
      <c r="D17" s="6" t="s">
        <v>13</v>
      </c>
      <c r="E17" s="10"/>
      <c r="F17" s="10"/>
      <c r="G17" s="7">
        <v>1</v>
      </c>
      <c r="H17" s="10" t="s">
        <v>19</v>
      </c>
      <c r="I17" s="7">
        <v>450000</v>
      </c>
      <c r="J17" s="8"/>
      <c r="K17" s="9"/>
    </row>
    <row r="18" spans="2:12" ht="31.5">
      <c r="B18" s="5">
        <v>9</v>
      </c>
      <c r="C18" s="11" t="s">
        <v>37</v>
      </c>
      <c r="D18" s="6" t="s">
        <v>13</v>
      </c>
      <c r="E18" s="10"/>
      <c r="F18" s="10"/>
      <c r="G18" s="7">
        <v>1</v>
      </c>
      <c r="H18" s="10" t="s">
        <v>19</v>
      </c>
      <c r="I18" s="7">
        <v>450000</v>
      </c>
      <c r="J18" s="8"/>
      <c r="K18" s="9"/>
    </row>
    <row r="19" spans="2:12" s="12" customFormat="1" ht="15.75">
      <c r="B19" s="14"/>
      <c r="C19" s="58" t="s">
        <v>14</v>
      </c>
      <c r="D19" s="59"/>
      <c r="E19" s="59"/>
      <c r="F19" s="59"/>
      <c r="G19" s="59"/>
      <c r="H19" s="59"/>
      <c r="I19" s="60"/>
      <c r="J19" s="4" t="e">
        <f>SUM(#REF!)</f>
        <v>#REF!</v>
      </c>
      <c r="K19" s="14"/>
      <c r="L19" s="1"/>
    </row>
    <row r="20" spans="2:12" s="12" customFormat="1" ht="48.75" customHeight="1">
      <c r="B20" s="14"/>
      <c r="C20" s="58" t="s">
        <v>39</v>
      </c>
      <c r="D20" s="59"/>
      <c r="E20" s="59"/>
      <c r="F20" s="59"/>
      <c r="G20" s="59"/>
      <c r="H20" s="59"/>
      <c r="I20" s="60"/>
      <c r="J20" s="4" t="e">
        <f>SUM(#REF!)</f>
        <v>#REF!</v>
      </c>
      <c r="K20" s="14"/>
      <c r="L20" s="1"/>
    </row>
    <row r="21" spans="2:12" s="12" customFormat="1" ht="87" customHeight="1">
      <c r="B21" s="72" t="s">
        <v>40</v>
      </c>
      <c r="C21" s="72"/>
      <c r="D21" s="72"/>
      <c r="E21" s="72"/>
      <c r="F21" s="72"/>
      <c r="G21" s="72"/>
      <c r="H21" s="72"/>
      <c r="I21" s="72"/>
      <c r="J21" s="72"/>
      <c r="L21" s="1"/>
    </row>
    <row r="22" spans="2:12" s="12" customFormat="1">
      <c r="C22" s="2"/>
      <c r="D22" s="2"/>
      <c r="E22" s="2"/>
      <c r="F22" s="2"/>
      <c r="G22" s="2"/>
      <c r="H22" s="2"/>
      <c r="I22" s="1"/>
      <c r="J22" s="1"/>
      <c r="L22" s="1"/>
    </row>
    <row r="23" spans="2:12" s="12" customFormat="1">
      <c r="C23" s="2"/>
      <c r="D23" s="2"/>
      <c r="E23" s="2"/>
      <c r="F23" s="2"/>
      <c r="G23" s="2"/>
      <c r="H23" s="2"/>
      <c r="I23" s="1"/>
      <c r="J23" s="1"/>
      <c r="L23" s="1"/>
    </row>
    <row r="24" spans="2:12" s="12" customFormat="1">
      <c r="C24" s="2"/>
      <c r="D24" s="2"/>
      <c r="E24" s="2"/>
      <c r="F24" s="2"/>
      <c r="G24" s="2"/>
      <c r="H24" s="2"/>
      <c r="I24" s="1"/>
      <c r="J24" s="1"/>
      <c r="L24" s="1"/>
    </row>
    <row r="25" spans="2:12" s="12" customFormat="1">
      <c r="C25" s="2"/>
      <c r="D25" s="2"/>
      <c r="E25" s="2"/>
      <c r="F25" s="2"/>
      <c r="G25" s="2"/>
      <c r="H25" s="2"/>
      <c r="I25" s="1"/>
      <c r="J25" s="1"/>
      <c r="L25" s="1"/>
    </row>
    <row r="26" spans="2:12" s="12" customFormat="1">
      <c r="C26" s="2"/>
      <c r="D26" s="2"/>
      <c r="E26" s="2"/>
      <c r="F26" s="2"/>
      <c r="G26" s="2"/>
      <c r="H26" s="2"/>
      <c r="I26" s="1"/>
      <c r="J26" s="1"/>
      <c r="L26" s="1"/>
    </row>
    <row r="27" spans="2:12" s="12" customFormat="1">
      <c r="C27" s="2"/>
      <c r="D27" s="2"/>
      <c r="E27" s="2"/>
      <c r="F27" s="2"/>
      <c r="G27" s="2"/>
      <c r="H27" s="2"/>
      <c r="I27" s="1"/>
      <c r="J27" s="1"/>
      <c r="L27" s="1"/>
    </row>
    <row r="28" spans="2:12" s="12" customFormat="1">
      <c r="C28" s="2"/>
      <c r="D28" s="2"/>
      <c r="E28" s="2"/>
      <c r="F28" s="2"/>
      <c r="G28" s="2"/>
      <c r="H28" s="2"/>
      <c r="I28" s="1"/>
      <c r="J28" s="1"/>
      <c r="L28" s="1"/>
    </row>
    <row r="29" spans="2:12" s="12" customFormat="1">
      <c r="C29" s="2"/>
      <c r="D29" s="2"/>
      <c r="E29" s="2"/>
      <c r="F29" s="2"/>
      <c r="G29" s="2"/>
      <c r="H29" s="2"/>
      <c r="I29" s="1"/>
      <c r="J29" s="1"/>
      <c r="L29" s="1"/>
    </row>
    <row r="30" spans="2:12" s="12" customFormat="1">
      <c r="C30" s="2"/>
      <c r="D30" s="2"/>
      <c r="E30" s="2"/>
      <c r="F30" s="2"/>
      <c r="G30" s="2"/>
      <c r="H30" s="2"/>
      <c r="I30" s="1"/>
      <c r="J30" s="1"/>
      <c r="L30" s="1"/>
    </row>
    <row r="31" spans="2:12" s="12" customFormat="1">
      <c r="C31" s="2"/>
      <c r="D31" s="2"/>
      <c r="E31" s="2"/>
      <c r="F31" s="2"/>
      <c r="G31" s="2"/>
      <c r="H31" s="2"/>
      <c r="I31" s="1"/>
      <c r="J31" s="1"/>
      <c r="L31" s="1"/>
    </row>
    <row r="32" spans="2:12" s="12" customFormat="1">
      <c r="C32" s="2"/>
      <c r="D32" s="2"/>
      <c r="E32" s="2"/>
      <c r="F32" s="2"/>
      <c r="G32" s="2"/>
      <c r="H32" s="2"/>
      <c r="I32" s="1"/>
      <c r="J32" s="1"/>
      <c r="L32" s="1"/>
    </row>
    <row r="33" spans="3:12" s="12" customFormat="1">
      <c r="C33" s="2"/>
      <c r="D33" s="2"/>
      <c r="E33" s="2"/>
      <c r="F33" s="2"/>
      <c r="G33" s="2"/>
      <c r="H33" s="2"/>
      <c r="I33" s="1"/>
      <c r="J33" s="1"/>
      <c r="L33" s="1"/>
    </row>
  </sheetData>
  <mergeCells count="16">
    <mergeCell ref="B1:K1"/>
    <mergeCell ref="B2:K2"/>
    <mergeCell ref="C3:K5"/>
    <mergeCell ref="C7:K7"/>
    <mergeCell ref="B8:B9"/>
    <mergeCell ref="C8:C9"/>
    <mergeCell ref="D8:D9"/>
    <mergeCell ref="E8:F8"/>
    <mergeCell ref="G8:G9"/>
    <mergeCell ref="H8:H9"/>
    <mergeCell ref="C20:I20"/>
    <mergeCell ref="B21:J21"/>
    <mergeCell ref="I8:I9"/>
    <mergeCell ref="J8:J9"/>
    <mergeCell ref="K8:K9"/>
    <mergeCell ref="C19:I19"/>
  </mergeCells>
  <printOptions horizontalCentered="1"/>
  <pageMargins left="0.7" right="0.7" top="0.75" bottom="0.75" header="0.3" footer="0.3"/>
  <pageSetup scale="7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6:F24"/>
  <sheetViews>
    <sheetView topLeftCell="A7" workbookViewId="0">
      <selection activeCell="C15" sqref="C15"/>
    </sheetView>
  </sheetViews>
  <sheetFormatPr defaultRowHeight="15"/>
  <cols>
    <col min="2" max="2" width="13.42578125" bestFit="1" customWidth="1"/>
    <col min="3" max="3" width="36" bestFit="1" customWidth="1"/>
    <col min="4" max="4" width="5" bestFit="1" customWidth="1"/>
    <col min="5" max="5" width="7.85546875" bestFit="1" customWidth="1"/>
    <col min="6" max="6" width="10.42578125" bestFit="1" customWidth="1"/>
  </cols>
  <sheetData>
    <row r="6" spans="1:6">
      <c r="A6" s="73" t="s">
        <v>78</v>
      </c>
      <c r="B6" s="73"/>
      <c r="C6" s="73"/>
      <c r="D6" s="73"/>
      <c r="E6" s="73"/>
      <c r="F6" s="73"/>
    </row>
    <row r="7" spans="1:6">
      <c r="A7" s="73"/>
      <c r="B7" s="73"/>
      <c r="C7" s="73"/>
      <c r="D7" s="73"/>
      <c r="E7" s="73"/>
      <c r="F7" s="73"/>
    </row>
    <row r="8" spans="1:6">
      <c r="A8" s="18" t="s">
        <v>8</v>
      </c>
      <c r="B8" s="18" t="s">
        <v>41</v>
      </c>
      <c r="C8" s="18" t="s">
        <v>42</v>
      </c>
      <c r="D8" s="18" t="s">
        <v>47</v>
      </c>
      <c r="E8" s="18" t="s">
        <v>43</v>
      </c>
      <c r="F8" s="18" t="s">
        <v>44</v>
      </c>
    </row>
    <row r="9" spans="1:6">
      <c r="A9" s="16">
        <v>1</v>
      </c>
      <c r="B9" s="17" t="s">
        <v>45</v>
      </c>
      <c r="C9" s="17" t="s">
        <v>46</v>
      </c>
      <c r="D9" s="17" t="s">
        <v>48</v>
      </c>
      <c r="E9" s="17" t="s">
        <v>77</v>
      </c>
      <c r="F9" s="17">
        <v>4</v>
      </c>
    </row>
    <row r="10" spans="1:6">
      <c r="A10" s="16">
        <v>2</v>
      </c>
      <c r="B10" s="17" t="s">
        <v>49</v>
      </c>
      <c r="C10" s="17" t="s">
        <v>50</v>
      </c>
      <c r="D10" s="17" t="s">
        <v>48</v>
      </c>
      <c r="E10" s="17" t="s">
        <v>77</v>
      </c>
      <c r="F10" s="17">
        <v>9</v>
      </c>
    </row>
    <row r="11" spans="1:6">
      <c r="A11" s="16">
        <v>3</v>
      </c>
      <c r="B11" s="17" t="s">
        <v>51</v>
      </c>
      <c r="C11" s="17" t="s">
        <v>52</v>
      </c>
      <c r="D11" s="17" t="s">
        <v>48</v>
      </c>
      <c r="E11" s="17" t="s">
        <v>77</v>
      </c>
      <c r="F11" s="17">
        <v>9</v>
      </c>
    </row>
    <row r="12" spans="1:6">
      <c r="A12" s="16">
        <v>4</v>
      </c>
      <c r="B12" s="17" t="s">
        <v>53</v>
      </c>
      <c r="C12" s="17" t="s">
        <v>54</v>
      </c>
      <c r="D12" s="17" t="s">
        <v>48</v>
      </c>
      <c r="E12" s="17" t="s">
        <v>77</v>
      </c>
      <c r="F12" s="17">
        <v>6</v>
      </c>
    </row>
    <row r="13" spans="1:6">
      <c r="A13" s="16">
        <v>5</v>
      </c>
      <c r="B13" s="17" t="s">
        <v>55</v>
      </c>
      <c r="C13" s="17" t="s">
        <v>56</v>
      </c>
      <c r="D13" s="17" t="s">
        <v>48</v>
      </c>
      <c r="E13" s="17" t="s">
        <v>77</v>
      </c>
      <c r="F13" s="17">
        <v>12</v>
      </c>
    </row>
    <row r="14" spans="1:6">
      <c r="A14" s="16">
        <v>6</v>
      </c>
      <c r="B14" s="17" t="s">
        <v>57</v>
      </c>
      <c r="C14" s="17" t="s">
        <v>58</v>
      </c>
      <c r="D14" s="17" t="s">
        <v>48</v>
      </c>
      <c r="E14" s="17" t="s">
        <v>77</v>
      </c>
      <c r="F14" s="17">
        <v>12</v>
      </c>
    </row>
    <row r="15" spans="1:6">
      <c r="A15" s="16">
        <v>7</v>
      </c>
      <c r="B15" s="17" t="s">
        <v>59</v>
      </c>
      <c r="C15" s="17" t="s">
        <v>60</v>
      </c>
      <c r="D15" s="17" t="s">
        <v>48</v>
      </c>
      <c r="E15" s="17" t="s">
        <v>77</v>
      </c>
      <c r="F15" s="17">
        <v>1</v>
      </c>
    </row>
    <row r="16" spans="1:6">
      <c r="A16" s="16">
        <v>8</v>
      </c>
      <c r="B16" s="17" t="s">
        <v>61</v>
      </c>
      <c r="C16" s="17" t="s">
        <v>62</v>
      </c>
      <c r="D16" s="17" t="s">
        <v>48</v>
      </c>
      <c r="E16" s="17" t="s">
        <v>77</v>
      </c>
      <c r="F16" s="17">
        <v>2</v>
      </c>
    </row>
    <row r="17" spans="1:6">
      <c r="A17" s="16">
        <v>9</v>
      </c>
      <c r="B17" s="17" t="s">
        <v>63</v>
      </c>
      <c r="C17" s="17" t="s">
        <v>64</v>
      </c>
      <c r="D17" s="17" t="s">
        <v>48</v>
      </c>
      <c r="E17" s="17" t="s">
        <v>77</v>
      </c>
      <c r="F17" s="17">
        <v>1</v>
      </c>
    </row>
    <row r="18" spans="1:6">
      <c r="A18" s="16">
        <v>10</v>
      </c>
      <c r="B18" s="17" t="s">
        <v>65</v>
      </c>
      <c r="C18" s="17" t="s">
        <v>66</v>
      </c>
      <c r="D18" s="17" t="s">
        <v>48</v>
      </c>
      <c r="E18" s="17" t="s">
        <v>77</v>
      </c>
      <c r="F18" s="17">
        <v>1</v>
      </c>
    </row>
    <row r="19" spans="1:6">
      <c r="A19" s="16">
        <v>11</v>
      </c>
      <c r="B19" s="17" t="s">
        <v>67</v>
      </c>
      <c r="C19" s="17" t="s">
        <v>68</v>
      </c>
      <c r="D19" s="17" t="s">
        <v>48</v>
      </c>
      <c r="E19" s="17" t="s">
        <v>77</v>
      </c>
      <c r="F19" s="17">
        <v>1</v>
      </c>
    </row>
    <row r="20" spans="1:6">
      <c r="A20" s="16">
        <v>12</v>
      </c>
      <c r="B20" s="17" t="s">
        <v>69</v>
      </c>
      <c r="C20" s="17" t="s">
        <v>70</v>
      </c>
      <c r="D20" s="17" t="s">
        <v>48</v>
      </c>
      <c r="E20" s="17" t="s">
        <v>77</v>
      </c>
      <c r="F20" s="17">
        <v>1</v>
      </c>
    </row>
    <row r="21" spans="1:6">
      <c r="A21" s="16">
        <v>13</v>
      </c>
      <c r="B21" s="17" t="s">
        <v>71</v>
      </c>
      <c r="C21" s="17" t="s">
        <v>72</v>
      </c>
      <c r="D21" s="17" t="s">
        <v>48</v>
      </c>
      <c r="E21" s="17" t="s">
        <v>77</v>
      </c>
      <c r="F21" s="17">
        <v>1</v>
      </c>
    </row>
    <row r="22" spans="1:6">
      <c r="A22" s="16">
        <v>14</v>
      </c>
      <c r="B22" s="17" t="s">
        <v>73</v>
      </c>
      <c r="C22" s="17" t="s">
        <v>74</v>
      </c>
      <c r="D22" s="17" t="s">
        <v>48</v>
      </c>
      <c r="E22" s="17" t="s">
        <v>77</v>
      </c>
      <c r="F22" s="17">
        <v>3</v>
      </c>
    </row>
    <row r="23" spans="1:6">
      <c r="A23" s="16">
        <v>15</v>
      </c>
      <c r="B23" s="17" t="s">
        <v>75</v>
      </c>
      <c r="C23" s="17" t="s">
        <v>76</v>
      </c>
      <c r="D23" s="17" t="s">
        <v>48</v>
      </c>
      <c r="E23" s="17" t="s">
        <v>77</v>
      </c>
      <c r="F23" s="17">
        <v>20</v>
      </c>
    </row>
    <row r="24" spans="1:6">
      <c r="A24" s="15"/>
    </row>
  </sheetData>
  <mergeCells count="1">
    <mergeCell ref="A6: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O14"/>
  <sheetViews>
    <sheetView tabSelected="1" topLeftCell="A7" zoomScale="70" zoomScaleNormal="70" workbookViewId="0">
      <selection activeCell="B9" sqref="B9:M14"/>
    </sheetView>
  </sheetViews>
  <sheetFormatPr defaultColWidth="8.85546875" defaultRowHeight="15"/>
  <cols>
    <col min="1" max="1" width="8.85546875" style="2"/>
    <col min="2" max="2" width="4.85546875" style="12" customWidth="1"/>
    <col min="3" max="3" width="10.28515625" style="12" customWidth="1"/>
    <col min="4" max="4" width="38.42578125" style="12" customWidth="1"/>
    <col min="5" max="5" width="46.28515625" style="2" customWidth="1"/>
    <col min="6" max="6" width="9.28515625" style="2" customWidth="1"/>
    <col min="7" max="7" width="11.7109375" style="2" customWidth="1"/>
    <col min="8" max="8" width="10.140625" style="2" customWidth="1"/>
    <col min="9" max="9" width="6.28515625" style="2" customWidth="1"/>
    <col min="10" max="10" width="14.42578125" style="2" bestFit="1" customWidth="1"/>
    <col min="11" max="11" width="13.28515625" style="1" bestFit="1" customWidth="1"/>
    <col min="12" max="12" width="15.28515625" style="1" customWidth="1"/>
    <col min="13" max="13" width="24.140625" style="12" customWidth="1"/>
    <col min="14" max="14" width="19.140625" style="1" customWidth="1"/>
    <col min="15" max="15" width="14.140625" style="2" customWidth="1"/>
    <col min="16" max="16" width="10.140625" style="2" bestFit="1" customWidth="1"/>
    <col min="17" max="17" width="10.28515625" style="2" bestFit="1" customWidth="1"/>
    <col min="18" max="16384" width="8.85546875" style="2"/>
  </cols>
  <sheetData>
    <row r="1" spans="2:15" ht="112.5" customHeight="1">
      <c r="B1" s="61" t="s">
        <v>79</v>
      </c>
      <c r="C1" s="61"/>
      <c r="D1" s="61"/>
      <c r="E1" s="61"/>
      <c r="F1" s="61"/>
      <c r="G1" s="61"/>
      <c r="H1" s="61"/>
      <c r="I1" s="61"/>
      <c r="J1" s="61"/>
      <c r="K1" s="61"/>
      <c r="L1" s="61"/>
      <c r="M1" s="61"/>
    </row>
    <row r="2" spans="2:15" ht="49.5" customHeight="1">
      <c r="B2" s="62" t="s">
        <v>174</v>
      </c>
      <c r="C2" s="62"/>
      <c r="D2" s="62"/>
      <c r="E2" s="62"/>
      <c r="F2" s="62"/>
      <c r="G2" s="62"/>
      <c r="H2" s="62"/>
      <c r="I2" s="62"/>
      <c r="J2" s="62"/>
      <c r="K2" s="62"/>
      <c r="L2" s="62"/>
      <c r="M2" s="62"/>
    </row>
    <row r="3" spans="2:15" ht="13.9" customHeight="1">
      <c r="B3" s="64" t="s">
        <v>137</v>
      </c>
      <c r="C3" s="64"/>
      <c r="D3" s="64"/>
      <c r="E3" s="64"/>
      <c r="F3" s="64"/>
      <c r="G3" s="64"/>
      <c r="H3" s="64"/>
      <c r="I3" s="64"/>
      <c r="J3" s="64"/>
      <c r="K3" s="64"/>
      <c r="L3" s="64"/>
      <c r="M3" s="64"/>
    </row>
    <row r="4" spans="2:15">
      <c r="B4" s="64"/>
      <c r="C4" s="64"/>
      <c r="D4" s="64"/>
      <c r="E4" s="64"/>
      <c r="F4" s="64"/>
      <c r="G4" s="64"/>
      <c r="H4" s="64"/>
      <c r="I4" s="64"/>
      <c r="J4" s="64"/>
      <c r="K4" s="64"/>
      <c r="L4" s="64"/>
      <c r="M4" s="64"/>
    </row>
    <row r="5" spans="2:15">
      <c r="B5" s="64"/>
      <c r="C5" s="64"/>
      <c r="D5" s="64"/>
      <c r="E5" s="64"/>
      <c r="F5" s="64"/>
      <c r="G5" s="64"/>
      <c r="H5" s="64"/>
      <c r="I5" s="64"/>
      <c r="J5" s="64"/>
      <c r="K5" s="64"/>
      <c r="L5" s="64"/>
      <c r="M5" s="64"/>
    </row>
    <row r="6" spans="2:15" ht="16.5">
      <c r="B6" s="97" t="s">
        <v>175</v>
      </c>
      <c r="C6" s="97"/>
      <c r="D6" s="97"/>
      <c r="E6" s="97"/>
      <c r="F6" s="97"/>
      <c r="G6" s="97"/>
      <c r="H6" s="97"/>
      <c r="I6" s="43"/>
      <c r="J6" s="43"/>
      <c r="K6" s="19" t="s">
        <v>80</v>
      </c>
      <c r="L6" s="98" t="s">
        <v>125</v>
      </c>
      <c r="M6" s="98"/>
    </row>
    <row r="7" spans="2:15" ht="16.5">
      <c r="B7" s="87" t="s">
        <v>176</v>
      </c>
      <c r="C7" s="87"/>
      <c r="D7" s="87"/>
      <c r="E7" s="87"/>
      <c r="F7" s="87"/>
      <c r="G7" s="87"/>
      <c r="H7" s="87"/>
      <c r="I7" s="87"/>
      <c r="J7" s="87"/>
      <c r="K7" s="1" t="s">
        <v>126</v>
      </c>
      <c r="L7" s="88" t="s">
        <v>127</v>
      </c>
      <c r="M7" s="88"/>
    </row>
    <row r="8" spans="2:15" ht="33.6" customHeight="1">
      <c r="B8" s="87" t="s">
        <v>155</v>
      </c>
      <c r="C8" s="87"/>
      <c r="D8" s="87"/>
      <c r="E8" s="87"/>
      <c r="F8" s="87"/>
      <c r="G8" s="87"/>
      <c r="H8" s="87"/>
      <c r="I8" s="87"/>
      <c r="J8" s="87"/>
      <c r="L8" s="88"/>
      <c r="M8" s="88"/>
    </row>
    <row r="9" spans="2:15" ht="15.75" customHeight="1">
      <c r="B9" s="89" t="s">
        <v>8</v>
      </c>
      <c r="C9" s="89" t="s">
        <v>128</v>
      </c>
      <c r="D9" s="89" t="s">
        <v>135</v>
      </c>
      <c r="E9" s="91" t="s">
        <v>0</v>
      </c>
      <c r="F9" s="93" t="s">
        <v>1</v>
      </c>
      <c r="G9" s="95" t="s">
        <v>2</v>
      </c>
      <c r="H9" s="96"/>
      <c r="I9" s="77" t="s">
        <v>3</v>
      </c>
      <c r="J9" s="77" t="s">
        <v>4</v>
      </c>
      <c r="K9" s="77" t="s">
        <v>5</v>
      </c>
      <c r="L9" s="79" t="s">
        <v>6</v>
      </c>
      <c r="M9" s="81" t="s">
        <v>7</v>
      </c>
    </row>
    <row r="10" spans="2:15" ht="30" customHeight="1">
      <c r="B10" s="90"/>
      <c r="C10" s="90"/>
      <c r="D10" s="90"/>
      <c r="E10" s="92"/>
      <c r="F10" s="94"/>
      <c r="G10" s="13" t="s">
        <v>9</v>
      </c>
      <c r="H10" s="13" t="s">
        <v>10</v>
      </c>
      <c r="I10" s="78"/>
      <c r="J10" s="78"/>
      <c r="K10" s="78"/>
      <c r="L10" s="80"/>
      <c r="M10" s="82"/>
    </row>
    <row r="11" spans="2:15" s="46" customFormat="1" ht="220.5">
      <c r="B11" s="83">
        <v>1</v>
      </c>
      <c r="C11" s="83" t="s">
        <v>159</v>
      </c>
      <c r="D11" s="85"/>
      <c r="E11" s="53" t="s">
        <v>160</v>
      </c>
      <c r="F11" s="54" t="s">
        <v>13</v>
      </c>
      <c r="G11" s="55">
        <v>3</v>
      </c>
      <c r="H11" s="55">
        <v>2.9</v>
      </c>
      <c r="I11" s="20">
        <v>1</v>
      </c>
      <c r="J11" s="21">
        <f t="shared" ref="J11" si="0">ROUND(PRODUCT(G11:I11),2)</f>
        <v>8.6999999999999993</v>
      </c>
      <c r="K11" s="22">
        <v>2800000</v>
      </c>
      <c r="L11" s="23">
        <f>PRODUCT(J11:K11)</f>
        <v>24359999.999999996</v>
      </c>
      <c r="M11" s="17"/>
      <c r="N11" s="47"/>
      <c r="O11" s="48"/>
    </row>
    <row r="12" spans="2:15" s="46" customFormat="1" ht="15.75">
      <c r="B12" s="84"/>
      <c r="C12" s="84"/>
      <c r="D12" s="86"/>
      <c r="E12" s="53" t="s">
        <v>161</v>
      </c>
      <c r="F12" s="54" t="s">
        <v>34</v>
      </c>
      <c r="G12" s="55">
        <f>3+0.55*2</f>
        <v>4.0999999999999996</v>
      </c>
      <c r="H12" s="55"/>
      <c r="I12" s="20">
        <v>1</v>
      </c>
      <c r="J12" s="21"/>
      <c r="K12" s="22">
        <v>300000</v>
      </c>
      <c r="L12" s="23">
        <f>K12*G12*I12</f>
        <v>1230000</v>
      </c>
      <c r="M12" s="17"/>
      <c r="N12" s="47"/>
      <c r="O12" s="48"/>
    </row>
    <row r="13" spans="2:15" s="12" customFormat="1" ht="15.6" customHeight="1">
      <c r="B13" s="14"/>
      <c r="C13" s="14"/>
      <c r="D13" s="44"/>
      <c r="E13" s="58" t="s">
        <v>14</v>
      </c>
      <c r="F13" s="59"/>
      <c r="G13" s="59"/>
      <c r="H13" s="60"/>
      <c r="I13" s="4"/>
      <c r="J13" s="45">
        <f>SUM(J11:J12)</f>
        <v>8.6999999999999993</v>
      </c>
      <c r="K13" s="44" t="s">
        <v>13</v>
      </c>
      <c r="L13" s="4">
        <f>SUM(L11:L12)</f>
        <v>25589999.999999996</v>
      </c>
      <c r="M13" s="14"/>
      <c r="N13" s="1"/>
    </row>
    <row r="14" spans="2:15" s="12" customFormat="1" ht="138.6" customHeight="1">
      <c r="B14" s="74" t="s">
        <v>173</v>
      </c>
      <c r="C14" s="75"/>
      <c r="D14" s="75"/>
      <c r="E14" s="75"/>
      <c r="F14" s="75"/>
      <c r="G14" s="75"/>
      <c r="H14" s="75"/>
      <c r="I14" s="75"/>
      <c r="J14" s="75"/>
      <c r="K14" s="75"/>
      <c r="L14" s="75"/>
      <c r="M14" s="76"/>
      <c r="N14" s="1"/>
    </row>
  </sheetData>
  <mergeCells count="25">
    <mergeCell ref="B7:J7"/>
    <mergeCell ref="L7:M7"/>
    <mergeCell ref="B1:M1"/>
    <mergeCell ref="B2:M2"/>
    <mergeCell ref="B3:M5"/>
    <mergeCell ref="B6:H6"/>
    <mergeCell ref="L6:M6"/>
    <mergeCell ref="B8:J8"/>
    <mergeCell ref="L8:M8"/>
    <mergeCell ref="B9:B10"/>
    <mergeCell ref="C9:C10"/>
    <mergeCell ref="D9:D10"/>
    <mergeCell ref="E9:E10"/>
    <mergeCell ref="F9:F10"/>
    <mergeCell ref="G9:H9"/>
    <mergeCell ref="I9:I10"/>
    <mergeCell ref="J9:J10"/>
    <mergeCell ref="E13:H13"/>
    <mergeCell ref="B14:M14"/>
    <mergeCell ref="K9:K10"/>
    <mergeCell ref="L9:L10"/>
    <mergeCell ref="M9:M10"/>
    <mergeCell ref="B11:B12"/>
    <mergeCell ref="C11:C12"/>
    <mergeCell ref="D11:D12"/>
  </mergeCells>
  <pageMargins left="0.25" right="0.25" top="0" bottom="0" header="0.5" footer="0.5"/>
  <pageSetup scale="65"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O23"/>
  <sheetViews>
    <sheetView zoomScale="70" zoomScaleNormal="70" workbookViewId="0">
      <selection activeCell="F11" sqref="F11"/>
    </sheetView>
  </sheetViews>
  <sheetFormatPr defaultColWidth="8.85546875" defaultRowHeight="15"/>
  <cols>
    <col min="1" max="1" width="8.85546875" style="2"/>
    <col min="2" max="2" width="4.85546875" style="12" customWidth="1"/>
    <col min="3" max="3" width="10.28515625" style="12" customWidth="1"/>
    <col min="4" max="4" width="38.42578125" style="12" customWidth="1"/>
    <col min="5" max="5" width="46.28515625" style="2" customWidth="1"/>
    <col min="6" max="6" width="9.28515625" style="2" customWidth="1"/>
    <col min="7" max="7" width="11.7109375" style="2" customWidth="1"/>
    <col min="8" max="8" width="10.140625" style="2" customWidth="1"/>
    <col min="9" max="9" width="6.28515625" style="2" customWidth="1"/>
    <col min="10" max="10" width="14.42578125" style="2" bestFit="1" customWidth="1"/>
    <col min="11" max="11" width="13.28515625" style="1" bestFit="1" customWidth="1"/>
    <col min="12" max="12" width="15.28515625" style="1" customWidth="1"/>
    <col min="13" max="13" width="24.140625" style="12" customWidth="1"/>
    <col min="14" max="14" width="19.140625" style="1" customWidth="1"/>
    <col min="15" max="15" width="14.140625" style="2" customWidth="1"/>
    <col min="16" max="16" width="10.140625" style="2" bestFit="1" customWidth="1"/>
    <col min="17" max="17" width="10.28515625" style="2" bestFit="1" customWidth="1"/>
    <col min="18" max="16384" width="8.85546875" style="2"/>
  </cols>
  <sheetData>
    <row r="1" spans="2:15" ht="112.5" customHeight="1">
      <c r="B1" s="61" t="s">
        <v>79</v>
      </c>
      <c r="C1" s="61"/>
      <c r="D1" s="61"/>
      <c r="E1" s="61"/>
      <c r="F1" s="61"/>
      <c r="G1" s="61"/>
      <c r="H1" s="61"/>
      <c r="I1" s="61"/>
      <c r="J1" s="61"/>
      <c r="K1" s="61"/>
      <c r="L1" s="61"/>
      <c r="M1" s="61"/>
    </row>
    <row r="2" spans="2:15" ht="49.5" customHeight="1">
      <c r="B2" s="62" t="s">
        <v>156</v>
      </c>
      <c r="C2" s="62"/>
      <c r="D2" s="62"/>
      <c r="E2" s="62"/>
      <c r="F2" s="62"/>
      <c r="G2" s="62"/>
      <c r="H2" s="62"/>
      <c r="I2" s="62"/>
      <c r="J2" s="62"/>
      <c r="K2" s="62"/>
      <c r="L2" s="62"/>
      <c r="M2" s="62"/>
    </row>
    <row r="3" spans="2:15" ht="13.9" customHeight="1">
      <c r="B3" s="64" t="s">
        <v>137</v>
      </c>
      <c r="C3" s="64"/>
      <c r="D3" s="64"/>
      <c r="E3" s="64"/>
      <c r="F3" s="64"/>
      <c r="G3" s="64"/>
      <c r="H3" s="64"/>
      <c r="I3" s="64"/>
      <c r="J3" s="64"/>
      <c r="K3" s="64"/>
      <c r="L3" s="64"/>
      <c r="M3" s="64"/>
    </row>
    <row r="4" spans="2:15">
      <c r="B4" s="64"/>
      <c r="C4" s="64"/>
      <c r="D4" s="64"/>
      <c r="E4" s="64"/>
      <c r="F4" s="64"/>
      <c r="G4" s="64"/>
      <c r="H4" s="64"/>
      <c r="I4" s="64"/>
      <c r="J4" s="64"/>
      <c r="K4" s="64"/>
      <c r="L4" s="64"/>
      <c r="M4" s="64"/>
    </row>
    <row r="5" spans="2:15">
      <c r="B5" s="64"/>
      <c r="C5" s="64"/>
      <c r="D5" s="64"/>
      <c r="E5" s="64"/>
      <c r="F5" s="64"/>
      <c r="G5" s="64"/>
      <c r="H5" s="64"/>
      <c r="I5" s="64"/>
      <c r="J5" s="64"/>
      <c r="K5" s="64"/>
      <c r="L5" s="64"/>
      <c r="M5" s="64"/>
    </row>
    <row r="6" spans="2:15" ht="16.5">
      <c r="B6" s="97" t="s">
        <v>157</v>
      </c>
      <c r="C6" s="97"/>
      <c r="D6" s="97"/>
      <c r="E6" s="97"/>
      <c r="F6" s="97"/>
      <c r="G6" s="97"/>
      <c r="H6" s="97"/>
      <c r="I6" s="43"/>
      <c r="J6" s="43"/>
      <c r="K6" s="19" t="s">
        <v>80</v>
      </c>
      <c r="L6" s="98" t="s">
        <v>125</v>
      </c>
      <c r="M6" s="98"/>
    </row>
    <row r="7" spans="2:15" ht="16.5">
      <c r="B7" s="87" t="s">
        <v>158</v>
      </c>
      <c r="C7" s="87"/>
      <c r="D7" s="87"/>
      <c r="E7" s="87"/>
      <c r="F7" s="87"/>
      <c r="G7" s="87"/>
      <c r="H7" s="87"/>
      <c r="I7" s="87"/>
      <c r="J7" s="87"/>
      <c r="K7" s="1" t="s">
        <v>126</v>
      </c>
      <c r="L7" s="88" t="s">
        <v>127</v>
      </c>
      <c r="M7" s="88"/>
    </row>
    <row r="8" spans="2:15" ht="33.6" customHeight="1">
      <c r="B8" s="87" t="s">
        <v>155</v>
      </c>
      <c r="C8" s="87"/>
      <c r="D8" s="87"/>
      <c r="E8" s="87"/>
      <c r="F8" s="87"/>
      <c r="G8" s="87"/>
      <c r="H8" s="87"/>
      <c r="I8" s="87"/>
      <c r="J8" s="87"/>
      <c r="L8" s="88"/>
      <c r="M8" s="88"/>
    </row>
    <row r="9" spans="2:15" ht="15.75" customHeight="1">
      <c r="B9" s="89" t="s">
        <v>8</v>
      </c>
      <c r="C9" s="89" t="s">
        <v>128</v>
      </c>
      <c r="D9" s="89" t="s">
        <v>135</v>
      </c>
      <c r="E9" s="91" t="s">
        <v>0</v>
      </c>
      <c r="F9" s="93" t="s">
        <v>1</v>
      </c>
      <c r="G9" s="95" t="s">
        <v>2</v>
      </c>
      <c r="H9" s="96"/>
      <c r="I9" s="77" t="s">
        <v>3</v>
      </c>
      <c r="J9" s="77" t="s">
        <v>4</v>
      </c>
      <c r="K9" s="77" t="s">
        <v>5</v>
      </c>
      <c r="L9" s="79" t="s">
        <v>6</v>
      </c>
      <c r="M9" s="81" t="s">
        <v>7</v>
      </c>
    </row>
    <row r="10" spans="2:15" ht="30" customHeight="1">
      <c r="B10" s="90"/>
      <c r="C10" s="90"/>
      <c r="D10" s="90"/>
      <c r="E10" s="92"/>
      <c r="F10" s="94"/>
      <c r="G10" s="13" t="s">
        <v>9</v>
      </c>
      <c r="H10" s="13" t="s">
        <v>10</v>
      </c>
      <c r="I10" s="78"/>
      <c r="J10" s="78"/>
      <c r="K10" s="78"/>
      <c r="L10" s="80"/>
      <c r="M10" s="82"/>
    </row>
    <row r="11" spans="2:15" s="46" customFormat="1" ht="220.5">
      <c r="B11" s="83">
        <v>1</v>
      </c>
      <c r="C11" s="83" t="s">
        <v>159</v>
      </c>
      <c r="D11" s="85"/>
      <c r="E11" s="53" t="s">
        <v>160</v>
      </c>
      <c r="F11" s="54" t="s">
        <v>13</v>
      </c>
      <c r="G11" s="55">
        <v>3</v>
      </c>
      <c r="H11" s="55">
        <v>2.9</v>
      </c>
      <c r="I11" s="20">
        <v>1</v>
      </c>
      <c r="J11" s="21">
        <f t="shared" ref="J11" si="0">ROUND(PRODUCT(G11:I11),2)</f>
        <v>8.6999999999999993</v>
      </c>
      <c r="K11" s="22">
        <v>2800000</v>
      </c>
      <c r="L11" s="23">
        <f>PRODUCT(J11:K11)</f>
        <v>24359999.999999996</v>
      </c>
      <c r="M11" s="17"/>
      <c r="N11" s="47"/>
      <c r="O11" s="48"/>
    </row>
    <row r="12" spans="2:15" s="46" customFormat="1" ht="15.75">
      <c r="B12" s="84"/>
      <c r="C12" s="84"/>
      <c r="D12" s="86"/>
      <c r="E12" s="53" t="s">
        <v>161</v>
      </c>
      <c r="F12" s="54" t="s">
        <v>34</v>
      </c>
      <c r="G12" s="55">
        <f>3+0.55*2</f>
        <v>4.0999999999999996</v>
      </c>
      <c r="H12" s="55"/>
      <c r="I12" s="20">
        <v>1</v>
      </c>
      <c r="J12" s="21"/>
      <c r="K12" s="22">
        <v>300000</v>
      </c>
      <c r="L12" s="23">
        <f>K12*G12*I12</f>
        <v>1230000</v>
      </c>
      <c r="M12" s="17"/>
      <c r="N12" s="47"/>
      <c r="O12" s="48"/>
    </row>
    <row r="13" spans="2:15" s="46" customFormat="1" ht="78.75">
      <c r="B13" s="83">
        <v>2</v>
      </c>
      <c r="C13" s="83" t="s">
        <v>164</v>
      </c>
      <c r="D13" s="85"/>
      <c r="E13" s="53" t="s">
        <v>162</v>
      </c>
      <c r="F13" s="54" t="s">
        <v>13</v>
      </c>
      <c r="G13" s="55">
        <v>1.4</v>
      </c>
      <c r="H13" s="55">
        <v>2.7</v>
      </c>
      <c r="I13" s="20">
        <v>2</v>
      </c>
      <c r="J13" s="21">
        <f t="shared" ref="J13" si="1">ROUND(PRODUCT(G13:I13),2)</f>
        <v>7.56</v>
      </c>
      <c r="K13" s="22">
        <v>2100000</v>
      </c>
      <c r="L13" s="23">
        <f>PRODUCT(J13:K13)</f>
        <v>15876000</v>
      </c>
      <c r="M13" s="17"/>
      <c r="N13" s="47"/>
      <c r="O13" s="48"/>
    </row>
    <row r="14" spans="2:15" s="46" customFormat="1" ht="15.75">
      <c r="B14" s="100"/>
      <c r="C14" s="100"/>
      <c r="D14" s="99"/>
      <c r="E14" s="53" t="s">
        <v>161</v>
      </c>
      <c r="F14" s="54" t="s">
        <v>34</v>
      </c>
      <c r="G14" s="55">
        <f>G13+0.55*2</f>
        <v>2.5</v>
      </c>
      <c r="H14" s="55"/>
      <c r="I14" s="20">
        <v>2</v>
      </c>
      <c r="J14" s="21"/>
      <c r="K14" s="22">
        <v>300000</v>
      </c>
      <c r="L14" s="23">
        <f>K14*G14*I14</f>
        <v>1500000</v>
      </c>
      <c r="M14" s="17"/>
      <c r="N14" s="47"/>
      <c r="O14" s="48"/>
    </row>
    <row r="15" spans="2:15" s="46" customFormat="1" ht="110.25">
      <c r="B15" s="84"/>
      <c r="C15" s="84"/>
      <c r="D15" s="86"/>
      <c r="E15" s="53" t="s">
        <v>163</v>
      </c>
      <c r="F15" s="54" t="s">
        <v>20</v>
      </c>
      <c r="G15" s="55"/>
      <c r="H15" s="55"/>
      <c r="I15" s="20">
        <v>2</v>
      </c>
      <c r="J15" s="21"/>
      <c r="K15" s="22">
        <v>2250000</v>
      </c>
      <c r="L15" s="23">
        <f>K15*I15</f>
        <v>4500000</v>
      </c>
      <c r="M15" s="17"/>
      <c r="N15" s="47"/>
      <c r="O15" s="48"/>
    </row>
    <row r="16" spans="2:15" s="46" customFormat="1" ht="78.75">
      <c r="B16" s="83">
        <v>3</v>
      </c>
      <c r="C16" s="83" t="s">
        <v>165</v>
      </c>
      <c r="D16" s="85"/>
      <c r="E16" s="53" t="s">
        <v>166</v>
      </c>
      <c r="F16" s="54" t="s">
        <v>13</v>
      </c>
      <c r="G16" s="55">
        <v>0.9</v>
      </c>
      <c r="H16" s="55">
        <v>2.2000000000000002</v>
      </c>
      <c r="I16" s="20">
        <v>1</v>
      </c>
      <c r="J16" s="21">
        <f t="shared" ref="J16" si="2">ROUND(PRODUCT(G16:I16),2)</f>
        <v>1.98</v>
      </c>
      <c r="K16" s="22">
        <v>2100000</v>
      </c>
      <c r="L16" s="23">
        <f>PRODUCT(J16:K16)</f>
        <v>4158000</v>
      </c>
      <c r="M16" s="17"/>
      <c r="N16" s="47"/>
      <c r="O16" s="48"/>
    </row>
    <row r="17" spans="2:15" s="46" customFormat="1" ht="94.5">
      <c r="B17" s="84"/>
      <c r="C17" s="84"/>
      <c r="D17" s="86"/>
      <c r="E17" s="53" t="s">
        <v>167</v>
      </c>
      <c r="F17" s="54" t="s">
        <v>20</v>
      </c>
      <c r="G17" s="55"/>
      <c r="H17" s="55"/>
      <c r="I17" s="20">
        <v>1</v>
      </c>
      <c r="J17" s="21"/>
      <c r="K17" s="22">
        <v>1150000</v>
      </c>
      <c r="L17" s="23">
        <f>K17*I17</f>
        <v>1150000</v>
      </c>
      <c r="M17" s="17"/>
      <c r="N17" s="47"/>
      <c r="O17" s="48"/>
    </row>
    <row r="18" spans="2:15" s="46" customFormat="1" ht="78.75">
      <c r="B18" s="83">
        <v>4</v>
      </c>
      <c r="C18" s="83" t="s">
        <v>168</v>
      </c>
      <c r="D18" s="85"/>
      <c r="E18" s="53" t="s">
        <v>166</v>
      </c>
      <c r="F18" s="54" t="s">
        <v>13</v>
      </c>
      <c r="G18" s="55">
        <v>0.6</v>
      </c>
      <c r="H18" s="55">
        <v>1.65</v>
      </c>
      <c r="I18" s="20">
        <v>1</v>
      </c>
      <c r="J18" s="21">
        <f t="shared" ref="J18" si="3">ROUND(PRODUCT(G18:I18),2)</f>
        <v>0.99</v>
      </c>
      <c r="K18" s="22">
        <v>2100000</v>
      </c>
      <c r="L18" s="23">
        <f>PRODUCT(J18:K18)</f>
        <v>2079000</v>
      </c>
      <c r="M18" s="17"/>
      <c r="N18" s="47"/>
      <c r="O18" s="48"/>
    </row>
    <row r="19" spans="2:15" s="46" customFormat="1" ht="94.5">
      <c r="B19" s="84"/>
      <c r="C19" s="84"/>
      <c r="D19" s="86"/>
      <c r="E19" s="53" t="s">
        <v>169</v>
      </c>
      <c r="F19" s="54" t="s">
        <v>20</v>
      </c>
      <c r="G19" s="55"/>
      <c r="H19" s="55"/>
      <c r="I19" s="20">
        <v>1</v>
      </c>
      <c r="J19" s="21"/>
      <c r="K19" s="22">
        <v>950000</v>
      </c>
      <c r="L19" s="23">
        <f>K19*I19</f>
        <v>950000</v>
      </c>
      <c r="M19" s="17"/>
      <c r="N19" s="47"/>
      <c r="O19" s="48"/>
    </row>
    <row r="20" spans="2:15" s="46" customFormat="1" ht="78.75">
      <c r="B20" s="83">
        <v>5</v>
      </c>
      <c r="C20" s="83" t="s">
        <v>170</v>
      </c>
      <c r="D20" s="85"/>
      <c r="E20" s="53" t="s">
        <v>171</v>
      </c>
      <c r="F20" s="54" t="s">
        <v>13</v>
      </c>
      <c r="G20" s="55">
        <v>0.8</v>
      </c>
      <c r="H20" s="55">
        <v>1.8</v>
      </c>
      <c r="I20" s="20">
        <v>2</v>
      </c>
      <c r="J20" s="21">
        <f t="shared" ref="J20" si="4">ROUND(PRODUCT(G20:I20),2)</f>
        <v>2.88</v>
      </c>
      <c r="K20" s="22">
        <v>1900000</v>
      </c>
      <c r="L20" s="23">
        <f>PRODUCT(J20:K20)</f>
        <v>5472000</v>
      </c>
      <c r="M20" s="17"/>
      <c r="N20" s="47"/>
      <c r="O20" s="48"/>
    </row>
    <row r="21" spans="2:15" s="46" customFormat="1" ht="78.75">
      <c r="B21" s="84"/>
      <c r="C21" s="84"/>
      <c r="D21" s="86"/>
      <c r="E21" s="53" t="s">
        <v>172</v>
      </c>
      <c r="F21" s="54" t="s">
        <v>20</v>
      </c>
      <c r="G21" s="55"/>
      <c r="H21" s="55"/>
      <c r="I21" s="20">
        <v>2</v>
      </c>
      <c r="J21" s="21"/>
      <c r="K21" s="22">
        <v>450000</v>
      </c>
      <c r="L21" s="23">
        <f>K21*I21</f>
        <v>900000</v>
      </c>
      <c r="M21" s="17"/>
      <c r="N21" s="47"/>
      <c r="O21" s="48"/>
    </row>
    <row r="22" spans="2:15" s="12" customFormat="1" ht="15.6" customHeight="1">
      <c r="B22" s="14"/>
      <c r="C22" s="14"/>
      <c r="D22" s="44"/>
      <c r="E22" s="58" t="s">
        <v>14</v>
      </c>
      <c r="F22" s="59"/>
      <c r="G22" s="59"/>
      <c r="H22" s="60"/>
      <c r="I22" s="4"/>
      <c r="J22" s="45">
        <f>SUM(J11:J21)</f>
        <v>22.109999999999996</v>
      </c>
      <c r="K22" s="44" t="s">
        <v>34</v>
      </c>
      <c r="L22" s="4">
        <f>SUM(L11:L21)</f>
        <v>62175000</v>
      </c>
      <c r="M22" s="14"/>
      <c r="N22" s="1"/>
    </row>
    <row r="23" spans="2:15" s="12" customFormat="1" ht="138.6" customHeight="1">
      <c r="B23" s="74" t="s">
        <v>173</v>
      </c>
      <c r="C23" s="75"/>
      <c r="D23" s="75"/>
      <c r="E23" s="75"/>
      <c r="F23" s="75"/>
      <c r="G23" s="75"/>
      <c r="H23" s="75"/>
      <c r="I23" s="75"/>
      <c r="J23" s="75"/>
      <c r="K23" s="75"/>
      <c r="L23" s="75"/>
      <c r="M23" s="76"/>
      <c r="N23" s="1"/>
    </row>
  </sheetData>
  <mergeCells count="37">
    <mergeCell ref="B20:B21"/>
    <mergeCell ref="C20:C21"/>
    <mergeCell ref="D20:D21"/>
    <mergeCell ref="B16:B17"/>
    <mergeCell ref="C16:C17"/>
    <mergeCell ref="D16:D17"/>
    <mergeCell ref="B18:B19"/>
    <mergeCell ref="C18:C19"/>
    <mergeCell ref="D18:D19"/>
    <mergeCell ref="B11:B12"/>
    <mergeCell ref="C11:C12"/>
    <mergeCell ref="D11:D12"/>
    <mergeCell ref="D13:D15"/>
    <mergeCell ref="C13:C15"/>
    <mergeCell ref="B13:B15"/>
    <mergeCell ref="G9:H9"/>
    <mergeCell ref="I9:I10"/>
    <mergeCell ref="B9:B10"/>
    <mergeCell ref="C9:C10"/>
    <mergeCell ref="E9:E10"/>
    <mergeCell ref="F9:F10"/>
    <mergeCell ref="B23:M23"/>
    <mergeCell ref="E22:H22"/>
    <mergeCell ref="B1:M1"/>
    <mergeCell ref="B2:M2"/>
    <mergeCell ref="B3:M5"/>
    <mergeCell ref="B6:H6"/>
    <mergeCell ref="L6:M6"/>
    <mergeCell ref="B7:J7"/>
    <mergeCell ref="L7:M7"/>
    <mergeCell ref="K9:K10"/>
    <mergeCell ref="L9:L10"/>
    <mergeCell ref="M9:M10"/>
    <mergeCell ref="B8:J8"/>
    <mergeCell ref="L8:M8"/>
    <mergeCell ref="J9:J10"/>
    <mergeCell ref="D9:D10"/>
  </mergeCells>
  <pageMargins left="0.25" right="0.25" top="0" bottom="0" header="0.5" footer="0.5"/>
  <pageSetup scale="65"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0"/>
  <sheetViews>
    <sheetView workbookViewId="0">
      <selection activeCell="M16" sqref="M16"/>
    </sheetView>
  </sheetViews>
  <sheetFormatPr defaultColWidth="8.7109375" defaultRowHeight="15"/>
  <cols>
    <col min="1" max="3" width="8.7109375" style="24"/>
    <col min="4" max="4" width="9.7109375" style="24" customWidth="1"/>
    <col min="5" max="5" width="8.5703125" style="24" customWidth="1"/>
    <col min="6" max="6" width="10.42578125" style="24" customWidth="1"/>
    <col min="7" max="7" width="8.7109375" style="24"/>
    <col min="8" max="8" width="13.28515625" style="24" customWidth="1"/>
    <col min="9" max="9" width="8.7109375" style="24"/>
    <col min="10" max="10" width="14.28515625" style="24" customWidth="1"/>
    <col min="11" max="11" width="11.42578125" style="24" customWidth="1"/>
    <col min="12" max="12" width="10.7109375" style="24" bestFit="1" customWidth="1"/>
    <col min="13" max="13" width="11.28515625" style="24" customWidth="1"/>
    <col min="14" max="14" width="13.42578125" style="24" customWidth="1"/>
    <col min="15" max="15" width="11" style="24" customWidth="1"/>
    <col min="16" max="16" width="14.5703125" style="24" customWidth="1"/>
    <col min="17" max="16384" width="8.7109375" style="24"/>
  </cols>
  <sheetData>
    <row r="1" spans="1:17" ht="23.25">
      <c r="B1" s="101" t="s">
        <v>81</v>
      </c>
      <c r="C1" s="101"/>
      <c r="D1" s="101"/>
      <c r="E1" s="101"/>
      <c r="F1" s="101"/>
      <c r="G1" s="101"/>
      <c r="H1" s="101"/>
      <c r="I1" s="101"/>
      <c r="J1" s="101"/>
      <c r="K1" s="101"/>
      <c r="L1" s="101"/>
      <c r="M1" s="101"/>
      <c r="N1" s="101"/>
      <c r="O1" s="101"/>
      <c r="P1" s="25"/>
      <c r="Q1" s="25"/>
    </row>
    <row r="2" spans="1:17" ht="23.25">
      <c r="B2" s="101"/>
      <c r="C2" s="101"/>
      <c r="D2" s="101"/>
      <c r="E2" s="101"/>
      <c r="F2" s="101"/>
      <c r="G2" s="101"/>
      <c r="H2" s="101"/>
      <c r="I2" s="101"/>
      <c r="J2" s="101"/>
      <c r="K2" s="101"/>
      <c r="L2" s="101"/>
      <c r="M2" s="101"/>
      <c r="N2" s="101"/>
      <c r="O2" s="101"/>
      <c r="P2" s="25"/>
      <c r="Q2" s="25"/>
    </row>
    <row r="3" spans="1:17">
      <c r="B3" s="24" t="s">
        <v>82</v>
      </c>
    </row>
    <row r="4" spans="1:17">
      <c r="M4" s="26"/>
    </row>
    <row r="5" spans="1:17">
      <c r="K5" s="27"/>
    </row>
    <row r="6" spans="1:17">
      <c r="A6" s="102" t="s">
        <v>83</v>
      </c>
      <c r="B6" s="102"/>
      <c r="C6" s="102" t="s">
        <v>84</v>
      </c>
      <c r="D6" s="102"/>
      <c r="E6" s="102"/>
      <c r="F6" s="103" t="s">
        <v>85</v>
      </c>
      <c r="G6" s="103"/>
      <c r="H6" s="103"/>
      <c r="I6" s="103"/>
      <c r="J6" s="104" t="s">
        <v>86</v>
      </c>
      <c r="K6" s="104"/>
      <c r="L6" s="104"/>
      <c r="M6" s="104"/>
      <c r="N6" s="105" t="s">
        <v>87</v>
      </c>
      <c r="O6" s="107" t="s">
        <v>88</v>
      </c>
      <c r="P6" s="113" t="s">
        <v>89</v>
      </c>
      <c r="Q6" s="113" t="s">
        <v>90</v>
      </c>
    </row>
    <row r="7" spans="1:17">
      <c r="A7" s="102"/>
      <c r="B7" s="102"/>
      <c r="C7" s="102"/>
      <c r="D7" s="102"/>
      <c r="E7" s="102"/>
      <c r="F7" s="28" t="s">
        <v>91</v>
      </c>
      <c r="G7" s="28" t="s">
        <v>3</v>
      </c>
      <c r="H7" s="28" t="s">
        <v>92</v>
      </c>
      <c r="I7" s="28"/>
      <c r="J7" s="29" t="s">
        <v>93</v>
      </c>
      <c r="K7" s="29" t="s">
        <v>94</v>
      </c>
      <c r="L7" s="29" t="s">
        <v>95</v>
      </c>
      <c r="M7" s="29" t="s">
        <v>96</v>
      </c>
      <c r="N7" s="106"/>
      <c r="O7" s="108"/>
      <c r="P7" s="114"/>
      <c r="Q7" s="114"/>
    </row>
    <row r="8" spans="1:17">
      <c r="A8" s="109"/>
      <c r="B8" s="110"/>
      <c r="C8" s="115" t="s">
        <v>97</v>
      </c>
      <c r="D8" s="115"/>
      <c r="E8" s="115"/>
      <c r="F8" s="30" t="e">
        <f>H8/G8</f>
        <v>#REF!</v>
      </c>
      <c r="G8" s="31">
        <f>XFNK!J22</f>
        <v>22.109999999999996</v>
      </c>
      <c r="H8" s="30" t="e">
        <f>XFNK!#REF!</f>
        <v>#REF!</v>
      </c>
      <c r="I8" s="30"/>
      <c r="J8" s="30"/>
      <c r="K8" s="30">
        <f>G8*200000</f>
        <v>4421999.9999999991</v>
      </c>
      <c r="L8" s="30">
        <v>500000</v>
      </c>
      <c r="M8" s="30" t="e">
        <f>H20*0.07</f>
        <v>#REF!</v>
      </c>
      <c r="N8" s="30" t="e">
        <f>SUM(J8:M8)</f>
        <v>#REF!</v>
      </c>
      <c r="O8" s="30" t="e">
        <f>H8-N8</f>
        <v>#REF!</v>
      </c>
      <c r="P8" s="32" t="e">
        <f>(O8/H8)*100%</f>
        <v>#REF!</v>
      </c>
      <c r="Q8" s="30"/>
    </row>
    <row r="9" spans="1:17">
      <c r="A9" s="109"/>
      <c r="B9" s="110"/>
      <c r="C9" s="116"/>
      <c r="D9" s="116"/>
      <c r="E9" s="116"/>
      <c r="F9" s="30"/>
      <c r="G9" s="30"/>
      <c r="H9" s="30">
        <f t="shared" ref="H9:H19" si="0">F9*G9</f>
        <v>0</v>
      </c>
      <c r="I9" s="30"/>
      <c r="J9" s="30"/>
      <c r="K9" s="30"/>
      <c r="L9" s="30"/>
      <c r="M9" s="30"/>
      <c r="N9" s="30">
        <f>J9</f>
        <v>0</v>
      </c>
      <c r="O9" s="30">
        <f>N9</f>
        <v>0</v>
      </c>
      <c r="P9" s="30"/>
      <c r="Q9" s="30"/>
    </row>
    <row r="10" spans="1:17">
      <c r="A10" s="109"/>
      <c r="B10" s="109"/>
      <c r="C10" s="110" t="s">
        <v>138</v>
      </c>
      <c r="D10" s="111"/>
      <c r="E10" s="112"/>
      <c r="F10" s="30">
        <v>1900000</v>
      </c>
      <c r="G10" s="30">
        <v>7</v>
      </c>
      <c r="H10" s="30"/>
      <c r="I10" s="30"/>
      <c r="J10" s="30">
        <f>F10*G10</f>
        <v>13300000</v>
      </c>
      <c r="K10" s="30"/>
      <c r="L10" s="30"/>
      <c r="M10" s="30"/>
      <c r="N10" s="30">
        <f>J10</f>
        <v>13300000</v>
      </c>
      <c r="O10" s="30">
        <f>N10</f>
        <v>13300000</v>
      </c>
      <c r="P10" s="30"/>
      <c r="Q10" s="30"/>
    </row>
    <row r="11" spans="1:17">
      <c r="A11" s="109"/>
      <c r="B11" s="109"/>
      <c r="C11" s="110" t="s">
        <v>146</v>
      </c>
      <c r="D11" s="111"/>
      <c r="E11" s="112"/>
      <c r="F11" s="30">
        <v>180000</v>
      </c>
      <c r="G11" s="30">
        <v>7</v>
      </c>
      <c r="H11" s="49"/>
      <c r="I11" s="30"/>
      <c r="J11" s="30">
        <f>F11*G11</f>
        <v>1260000</v>
      </c>
      <c r="K11" s="30"/>
      <c r="L11" s="30"/>
      <c r="M11" s="30"/>
      <c r="N11" s="30">
        <f t="shared" ref="N11:N19" si="1">SUM(J11:M11)</f>
        <v>1260000</v>
      </c>
      <c r="O11" s="30">
        <f>N11</f>
        <v>1260000</v>
      </c>
      <c r="P11" s="30"/>
      <c r="Q11" s="30"/>
    </row>
    <row r="12" spans="1:17">
      <c r="A12" s="109"/>
      <c r="B12" s="109"/>
      <c r="C12" s="110" t="s">
        <v>147</v>
      </c>
      <c r="D12" s="111"/>
      <c r="E12" s="112"/>
      <c r="F12" s="30">
        <v>230000</v>
      </c>
      <c r="G12" s="52">
        <f>G8</f>
        <v>22.109999999999996</v>
      </c>
      <c r="H12" s="30"/>
      <c r="I12" s="30"/>
      <c r="J12" s="30">
        <f>F12*G12</f>
        <v>5085299.9999999991</v>
      </c>
      <c r="K12" s="30"/>
      <c r="L12" s="30"/>
      <c r="M12" s="30"/>
      <c r="N12" s="30">
        <f t="shared" si="1"/>
        <v>5085299.9999999991</v>
      </c>
      <c r="O12" s="30">
        <f>N12</f>
        <v>5085299.9999999991</v>
      </c>
      <c r="P12" s="30"/>
      <c r="Q12" s="30"/>
    </row>
    <row r="13" spans="1:17">
      <c r="A13" s="109"/>
      <c r="B13" s="109"/>
      <c r="C13" s="110" t="s">
        <v>148</v>
      </c>
      <c r="D13" s="111"/>
      <c r="E13" s="112"/>
      <c r="F13" s="30">
        <v>150000</v>
      </c>
      <c r="G13" s="52">
        <f>G8</f>
        <v>22.109999999999996</v>
      </c>
      <c r="H13" s="30"/>
      <c r="I13" s="30"/>
      <c r="J13" s="30">
        <f>F13*G13</f>
        <v>3316499.9999999995</v>
      </c>
      <c r="K13" s="30"/>
      <c r="L13" s="30"/>
      <c r="M13" s="30"/>
      <c r="N13" s="30">
        <f t="shared" si="1"/>
        <v>3316499.9999999995</v>
      </c>
      <c r="O13" s="30">
        <f t="shared" ref="O13:O20" si="2">H13-N13</f>
        <v>-3316499.9999999995</v>
      </c>
      <c r="P13" s="30"/>
      <c r="Q13" s="30"/>
    </row>
    <row r="14" spans="1:17">
      <c r="A14" s="109"/>
      <c r="B14" s="109"/>
      <c r="C14" s="110"/>
      <c r="D14" s="111"/>
      <c r="E14" s="112"/>
      <c r="F14" s="30"/>
      <c r="G14" s="30"/>
      <c r="H14" s="30"/>
      <c r="I14" s="30"/>
      <c r="J14" s="30"/>
      <c r="K14" s="30"/>
      <c r="L14" s="30"/>
      <c r="M14" s="30"/>
      <c r="N14" s="30">
        <f>H14-J14-K14</f>
        <v>0</v>
      </c>
      <c r="O14" s="30">
        <f t="shared" si="2"/>
        <v>0</v>
      </c>
      <c r="P14" s="30"/>
      <c r="Q14" s="30"/>
    </row>
    <row r="15" spans="1:17">
      <c r="A15" s="109"/>
      <c r="B15" s="109"/>
      <c r="C15" s="110"/>
      <c r="D15" s="111"/>
      <c r="E15" s="112"/>
      <c r="F15" s="30"/>
      <c r="G15" s="30"/>
      <c r="H15" s="30"/>
      <c r="I15" s="30"/>
      <c r="J15" s="30"/>
      <c r="K15" s="30"/>
      <c r="L15" s="30"/>
      <c r="M15" s="30"/>
      <c r="N15" s="30">
        <f t="shared" si="1"/>
        <v>0</v>
      </c>
      <c r="O15" s="30">
        <f t="shared" si="2"/>
        <v>0</v>
      </c>
      <c r="P15" s="30"/>
      <c r="Q15" s="30"/>
    </row>
    <row r="16" spans="1:17">
      <c r="A16" s="109"/>
      <c r="B16" s="109"/>
      <c r="C16" s="110"/>
      <c r="D16" s="111"/>
      <c r="E16" s="112"/>
      <c r="F16" s="30"/>
      <c r="G16" s="30"/>
      <c r="H16" s="30"/>
      <c r="I16" s="30"/>
      <c r="J16" s="30"/>
      <c r="K16" s="30"/>
      <c r="L16" s="30"/>
      <c r="M16" s="30"/>
      <c r="N16" s="30">
        <f t="shared" si="1"/>
        <v>0</v>
      </c>
      <c r="O16" s="30">
        <f t="shared" si="2"/>
        <v>0</v>
      </c>
      <c r="P16" s="30"/>
      <c r="Q16" s="30"/>
    </row>
    <row r="17" spans="1:17">
      <c r="A17" s="109"/>
      <c r="B17" s="109"/>
      <c r="C17" s="49"/>
      <c r="D17" s="49"/>
      <c r="E17" s="49"/>
      <c r="F17" s="30"/>
      <c r="G17" s="30"/>
      <c r="H17" s="30">
        <f t="shared" si="0"/>
        <v>0</v>
      </c>
      <c r="I17" s="30"/>
      <c r="J17" s="30"/>
      <c r="K17" s="30"/>
      <c r="L17" s="30"/>
      <c r="M17" s="30"/>
      <c r="N17" s="30">
        <f t="shared" si="1"/>
        <v>0</v>
      </c>
      <c r="O17" s="30">
        <f t="shared" si="2"/>
        <v>0</v>
      </c>
      <c r="P17" s="30"/>
      <c r="Q17" s="30"/>
    </row>
    <row r="18" spans="1:17">
      <c r="A18" s="109"/>
      <c r="B18" s="109"/>
      <c r="C18" s="49"/>
      <c r="D18" s="49"/>
      <c r="E18" s="49"/>
      <c r="F18" s="30"/>
      <c r="G18" s="30"/>
      <c r="H18" s="30">
        <f t="shared" si="0"/>
        <v>0</v>
      </c>
      <c r="I18" s="30"/>
      <c r="J18" s="30"/>
      <c r="K18" s="30"/>
      <c r="L18" s="30"/>
      <c r="M18" s="30"/>
      <c r="N18" s="30">
        <f t="shared" si="1"/>
        <v>0</v>
      </c>
      <c r="O18" s="30">
        <f t="shared" si="2"/>
        <v>0</v>
      </c>
      <c r="P18" s="30"/>
      <c r="Q18" s="30"/>
    </row>
    <row r="19" spans="1:17">
      <c r="A19" s="109"/>
      <c r="B19" s="109"/>
      <c r="C19" s="49"/>
      <c r="D19" s="49"/>
      <c r="E19" s="49"/>
      <c r="F19" s="30"/>
      <c r="G19" s="30"/>
      <c r="H19" s="30">
        <f t="shared" si="0"/>
        <v>0</v>
      </c>
      <c r="I19" s="30"/>
      <c r="J19" s="30"/>
      <c r="K19" s="30"/>
      <c r="L19" s="30"/>
      <c r="M19" s="30"/>
      <c r="N19" s="30">
        <f t="shared" si="1"/>
        <v>0</v>
      </c>
      <c r="O19" s="30">
        <f t="shared" si="2"/>
        <v>0</v>
      </c>
      <c r="P19" s="30"/>
      <c r="Q19" s="30"/>
    </row>
    <row r="20" spans="1:17">
      <c r="A20" s="109"/>
      <c r="B20" s="109"/>
      <c r="C20" s="109"/>
      <c r="D20" s="109"/>
      <c r="E20" s="109"/>
      <c r="F20" s="30"/>
      <c r="G20" s="30"/>
      <c r="H20" s="30" t="e">
        <f>SUM(H8:H19)</f>
        <v>#REF!</v>
      </c>
      <c r="I20" s="30">
        <f t="shared" ref="I20:L20" si="3">SUM(I8:I19)</f>
        <v>0</v>
      </c>
      <c r="J20" s="30">
        <f>SUM(J8:J19)</f>
        <v>22961800</v>
      </c>
      <c r="K20" s="30">
        <f t="shared" si="3"/>
        <v>4421999.9999999991</v>
      </c>
      <c r="L20" s="30">
        <f t="shared" si="3"/>
        <v>500000</v>
      </c>
      <c r="M20" s="30" t="e">
        <f>SUM(M8:M19)</f>
        <v>#REF!</v>
      </c>
      <c r="N20" s="30" t="e">
        <f>SUM(J20:M20)</f>
        <v>#REF!</v>
      </c>
      <c r="O20" s="30" t="e">
        <f t="shared" si="2"/>
        <v>#REF!</v>
      </c>
      <c r="P20" s="30"/>
      <c r="Q20" s="30"/>
    </row>
    <row r="21" spans="1:17">
      <c r="H21" s="33"/>
      <c r="J21" s="34"/>
    </row>
    <row r="22" spans="1:17" ht="33.75">
      <c r="A22" s="24" t="s">
        <v>7</v>
      </c>
      <c r="B22" s="24" t="s">
        <v>98</v>
      </c>
      <c r="O22" s="35"/>
      <c r="P22" s="39" t="e">
        <f>N20/H20</f>
        <v>#REF!</v>
      </c>
      <c r="Q22" s="35"/>
    </row>
    <row r="23" spans="1:17" ht="23.25">
      <c r="B23" s="24" t="s">
        <v>99</v>
      </c>
      <c r="I23" s="36"/>
      <c r="N23" s="37"/>
      <c r="O23" s="26"/>
      <c r="P23" s="26"/>
      <c r="Q23" s="26"/>
    </row>
    <row r="24" spans="1:17">
      <c r="B24" s="24" t="s">
        <v>100</v>
      </c>
    </row>
    <row r="25" spans="1:17">
      <c r="C25" s="24" t="s">
        <v>101</v>
      </c>
    </row>
    <row r="26" spans="1:17">
      <c r="C26" s="24" t="s">
        <v>102</v>
      </c>
    </row>
    <row r="27" spans="1:17">
      <c r="C27" s="115" t="s">
        <v>103</v>
      </c>
      <c r="D27" s="115"/>
      <c r="E27" s="115"/>
      <c r="F27" s="115"/>
      <c r="G27" s="115"/>
      <c r="H27" s="115"/>
      <c r="I27" s="115"/>
      <c r="J27" s="115"/>
      <c r="K27" s="115"/>
      <c r="L27" s="115"/>
      <c r="M27" s="115"/>
      <c r="N27" s="115"/>
    </row>
    <row r="28" spans="1:17" ht="45" customHeight="1">
      <c r="B28" s="38" t="s">
        <v>104</v>
      </c>
      <c r="C28" s="117" t="s">
        <v>105</v>
      </c>
      <c r="D28" s="117"/>
      <c r="E28" s="118"/>
      <c r="F28" s="38" t="s">
        <v>106</v>
      </c>
      <c r="G28" s="38"/>
      <c r="H28" s="38" t="s">
        <v>107</v>
      </c>
      <c r="I28" s="119" t="s">
        <v>108</v>
      </c>
      <c r="J28" s="120"/>
      <c r="K28" s="119" t="s">
        <v>109</v>
      </c>
      <c r="L28" s="120"/>
      <c r="M28" s="119" t="s">
        <v>110</v>
      </c>
      <c r="N28" s="120"/>
    </row>
    <row r="29" spans="1:17" ht="18.75">
      <c r="B29" s="121">
        <v>1</v>
      </c>
      <c r="C29" s="124" t="s">
        <v>111</v>
      </c>
      <c r="D29" s="124"/>
      <c r="E29" s="125"/>
      <c r="F29" s="126" t="s">
        <v>112</v>
      </c>
      <c r="G29" s="126"/>
      <c r="H29" s="129">
        <v>0.5</v>
      </c>
      <c r="I29" s="127">
        <v>100000000</v>
      </c>
      <c r="J29" s="127"/>
      <c r="K29" s="128">
        <f>H29*I29</f>
        <v>50000000</v>
      </c>
      <c r="L29" s="129"/>
      <c r="M29" s="128">
        <f>M27*K29</f>
        <v>0</v>
      </c>
      <c r="N29" s="129"/>
    </row>
    <row r="30" spans="1:17" ht="18.75">
      <c r="B30" s="122"/>
      <c r="C30" s="124"/>
      <c r="D30" s="124"/>
      <c r="E30" s="125"/>
      <c r="F30" s="126" t="s">
        <v>113</v>
      </c>
      <c r="G30" s="126"/>
      <c r="H30" s="129"/>
      <c r="I30" s="129"/>
      <c r="J30" s="129"/>
      <c r="K30" s="129"/>
      <c r="L30" s="129"/>
      <c r="M30" s="129"/>
      <c r="N30" s="129"/>
    </row>
    <row r="31" spans="1:17" ht="18.75">
      <c r="B31" s="123"/>
      <c r="C31" s="124"/>
      <c r="D31" s="124"/>
      <c r="E31" s="125"/>
      <c r="F31" s="126" t="s">
        <v>112</v>
      </c>
      <c r="G31" s="126"/>
      <c r="H31" s="129"/>
      <c r="I31" s="129"/>
      <c r="J31" s="129"/>
      <c r="K31" s="129"/>
      <c r="L31" s="129"/>
      <c r="M31" s="129"/>
      <c r="N31" s="129"/>
    </row>
    <row r="32" spans="1:17" ht="18.75">
      <c r="B32" s="121">
        <v>2</v>
      </c>
      <c r="C32" s="124" t="s">
        <v>114</v>
      </c>
      <c r="D32" s="124"/>
      <c r="E32" s="125"/>
      <c r="F32" s="126" t="s">
        <v>112</v>
      </c>
      <c r="G32" s="126"/>
      <c r="H32" s="121">
        <v>0.8</v>
      </c>
      <c r="I32" s="127">
        <v>2500000</v>
      </c>
      <c r="J32" s="127"/>
      <c r="K32" s="128">
        <f>0.5*I32</f>
        <v>1250000</v>
      </c>
      <c r="L32" s="129"/>
      <c r="M32" s="128"/>
      <c r="N32" s="129"/>
    </row>
    <row r="33" spans="2:14" ht="18.75">
      <c r="B33" s="122"/>
      <c r="C33" s="124"/>
      <c r="D33" s="124"/>
      <c r="E33" s="125"/>
      <c r="F33" s="126" t="s">
        <v>115</v>
      </c>
      <c r="G33" s="126"/>
      <c r="H33" s="122"/>
      <c r="I33" s="129"/>
      <c r="J33" s="129"/>
      <c r="K33" s="129"/>
      <c r="L33" s="129"/>
      <c r="M33" s="129"/>
      <c r="N33" s="129"/>
    </row>
    <row r="34" spans="2:14" ht="18.75">
      <c r="B34" s="123"/>
      <c r="C34" s="124"/>
      <c r="D34" s="124"/>
      <c r="E34" s="125"/>
      <c r="F34" s="126" t="s">
        <v>112</v>
      </c>
      <c r="G34" s="126"/>
      <c r="H34" s="122"/>
      <c r="I34" s="129"/>
      <c r="J34" s="129"/>
      <c r="K34" s="129"/>
      <c r="L34" s="129"/>
      <c r="M34" s="129"/>
      <c r="N34" s="129"/>
    </row>
    <row r="35" spans="2:14" ht="18.75">
      <c r="B35" s="121">
        <v>3</v>
      </c>
      <c r="C35" s="124" t="s">
        <v>116</v>
      </c>
      <c r="D35" s="124"/>
      <c r="E35" s="125"/>
      <c r="F35" s="126" t="s">
        <v>112</v>
      </c>
      <c r="G35" s="126"/>
      <c r="H35" s="129">
        <v>1</v>
      </c>
      <c r="I35" s="129"/>
      <c r="J35" s="129"/>
      <c r="K35" s="129"/>
      <c r="L35" s="129"/>
      <c r="M35" s="129"/>
      <c r="N35" s="129"/>
    </row>
    <row r="36" spans="2:14" ht="18.75">
      <c r="B36" s="122"/>
      <c r="C36" s="124"/>
      <c r="D36" s="124"/>
      <c r="E36" s="125"/>
      <c r="F36" s="126" t="s">
        <v>117</v>
      </c>
      <c r="G36" s="126"/>
      <c r="H36" s="129"/>
      <c r="I36" s="129"/>
      <c r="J36" s="129"/>
      <c r="K36" s="129"/>
      <c r="L36" s="129"/>
      <c r="M36" s="129"/>
      <c r="N36" s="129"/>
    </row>
    <row r="37" spans="2:14" ht="18.75">
      <c r="B37" s="123"/>
      <c r="C37" s="124"/>
      <c r="D37" s="124"/>
      <c r="E37" s="125"/>
      <c r="F37" s="126" t="s">
        <v>112</v>
      </c>
      <c r="G37" s="126"/>
      <c r="H37" s="129"/>
      <c r="I37" s="129"/>
      <c r="J37" s="129"/>
      <c r="K37" s="129"/>
      <c r="L37" s="129"/>
      <c r="M37" s="129"/>
      <c r="N37" s="129"/>
    </row>
    <row r="38" spans="2:14" ht="18.75">
      <c r="B38" s="121">
        <v>4</v>
      </c>
      <c r="C38" s="124" t="s">
        <v>118</v>
      </c>
      <c r="D38" s="124"/>
      <c r="E38" s="125"/>
      <c r="F38" s="126" t="s">
        <v>119</v>
      </c>
      <c r="G38" s="126"/>
      <c r="H38" s="129">
        <v>1.2</v>
      </c>
      <c r="I38" s="129"/>
      <c r="J38" s="129"/>
      <c r="K38" s="129"/>
      <c r="L38" s="129"/>
      <c r="M38" s="129"/>
      <c r="N38" s="129"/>
    </row>
    <row r="39" spans="2:14" ht="18.75">
      <c r="B39" s="122"/>
      <c r="C39" s="124"/>
      <c r="D39" s="124"/>
      <c r="E39" s="125"/>
      <c r="F39" s="126" t="s">
        <v>112</v>
      </c>
      <c r="G39" s="126"/>
      <c r="H39" s="129"/>
      <c r="I39" s="129"/>
      <c r="J39" s="129"/>
      <c r="K39" s="129"/>
      <c r="L39" s="129"/>
      <c r="M39" s="129"/>
      <c r="N39" s="129"/>
    </row>
    <row r="40" spans="2:14" ht="18.75">
      <c r="B40" s="123"/>
      <c r="C40" s="124"/>
      <c r="D40" s="124"/>
      <c r="E40" s="125"/>
      <c r="F40" s="126" t="s">
        <v>112</v>
      </c>
      <c r="G40" s="126"/>
      <c r="H40" s="129"/>
      <c r="I40" s="129"/>
      <c r="J40" s="129"/>
      <c r="K40" s="129"/>
      <c r="L40" s="129"/>
      <c r="M40" s="129"/>
      <c r="N40" s="129"/>
    </row>
    <row r="41" spans="2:14" ht="18.75">
      <c r="B41" s="121">
        <v>5</v>
      </c>
      <c r="C41" s="124" t="s">
        <v>120</v>
      </c>
      <c r="D41" s="124"/>
      <c r="E41" s="125"/>
      <c r="F41" s="126" t="s">
        <v>119</v>
      </c>
      <c r="G41" s="126"/>
      <c r="H41" s="129">
        <v>1.5</v>
      </c>
      <c r="I41" s="129"/>
      <c r="J41" s="129"/>
      <c r="K41" s="129"/>
      <c r="L41" s="129"/>
      <c r="M41" s="129"/>
      <c r="N41" s="129"/>
    </row>
    <row r="42" spans="2:14" ht="18.75">
      <c r="B42" s="122"/>
      <c r="C42" s="124"/>
      <c r="D42" s="124"/>
      <c r="E42" s="125"/>
      <c r="F42" s="126" t="s">
        <v>112</v>
      </c>
      <c r="G42" s="126"/>
      <c r="H42" s="129"/>
      <c r="I42" s="129"/>
      <c r="J42" s="129"/>
      <c r="K42" s="129"/>
      <c r="L42" s="129"/>
      <c r="M42" s="129"/>
      <c r="N42" s="129"/>
    </row>
    <row r="43" spans="2:14" ht="18.75">
      <c r="B43" s="123"/>
      <c r="C43" s="124"/>
      <c r="D43" s="124"/>
      <c r="E43" s="125"/>
      <c r="F43" s="126" t="s">
        <v>112</v>
      </c>
      <c r="G43" s="126"/>
      <c r="H43" s="129"/>
      <c r="I43" s="129"/>
      <c r="J43" s="129"/>
      <c r="K43" s="129"/>
      <c r="L43" s="129"/>
      <c r="M43" s="129"/>
      <c r="N43" s="129"/>
    </row>
    <row r="44" spans="2:14" ht="18.75">
      <c r="B44" s="121">
        <v>6</v>
      </c>
      <c r="C44" s="130" t="s">
        <v>121</v>
      </c>
      <c r="D44" s="130"/>
      <c r="E44" s="130"/>
      <c r="F44" s="126" t="s">
        <v>112</v>
      </c>
      <c r="G44" s="126"/>
      <c r="H44" s="129">
        <v>0</v>
      </c>
      <c r="I44" s="129"/>
      <c r="J44" s="129"/>
      <c r="K44" s="129"/>
      <c r="L44" s="129"/>
      <c r="M44" s="129"/>
      <c r="N44" s="129"/>
    </row>
    <row r="45" spans="2:14" ht="18.75">
      <c r="B45" s="122"/>
      <c r="C45" s="130"/>
      <c r="D45" s="130"/>
      <c r="E45" s="130"/>
      <c r="F45" s="126" t="s">
        <v>112</v>
      </c>
      <c r="G45" s="126"/>
      <c r="H45" s="129"/>
      <c r="I45" s="129"/>
      <c r="J45" s="129"/>
      <c r="K45" s="129"/>
      <c r="L45" s="129"/>
      <c r="M45" s="129"/>
      <c r="N45" s="129"/>
    </row>
    <row r="46" spans="2:14" ht="18.75">
      <c r="B46" s="123"/>
      <c r="C46" s="130"/>
      <c r="D46" s="130"/>
      <c r="E46" s="130"/>
      <c r="F46" s="126" t="s">
        <v>112</v>
      </c>
      <c r="G46" s="126"/>
      <c r="H46" s="129"/>
      <c r="I46" s="129"/>
      <c r="J46" s="129"/>
      <c r="K46" s="129"/>
      <c r="L46" s="129"/>
      <c r="M46" s="129"/>
      <c r="N46" s="129"/>
    </row>
    <row r="48" spans="2:14">
      <c r="C48" s="24" t="s">
        <v>122</v>
      </c>
    </row>
    <row r="49" spans="3:3">
      <c r="C49" s="24" t="s">
        <v>123</v>
      </c>
    </row>
    <row r="50" spans="3:3">
      <c r="C50" s="24" t="s">
        <v>124</v>
      </c>
    </row>
  </sheetData>
  <mergeCells count="126">
    <mergeCell ref="F46:G46"/>
    <mergeCell ref="I46:J46"/>
    <mergeCell ref="K46:L46"/>
    <mergeCell ref="M46:N46"/>
    <mergeCell ref="B44:B46"/>
    <mergeCell ref="C44:E46"/>
    <mergeCell ref="F44:G44"/>
    <mergeCell ref="H44:H46"/>
    <mergeCell ref="I44:J44"/>
    <mergeCell ref="K44:L44"/>
    <mergeCell ref="B41:B43"/>
    <mergeCell ref="C41:E43"/>
    <mergeCell ref="F41:G41"/>
    <mergeCell ref="H41:H43"/>
    <mergeCell ref="I41:J41"/>
    <mergeCell ref="K41:L41"/>
    <mergeCell ref="M44:N44"/>
    <mergeCell ref="F45:G45"/>
    <mergeCell ref="I45:J45"/>
    <mergeCell ref="M41:N41"/>
    <mergeCell ref="F42:G42"/>
    <mergeCell ref="I42:J42"/>
    <mergeCell ref="K42:L42"/>
    <mergeCell ref="M42:N42"/>
    <mergeCell ref="F43:G43"/>
    <mergeCell ref="I43:J43"/>
    <mergeCell ref="K43:L43"/>
    <mergeCell ref="M43:N43"/>
    <mergeCell ref="K45:L45"/>
    <mergeCell ref="M45:N45"/>
    <mergeCell ref="H35:H37"/>
    <mergeCell ref="I35:J35"/>
    <mergeCell ref="K35:L35"/>
    <mergeCell ref="M38:N38"/>
    <mergeCell ref="F39:G39"/>
    <mergeCell ref="I39:J39"/>
    <mergeCell ref="K39:L39"/>
    <mergeCell ref="M39:N39"/>
    <mergeCell ref="F40:G40"/>
    <mergeCell ref="I40:J40"/>
    <mergeCell ref="K40:L40"/>
    <mergeCell ref="M40:N40"/>
    <mergeCell ref="K33:L33"/>
    <mergeCell ref="M33:N33"/>
    <mergeCell ref="F34:G34"/>
    <mergeCell ref="I34:J34"/>
    <mergeCell ref="K34:L34"/>
    <mergeCell ref="M34:N34"/>
    <mergeCell ref="B38:B40"/>
    <mergeCell ref="C38:E40"/>
    <mergeCell ref="F38:G38"/>
    <mergeCell ref="H38:H40"/>
    <mergeCell ref="I38:J38"/>
    <mergeCell ref="K38:L38"/>
    <mergeCell ref="M35:N35"/>
    <mergeCell ref="F36:G36"/>
    <mergeCell ref="I36:J36"/>
    <mergeCell ref="K36:L36"/>
    <mergeCell ref="M36:N36"/>
    <mergeCell ref="F37:G37"/>
    <mergeCell ref="I37:J37"/>
    <mergeCell ref="K37:L37"/>
    <mergeCell ref="M37:N37"/>
    <mergeCell ref="B35:B37"/>
    <mergeCell ref="C35:E37"/>
    <mergeCell ref="F35:G35"/>
    <mergeCell ref="B32:B34"/>
    <mergeCell ref="C32:E34"/>
    <mergeCell ref="F32:G32"/>
    <mergeCell ref="H32:H34"/>
    <mergeCell ref="I32:J32"/>
    <mergeCell ref="K32:L32"/>
    <mergeCell ref="M29:N29"/>
    <mergeCell ref="F30:G30"/>
    <mergeCell ref="I30:J30"/>
    <mergeCell ref="K30:L30"/>
    <mergeCell ref="M30:N30"/>
    <mergeCell ref="F31:G31"/>
    <mergeCell ref="I31:J31"/>
    <mergeCell ref="K31:L31"/>
    <mergeCell ref="M31:N31"/>
    <mergeCell ref="B29:B31"/>
    <mergeCell ref="C29:E31"/>
    <mergeCell ref="F29:G29"/>
    <mergeCell ref="H29:H31"/>
    <mergeCell ref="I29:J29"/>
    <mergeCell ref="K29:L29"/>
    <mergeCell ref="M32:N32"/>
    <mergeCell ref="F33:G33"/>
    <mergeCell ref="I33:J33"/>
    <mergeCell ref="A20:B20"/>
    <mergeCell ref="C20:E20"/>
    <mergeCell ref="C27:N27"/>
    <mergeCell ref="C28:E28"/>
    <mergeCell ref="I28:J28"/>
    <mergeCell ref="K28:L28"/>
    <mergeCell ref="M28:N28"/>
    <mergeCell ref="A16:B16"/>
    <mergeCell ref="A17:B17"/>
    <mergeCell ref="A18:B18"/>
    <mergeCell ref="A19:B19"/>
    <mergeCell ref="C16:E16"/>
    <mergeCell ref="A14:B14"/>
    <mergeCell ref="A15:B15"/>
    <mergeCell ref="P6:P7"/>
    <mergeCell ref="Q6:Q7"/>
    <mergeCell ref="A8:B8"/>
    <mergeCell ref="C8:E9"/>
    <mergeCell ref="A9:B9"/>
    <mergeCell ref="A10:B10"/>
    <mergeCell ref="A11:B11"/>
    <mergeCell ref="C12:E12"/>
    <mergeCell ref="C13:E13"/>
    <mergeCell ref="C14:E14"/>
    <mergeCell ref="C15:E15"/>
    <mergeCell ref="B1:O2"/>
    <mergeCell ref="A6:B7"/>
    <mergeCell ref="C6:E7"/>
    <mergeCell ref="F6:I6"/>
    <mergeCell ref="J6:M6"/>
    <mergeCell ref="N6:N7"/>
    <mergeCell ref="O6:O7"/>
    <mergeCell ref="A12:B12"/>
    <mergeCell ref="A13:B13"/>
    <mergeCell ref="C10:E10"/>
    <mergeCell ref="C11:E1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6:H20"/>
  <sheetViews>
    <sheetView topLeftCell="A5" zoomScaleNormal="100" workbookViewId="0">
      <selection activeCell="I27" sqref="I27"/>
    </sheetView>
  </sheetViews>
  <sheetFormatPr defaultRowHeight="15"/>
  <cols>
    <col min="3" max="3" width="19" customWidth="1"/>
    <col min="4" max="4" width="33.28515625" bestFit="1" customWidth="1"/>
    <col min="8" max="8" width="10.140625" bestFit="1" customWidth="1"/>
  </cols>
  <sheetData>
    <row r="6" spans="2:8" ht="72.599999999999994" customHeight="1">
      <c r="B6" s="131" t="s">
        <v>154</v>
      </c>
      <c r="C6" s="132"/>
      <c r="D6" s="132"/>
      <c r="E6" s="132"/>
      <c r="F6" s="132"/>
      <c r="G6" s="132"/>
      <c r="H6" s="132"/>
    </row>
    <row r="7" spans="2:8" ht="30">
      <c r="B7" s="40" t="s">
        <v>8</v>
      </c>
      <c r="C7" s="40" t="s">
        <v>129</v>
      </c>
      <c r="D7" s="40" t="s">
        <v>130</v>
      </c>
      <c r="E7" s="41" t="s">
        <v>131</v>
      </c>
      <c r="F7" s="41" t="s">
        <v>132</v>
      </c>
      <c r="G7" s="40" t="s">
        <v>3</v>
      </c>
      <c r="H7" s="40" t="s">
        <v>7</v>
      </c>
    </row>
    <row r="8" spans="2:8" ht="31.15" hidden="1" customHeight="1">
      <c r="B8" s="16">
        <v>1</v>
      </c>
      <c r="C8" s="51" t="s">
        <v>140</v>
      </c>
      <c r="D8" s="50" t="s">
        <v>136</v>
      </c>
      <c r="E8" s="16">
        <v>500</v>
      </c>
      <c r="F8" s="16">
        <v>2493</v>
      </c>
      <c r="G8" s="16">
        <v>2</v>
      </c>
      <c r="H8" s="134" t="s">
        <v>139</v>
      </c>
    </row>
    <row r="9" spans="2:8" ht="31.15" hidden="1" customHeight="1">
      <c r="B9" s="16">
        <v>2</v>
      </c>
      <c r="C9" s="51" t="s">
        <v>141</v>
      </c>
      <c r="D9" s="50" t="s">
        <v>136</v>
      </c>
      <c r="E9" s="16">
        <v>500</v>
      </c>
      <c r="F9" s="16">
        <v>2470</v>
      </c>
      <c r="G9" s="16">
        <v>2</v>
      </c>
      <c r="H9" s="135"/>
    </row>
    <row r="10" spans="2:8" ht="31.15" hidden="1" customHeight="1">
      <c r="B10" s="16">
        <v>3</v>
      </c>
      <c r="C10" s="51" t="s">
        <v>142</v>
      </c>
      <c r="D10" s="50" t="s">
        <v>136</v>
      </c>
      <c r="E10" s="16">
        <v>525</v>
      </c>
      <c r="F10" s="16">
        <v>1478</v>
      </c>
      <c r="G10" s="16">
        <v>2</v>
      </c>
      <c r="H10" s="135"/>
    </row>
    <row r="11" spans="2:8" ht="31.15" hidden="1" customHeight="1">
      <c r="B11" s="16">
        <v>4</v>
      </c>
      <c r="C11" s="51" t="s">
        <v>143</v>
      </c>
      <c r="D11" s="50" t="s">
        <v>136</v>
      </c>
      <c r="E11" s="16">
        <v>525</v>
      </c>
      <c r="F11" s="16">
        <v>1480</v>
      </c>
      <c r="G11" s="16">
        <v>2</v>
      </c>
      <c r="H11" s="135"/>
    </row>
    <row r="12" spans="2:8" ht="31.15" hidden="1" customHeight="1">
      <c r="B12" s="16">
        <v>5</v>
      </c>
      <c r="C12" s="51" t="s">
        <v>144</v>
      </c>
      <c r="D12" s="50" t="s">
        <v>136</v>
      </c>
      <c r="E12" s="16">
        <v>398</v>
      </c>
      <c r="F12" s="16">
        <v>1203</v>
      </c>
      <c r="G12" s="16">
        <v>2</v>
      </c>
      <c r="H12" s="135"/>
    </row>
    <row r="13" spans="2:8" ht="31.15" hidden="1" customHeight="1">
      <c r="B13" s="16">
        <v>6</v>
      </c>
      <c r="C13" s="51" t="s">
        <v>145</v>
      </c>
      <c r="D13" s="50" t="s">
        <v>136</v>
      </c>
      <c r="E13" s="16">
        <v>398</v>
      </c>
      <c r="F13" s="16">
        <v>1205</v>
      </c>
      <c r="G13" s="16">
        <v>2</v>
      </c>
      <c r="H13" s="136"/>
    </row>
    <row r="14" spans="2:8" ht="31.15" hidden="1" customHeight="1">
      <c r="B14" s="16">
        <v>1</v>
      </c>
      <c r="C14" s="137" t="s">
        <v>149</v>
      </c>
      <c r="D14" s="137" t="s">
        <v>150</v>
      </c>
      <c r="E14" s="16">
        <v>693</v>
      </c>
      <c r="F14" s="16">
        <v>2151</v>
      </c>
      <c r="G14" s="16">
        <v>2</v>
      </c>
      <c r="H14" s="134" t="s">
        <v>139</v>
      </c>
    </row>
    <row r="15" spans="2:8" ht="31.15" hidden="1" customHeight="1">
      <c r="B15" s="16">
        <v>2</v>
      </c>
      <c r="C15" s="138"/>
      <c r="D15" s="138"/>
      <c r="E15" s="16">
        <v>618</v>
      </c>
      <c r="F15" s="16">
        <v>2151</v>
      </c>
      <c r="G15" s="16">
        <v>2</v>
      </c>
      <c r="H15" s="135"/>
    </row>
    <row r="16" spans="2:8" ht="31.15" hidden="1" customHeight="1">
      <c r="B16" s="16">
        <v>3</v>
      </c>
      <c r="C16" s="138"/>
      <c r="D16" s="138"/>
      <c r="E16" s="16">
        <v>340</v>
      </c>
      <c r="F16" s="16">
        <v>708</v>
      </c>
      <c r="G16" s="16">
        <v>2</v>
      </c>
      <c r="H16" s="135"/>
    </row>
    <row r="17" spans="2:8" ht="31.15" hidden="1" customHeight="1">
      <c r="B17" s="16">
        <v>4</v>
      </c>
      <c r="C17" s="139"/>
      <c r="D17" s="139"/>
      <c r="E17" s="16">
        <v>340</v>
      </c>
      <c r="F17" s="16">
        <v>1571</v>
      </c>
      <c r="G17" s="16">
        <v>1</v>
      </c>
      <c r="H17" s="136"/>
    </row>
    <row r="18" spans="2:8" ht="31.15" customHeight="1">
      <c r="B18" s="16">
        <v>1</v>
      </c>
      <c r="C18" s="56" t="s">
        <v>151</v>
      </c>
      <c r="D18" s="56" t="s">
        <v>136</v>
      </c>
      <c r="E18" s="16">
        <v>714</v>
      </c>
      <c r="F18" s="16">
        <v>1825</v>
      </c>
      <c r="G18" s="16">
        <v>1</v>
      </c>
      <c r="H18" s="134" t="s">
        <v>139</v>
      </c>
    </row>
    <row r="19" spans="2:8" ht="31.15" customHeight="1">
      <c r="B19" s="16">
        <v>2</v>
      </c>
      <c r="C19" s="56" t="s">
        <v>152</v>
      </c>
      <c r="D19" s="57" t="s">
        <v>153</v>
      </c>
      <c r="E19" s="16">
        <v>577</v>
      </c>
      <c r="F19" s="16">
        <v>1942</v>
      </c>
      <c r="G19" s="16">
        <v>1</v>
      </c>
      <c r="H19" s="136"/>
    </row>
    <row r="20" spans="2:8">
      <c r="B20" s="133" t="s">
        <v>133</v>
      </c>
      <c r="C20" s="133"/>
      <c r="D20" s="133"/>
      <c r="E20" s="133"/>
      <c r="F20" s="133"/>
      <c r="G20" s="42">
        <f>SUM(G18:G19)</f>
        <v>2</v>
      </c>
      <c r="H20" s="42" t="s">
        <v>134</v>
      </c>
    </row>
  </sheetData>
  <mergeCells count="7">
    <mergeCell ref="B6:H6"/>
    <mergeCell ref="B20:F20"/>
    <mergeCell ref="H8:H13"/>
    <mergeCell ref="H14:H17"/>
    <mergeCell ref="D14:D17"/>
    <mergeCell ref="C14:C17"/>
    <mergeCell ref="H18:H19"/>
  </mergeCells>
  <pageMargins left="0.25" right="0.25" top="0" bottom="0" header="0.5" footer="0.5"/>
  <pageSetup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Sheet2</vt:lpstr>
      <vt:lpstr>Sheet1</vt:lpstr>
      <vt:lpstr>Sheet4</vt:lpstr>
      <vt:lpstr>Lên hợp đồng</vt:lpstr>
      <vt:lpstr>XFNK</vt:lpstr>
      <vt:lpstr>GIÁ VỐN</vt:lpstr>
      <vt:lpstr>ĐẶT KÍNH</vt:lpstr>
      <vt:lpstr>'ĐẶT KÍNH'!Print_Area</vt:lpstr>
      <vt:lpstr>'Lên hợp đồng'!Print_Area</vt:lpstr>
      <vt:lpstr>Sheet1!Print_Area</vt:lpstr>
      <vt:lpstr>Sheet2!Print_Area</vt:lpstr>
      <vt:lpstr>XFNK!Print_Area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KHANHMQ</dc:creator>
  <cp:lastModifiedBy>Đăng Khoa Phan Nguyễn</cp:lastModifiedBy>
  <cp:lastPrinted>2025-11-15T07:44:18Z</cp:lastPrinted>
  <dcterms:created xsi:type="dcterms:W3CDTF">2020-02-07T13:33:45Z</dcterms:created>
  <dcterms:modified xsi:type="dcterms:W3CDTF">2025-12-09T13:12:59Z</dcterms:modified>
</cp:coreProperties>
</file>